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hidePivotFieldList="1" defaultThemeVersion="166925"/>
  <mc:AlternateContent xmlns:mc="http://schemas.openxmlformats.org/markup-compatibility/2006">
    <mc:Choice Requires="x15">
      <x15ac:absPath xmlns:x15ac="http://schemas.microsoft.com/office/spreadsheetml/2010/11/ac" url="https://dxcportal-my.sharepoint.com/personal/mohammed_cherkaoui-dekkaki_dxc_com/Documents/Desktop/1- PORTFOLIO/1- CDG/4- Follow up Scan Vulnérabilité/"/>
    </mc:Choice>
  </mc:AlternateContent>
  <xr:revisionPtr revIDLastSave="25" documentId="13_ncr:1_{434D4B22-AAD0-409C-9F34-B2289D94276C}" xr6:coauthVersionLast="45" xr6:coauthVersionMax="45" xr10:uidLastSave="{8C89C864-141E-4A78-8CA6-B44B0D5E20A5}"/>
  <bookViews>
    <workbookView xWindow="-118" yWindow="-118" windowWidth="22229" windowHeight="13366" tabRatio="781" activeTab="3" xr2:uid="{9A312454-71EF-4EF1-8D3D-322568D3D0DD}"/>
  </bookViews>
  <sheets>
    <sheet name="Ref" sheetId="3" r:id="rId1"/>
    <sheet name="Rpt ext Octobre" sheetId="2" r:id="rId2"/>
    <sheet name="checker" sheetId="88" r:id="rId3"/>
    <sheet name="Récap par date scan " sheetId="86" r:id="rId4"/>
    <sheet name="ref statu" sheetId="85" state="hidden" r:id="rId5"/>
    <sheet name="chk" sheetId="79" r:id="rId6"/>
  </sheets>
  <externalReferences>
    <externalReference r:id="rId7"/>
    <externalReference r:id="rId8"/>
  </externalReferences>
  <definedNames>
    <definedName name="_xlnm._FilterDatabase" localSheetId="1" hidden="1">'Rpt ext Octobre'!$A$1:$AV$700</definedName>
  </definedNames>
  <calcPr calcId="191029"/>
  <pivotCaches>
    <pivotCache cacheId="2"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13" i="86" l="1"/>
  <c r="K29" i="86"/>
  <c r="O31" i="86"/>
  <c r="O32" i="86"/>
  <c r="O33" i="86"/>
  <c r="O34" i="86"/>
  <c r="P31" i="86"/>
  <c r="P32" i="86"/>
  <c r="P33" i="86"/>
  <c r="P34" i="86"/>
  <c r="R32" i="86"/>
  <c r="R34" i="86"/>
  <c r="Q31" i="86"/>
  <c r="Q32" i="86"/>
  <c r="Q33" i="86"/>
  <c r="Q34" i="86"/>
  <c r="R31" i="86"/>
  <c r="R33" i="86"/>
  <c r="R30" i="86"/>
  <c r="Q30" i="86"/>
  <c r="P30" i="86"/>
  <c r="O30" i="86"/>
  <c r="D36" i="86"/>
  <c r="E36" i="86"/>
  <c r="D31" i="86"/>
  <c r="H31" i="86"/>
  <c r="E32" i="86"/>
  <c r="I32" i="86"/>
  <c r="F33" i="86"/>
  <c r="J33" i="86"/>
  <c r="G34" i="86"/>
  <c r="H34" i="86"/>
  <c r="G31" i="86"/>
  <c r="H32" i="86"/>
  <c r="I33" i="86"/>
  <c r="E31" i="86"/>
  <c r="I31" i="86"/>
  <c r="F32" i="86"/>
  <c r="J32" i="86"/>
  <c r="G33" i="86"/>
  <c r="D34" i="86"/>
  <c r="D32" i="86"/>
  <c r="J34" i="86"/>
  <c r="F31" i="86"/>
  <c r="J31" i="86"/>
  <c r="G32" i="86"/>
  <c r="D33" i="86"/>
  <c r="H33" i="86"/>
  <c r="E34" i="86"/>
  <c r="I34" i="86"/>
  <c r="E33" i="86"/>
  <c r="F34" i="86"/>
  <c r="J36" i="86"/>
  <c r="R29" i="86" l="1"/>
  <c r="Q29" i="86"/>
  <c r="P29" i="86"/>
  <c r="O29" i="86"/>
  <c r="L33" i="86"/>
  <c r="P5" i="86"/>
  <c r="Q5" i="86"/>
  <c r="R5" i="86"/>
  <c r="O5" i="86"/>
  <c r="P11" i="86"/>
  <c r="Q11" i="86"/>
  <c r="R11" i="86"/>
  <c r="O11" i="86"/>
  <c r="E11" i="86"/>
  <c r="F11" i="86"/>
  <c r="G11" i="86"/>
  <c r="H11" i="86"/>
  <c r="I11" i="86"/>
  <c r="J11" i="86"/>
  <c r="D11" i="86"/>
  <c r="J30" i="86"/>
  <c r="J29" i="86" l="1"/>
  <c r="L11" i="86"/>
  <c r="L34" i="86"/>
  <c r="E5" i="86" l="1"/>
  <c r="F5" i="86"/>
  <c r="G5" i="86"/>
  <c r="H5" i="86"/>
  <c r="I5" i="86"/>
  <c r="J5" i="86"/>
  <c r="D5" i="86"/>
  <c r="AV695" i="2"/>
  <c r="AV696" i="2"/>
  <c r="AV697" i="2"/>
  <c r="AV698" i="2"/>
  <c r="AV699" i="2"/>
  <c r="AV700" i="2"/>
  <c r="A2" i="88"/>
  <c r="A3" i="88"/>
  <c r="A4" i="88"/>
  <c r="A5" i="88"/>
  <c r="A6" i="88"/>
  <c r="A7" i="88"/>
  <c r="A8" i="88"/>
  <c r="A9" i="88"/>
  <c r="A10" i="88"/>
  <c r="A11" i="88"/>
  <c r="A12" i="88"/>
  <c r="A13" i="88"/>
  <c r="A14" i="88"/>
  <c r="A15" i="88"/>
  <c r="A16" i="88"/>
  <c r="A17" i="88"/>
  <c r="A18" i="88"/>
  <c r="A19" i="88"/>
  <c r="A20" i="88"/>
  <c r="A21" i="88"/>
  <c r="A22" i="88"/>
  <c r="A23" i="88"/>
  <c r="A24" i="88"/>
  <c r="A25" i="88"/>
  <c r="A26" i="88"/>
  <c r="A27" i="88"/>
  <c r="A28" i="88"/>
  <c r="A29" i="88"/>
  <c r="A30" i="88"/>
  <c r="A31" i="88"/>
  <c r="A32" i="88"/>
  <c r="A33" i="88"/>
  <c r="A34" i="88"/>
  <c r="A35" i="88"/>
  <c r="A36" i="88"/>
  <c r="A37" i="88"/>
  <c r="A38" i="88"/>
  <c r="A39" i="88"/>
  <c r="A40" i="88"/>
  <c r="A41" i="88"/>
  <c r="A42" i="88"/>
  <c r="A43" i="88"/>
  <c r="A44" i="88"/>
  <c r="A45" i="88"/>
  <c r="A46" i="88"/>
  <c r="A47" i="88"/>
  <c r="A48" i="88"/>
  <c r="A49" i="88"/>
  <c r="A50" i="88"/>
  <c r="A51" i="88"/>
  <c r="A52" i="88"/>
  <c r="A53" i="88"/>
  <c r="A54" i="88"/>
  <c r="A55" i="88"/>
  <c r="A56" i="88"/>
  <c r="A57" i="88"/>
  <c r="A58" i="88"/>
  <c r="A59" i="88"/>
  <c r="A60" i="88"/>
  <c r="A61" i="88"/>
  <c r="A62" i="88"/>
  <c r="A63" i="88"/>
  <c r="A64" i="88"/>
  <c r="A65" i="88"/>
  <c r="A66" i="88"/>
  <c r="A67" i="88"/>
  <c r="A68" i="88"/>
  <c r="A69" i="88"/>
  <c r="A70" i="88"/>
  <c r="A71" i="88"/>
  <c r="A72" i="88"/>
  <c r="A73" i="88"/>
  <c r="A74" i="88"/>
  <c r="A75" i="88"/>
  <c r="A76" i="88"/>
  <c r="A77" i="88"/>
  <c r="A78" i="88"/>
  <c r="A79" i="88"/>
  <c r="A80" i="88"/>
  <c r="A81" i="88"/>
  <c r="A82" i="88"/>
  <c r="A83" i="88"/>
  <c r="A84" i="88"/>
  <c r="A85" i="88"/>
  <c r="A86" i="88"/>
  <c r="A87" i="88"/>
  <c r="A88" i="88"/>
  <c r="A89" i="88"/>
  <c r="A90" i="88"/>
  <c r="A91" i="88"/>
  <c r="A92" i="88"/>
  <c r="A93" i="88"/>
  <c r="A94" i="88"/>
  <c r="A95" i="88"/>
  <c r="A96" i="88"/>
  <c r="A97" i="88"/>
  <c r="A98" i="88"/>
  <c r="A99" i="88"/>
  <c r="A100" i="88"/>
  <c r="A101" i="88"/>
  <c r="A102" i="88"/>
  <c r="A103" i="88"/>
  <c r="A104" i="88"/>
  <c r="A105" i="88"/>
  <c r="A106" i="88"/>
  <c r="A107" i="88"/>
  <c r="A108" i="88"/>
  <c r="A109" i="88"/>
  <c r="A110" i="88"/>
  <c r="A111" i="88"/>
  <c r="A112" i="88"/>
  <c r="A113" i="88"/>
  <c r="A114" i="88"/>
  <c r="A115" i="88"/>
  <c r="A116" i="88"/>
  <c r="A117" i="88"/>
  <c r="A118" i="88"/>
  <c r="A119" i="88"/>
  <c r="A120" i="88"/>
  <c r="A121" i="88"/>
  <c r="A122" i="88"/>
  <c r="A123" i="88"/>
  <c r="A124" i="88"/>
  <c r="A125" i="88"/>
  <c r="A126" i="88"/>
  <c r="A127" i="88"/>
  <c r="A128" i="88"/>
  <c r="A129" i="88"/>
  <c r="A130" i="88"/>
  <c r="A131" i="88"/>
  <c r="A132" i="88"/>
  <c r="A133" i="88"/>
  <c r="A134" i="88"/>
  <c r="A135" i="88"/>
  <c r="A136" i="88"/>
  <c r="A137" i="88"/>
  <c r="A138" i="88"/>
  <c r="A139" i="88"/>
  <c r="A140" i="88"/>
  <c r="A141" i="88"/>
  <c r="A142" i="88"/>
  <c r="A143" i="88"/>
  <c r="A144" i="88"/>
  <c r="A145" i="88"/>
  <c r="A146" i="88"/>
  <c r="A147" i="88"/>
  <c r="A148" i="88"/>
  <c r="A149" i="88"/>
  <c r="A150" i="88"/>
  <c r="A151" i="88"/>
  <c r="A152" i="88"/>
  <c r="A153" i="88"/>
  <c r="A154" i="88"/>
  <c r="A155" i="88"/>
  <c r="A156" i="88"/>
  <c r="A157" i="88"/>
  <c r="A158" i="88"/>
  <c r="A159" i="88"/>
  <c r="A160" i="88"/>
  <c r="A161" i="88"/>
  <c r="A162" i="88"/>
  <c r="A163" i="88"/>
  <c r="A164" i="88"/>
  <c r="A165" i="88"/>
  <c r="A166" i="88"/>
  <c r="A167" i="88"/>
  <c r="A168" i="88"/>
  <c r="A169" i="88"/>
  <c r="A170" i="88"/>
  <c r="A171" i="88"/>
  <c r="A172" i="88"/>
  <c r="A173" i="88"/>
  <c r="A174" i="88"/>
  <c r="A175" i="88"/>
  <c r="A176" i="88"/>
  <c r="A177" i="88"/>
  <c r="A178" i="88"/>
  <c r="A179" i="88"/>
  <c r="A180" i="88"/>
  <c r="A181" i="88"/>
  <c r="A182" i="88"/>
  <c r="A183" i="88"/>
  <c r="A184" i="88"/>
  <c r="A185" i="88"/>
  <c r="A186" i="88"/>
  <c r="A187" i="88"/>
  <c r="A188" i="88"/>
  <c r="A189" i="88"/>
  <c r="A190" i="88"/>
  <c r="A191" i="88"/>
  <c r="A192" i="88"/>
  <c r="A193" i="88"/>
  <c r="A194" i="88"/>
  <c r="A195" i="88"/>
  <c r="A196" i="88"/>
  <c r="A197" i="88"/>
  <c r="A198" i="88"/>
  <c r="A199" i="88"/>
  <c r="A200" i="88"/>
  <c r="A201" i="88"/>
  <c r="A202" i="88"/>
  <c r="A203" i="88"/>
  <c r="A204" i="88"/>
  <c r="A205" i="88"/>
  <c r="A206" i="88"/>
  <c r="A207" i="88"/>
  <c r="A208" i="88"/>
  <c r="A209" i="88"/>
  <c r="A210" i="88"/>
  <c r="A211" i="88"/>
  <c r="A212" i="88"/>
  <c r="A213" i="88"/>
  <c r="A214" i="88"/>
  <c r="A215" i="88"/>
  <c r="A216" i="88"/>
  <c r="A217" i="88"/>
  <c r="A218" i="88"/>
  <c r="A219" i="88"/>
  <c r="A220" i="88"/>
  <c r="A221" i="88"/>
  <c r="A222" i="88"/>
  <c r="A223" i="88"/>
  <c r="A224" i="88"/>
  <c r="A225" i="88"/>
  <c r="A226" i="88"/>
  <c r="A227" i="88"/>
  <c r="A228" i="88"/>
  <c r="A229" i="88"/>
  <c r="A230" i="88"/>
  <c r="A231" i="88"/>
  <c r="A232" i="88"/>
  <c r="A233" i="88"/>
  <c r="A234" i="88"/>
  <c r="A235" i="88"/>
  <c r="A236" i="88"/>
  <c r="A237" i="88"/>
  <c r="A238" i="88"/>
  <c r="A239" i="88"/>
  <c r="A240" i="88"/>
  <c r="A241" i="88"/>
  <c r="A242" i="88"/>
  <c r="A243" i="88"/>
  <c r="A244" i="88"/>
  <c r="A245" i="88"/>
  <c r="A246" i="88"/>
  <c r="A247" i="88"/>
  <c r="A248" i="88"/>
  <c r="A249" i="88"/>
  <c r="A250" i="88"/>
  <c r="A251" i="88"/>
  <c r="A252" i="88"/>
  <c r="A253" i="88"/>
  <c r="A254" i="88"/>
  <c r="A255" i="88"/>
  <c r="A256" i="88"/>
  <c r="A257" i="88"/>
  <c r="A258" i="88"/>
  <c r="A259" i="88"/>
  <c r="A260" i="88"/>
  <c r="A261" i="88"/>
  <c r="A262" i="88"/>
  <c r="A263" i="88"/>
  <c r="A264" i="88"/>
  <c r="A265" i="88"/>
  <c r="A266" i="88"/>
  <c r="A267" i="88"/>
  <c r="A268" i="88"/>
  <c r="A269" i="88"/>
  <c r="A270" i="88"/>
  <c r="A271" i="88"/>
  <c r="A272" i="88"/>
  <c r="A273" i="88"/>
  <c r="A274" i="88"/>
  <c r="A275" i="88"/>
  <c r="A276" i="88"/>
  <c r="A277" i="88"/>
  <c r="A278" i="88"/>
  <c r="A279" i="88"/>
  <c r="A280" i="88"/>
  <c r="A281" i="88"/>
  <c r="A282" i="88"/>
  <c r="A283" i="88"/>
  <c r="A284" i="88"/>
  <c r="A285" i="88"/>
  <c r="A286" i="88"/>
  <c r="A287" i="88"/>
  <c r="A288" i="88"/>
  <c r="A289" i="88"/>
  <c r="L5" i="86" l="1"/>
  <c r="D19" i="86"/>
  <c r="O19" i="86"/>
  <c r="AU695" i="2"/>
  <c r="AU696" i="2"/>
  <c r="AU697" i="2"/>
  <c r="AU698" i="2"/>
  <c r="AU699" i="2"/>
  <c r="AU700" i="2"/>
  <c r="AT695" i="2"/>
  <c r="AT696" i="2"/>
  <c r="AT697" i="2"/>
  <c r="AT698" i="2"/>
  <c r="AT699" i="2"/>
  <c r="AT700" i="2"/>
  <c r="AS695" i="2"/>
  <c r="AS696" i="2"/>
  <c r="AS697" i="2"/>
  <c r="AS698" i="2"/>
  <c r="AS699" i="2"/>
  <c r="AS700" i="2"/>
  <c r="AK695" i="2"/>
  <c r="AL695" i="2"/>
  <c r="AK696" i="2"/>
  <c r="AL696" i="2"/>
  <c r="AK697" i="2"/>
  <c r="AL697" i="2"/>
  <c r="AK698" i="2"/>
  <c r="AL698" i="2"/>
  <c r="AK699" i="2"/>
  <c r="AL699" i="2"/>
  <c r="AK700" i="2"/>
  <c r="AL700" i="2"/>
  <c r="P12" i="86" l="1"/>
  <c r="P13" i="86" s="1"/>
  <c r="Q12" i="86"/>
  <c r="Q13" i="86" s="1"/>
  <c r="R12" i="86"/>
  <c r="R13" i="86" s="1"/>
  <c r="O12" i="86"/>
  <c r="O13" i="86" s="1"/>
  <c r="E12" i="86"/>
  <c r="F12" i="86"/>
  <c r="G12" i="86"/>
  <c r="H12" i="86"/>
  <c r="I12" i="86"/>
  <c r="D12" i="86"/>
  <c r="J13" i="86"/>
  <c r="F36" i="86"/>
  <c r="H30" i="86"/>
  <c r="G30" i="86"/>
  <c r="G36" i="86"/>
  <c r="F30" i="86"/>
  <c r="I116" i="86"/>
  <c r="I36" i="86"/>
  <c r="D30" i="86"/>
  <c r="I30" i="86"/>
  <c r="E30" i="86"/>
  <c r="H36" i="86"/>
  <c r="L36" i="86" l="1"/>
  <c r="E29" i="86"/>
  <c r="I29" i="86"/>
  <c r="D29" i="86"/>
  <c r="F29" i="86"/>
  <c r="G29" i="86"/>
  <c r="H29" i="86"/>
  <c r="D14" i="86"/>
  <c r="L12" i="86"/>
  <c r="H13" i="86"/>
  <c r="G13" i="86"/>
  <c r="F13" i="86"/>
  <c r="D13" i="86"/>
  <c r="I13" i="86"/>
  <c r="E13" i="86"/>
  <c r="H14" i="86"/>
  <c r="G14" i="86"/>
  <c r="F14" i="86"/>
  <c r="I14" i="86"/>
  <c r="E14" i="86"/>
  <c r="L29" i="86" l="1"/>
  <c r="L14" i="86" l="1"/>
  <c r="P19" i="86"/>
  <c r="Q19" i="86"/>
  <c r="R19" i="86"/>
  <c r="E6" i="86"/>
  <c r="F6" i="86"/>
  <c r="G6" i="86"/>
  <c r="H6" i="86"/>
  <c r="I6" i="86"/>
  <c r="J6" i="86"/>
  <c r="J7" i="86" s="1"/>
  <c r="D6" i="86"/>
  <c r="E19" i="86"/>
  <c r="F19" i="86"/>
  <c r="G19" i="86"/>
  <c r="H19" i="86"/>
  <c r="I19" i="86"/>
  <c r="J19" i="86"/>
  <c r="AS589" i="2"/>
  <c r="AS590" i="2"/>
  <c r="AS591" i="2"/>
  <c r="AS592" i="2"/>
  <c r="AS593" i="2"/>
  <c r="AS594" i="2"/>
  <c r="AS595" i="2"/>
  <c r="AS596" i="2"/>
  <c r="AS597" i="2"/>
  <c r="AS598" i="2"/>
  <c r="AS599" i="2"/>
  <c r="AS600" i="2"/>
  <c r="AS601" i="2"/>
  <c r="AS602" i="2"/>
  <c r="AS603" i="2"/>
  <c r="AS604" i="2"/>
  <c r="AS605" i="2"/>
  <c r="AS606" i="2"/>
  <c r="AS607" i="2"/>
  <c r="AS608" i="2"/>
  <c r="AS609" i="2"/>
  <c r="AS610" i="2"/>
  <c r="AS611" i="2"/>
  <c r="AS612" i="2"/>
  <c r="AS613" i="2"/>
  <c r="AS614" i="2"/>
  <c r="AS615" i="2"/>
  <c r="AS616" i="2"/>
  <c r="AS617" i="2"/>
  <c r="AS618" i="2"/>
  <c r="AS619" i="2"/>
  <c r="AS620" i="2"/>
  <c r="AS621" i="2"/>
  <c r="AS622" i="2"/>
  <c r="AS623" i="2"/>
  <c r="AS624" i="2"/>
  <c r="AS625" i="2"/>
  <c r="AS626" i="2"/>
  <c r="AS627" i="2"/>
  <c r="AS628" i="2"/>
  <c r="AS629" i="2"/>
  <c r="AS630" i="2"/>
  <c r="AS631" i="2"/>
  <c r="AS632" i="2"/>
  <c r="AS633" i="2"/>
  <c r="AS634" i="2"/>
  <c r="AS635" i="2"/>
  <c r="AS636" i="2"/>
  <c r="AS637" i="2"/>
  <c r="AS638" i="2"/>
  <c r="AS639" i="2"/>
  <c r="AS640" i="2"/>
  <c r="AS641" i="2"/>
  <c r="AS642" i="2"/>
  <c r="AS643" i="2"/>
  <c r="AS644" i="2"/>
  <c r="AS645" i="2"/>
  <c r="AS646" i="2"/>
  <c r="AS647" i="2"/>
  <c r="AS648" i="2"/>
  <c r="AS649" i="2"/>
  <c r="AS650" i="2"/>
  <c r="AS651" i="2"/>
  <c r="AS652" i="2"/>
  <c r="AS653" i="2"/>
  <c r="AS654" i="2"/>
  <c r="AS655" i="2"/>
  <c r="AS656" i="2"/>
  <c r="AS657" i="2"/>
  <c r="AS658" i="2"/>
  <c r="AS659" i="2"/>
  <c r="AS660" i="2"/>
  <c r="AS661" i="2"/>
  <c r="AS662" i="2"/>
  <c r="AS663" i="2"/>
  <c r="AS664" i="2"/>
  <c r="AS665" i="2"/>
  <c r="AS666" i="2"/>
  <c r="AS667" i="2"/>
  <c r="AS668" i="2"/>
  <c r="AS669" i="2"/>
  <c r="AS670" i="2"/>
  <c r="AS671" i="2"/>
  <c r="AS672" i="2"/>
  <c r="AS673" i="2"/>
  <c r="AS674" i="2"/>
  <c r="AS675" i="2"/>
  <c r="AS676" i="2"/>
  <c r="AS677" i="2"/>
  <c r="AS678" i="2"/>
  <c r="AS679" i="2"/>
  <c r="AS680" i="2"/>
  <c r="AS681" i="2"/>
  <c r="AS682" i="2"/>
  <c r="AS683" i="2"/>
  <c r="AS684" i="2"/>
  <c r="AS685" i="2"/>
  <c r="AS686" i="2"/>
  <c r="AS687" i="2"/>
  <c r="AS688" i="2"/>
  <c r="AS689" i="2"/>
  <c r="AS690" i="2"/>
  <c r="AS691" i="2"/>
  <c r="AS692" i="2"/>
  <c r="AS693" i="2"/>
  <c r="AS694" i="2"/>
  <c r="P6" i="86"/>
  <c r="R36" i="86"/>
  <c r="P36" i="86"/>
  <c r="R6" i="86"/>
  <c r="O36" i="86"/>
  <c r="Q6" i="86"/>
  <c r="O6" i="86"/>
  <c r="D8" i="86" l="1"/>
  <c r="L6" i="86"/>
  <c r="L19" i="86"/>
  <c r="O7" i="86"/>
  <c r="L32" i="86"/>
  <c r="L31" i="86"/>
  <c r="D7" i="86"/>
  <c r="A589" i="2"/>
  <c r="AV589" i="2" s="1"/>
  <c r="A590" i="2"/>
  <c r="AV590" i="2" s="1"/>
  <c r="A591" i="2"/>
  <c r="AV591" i="2" s="1"/>
  <c r="A592" i="2"/>
  <c r="AV592" i="2" s="1"/>
  <c r="A593" i="2"/>
  <c r="AV593" i="2" s="1"/>
  <c r="A594" i="2"/>
  <c r="AV594" i="2" s="1"/>
  <c r="A595" i="2"/>
  <c r="AV595" i="2" s="1"/>
  <c r="A596" i="2"/>
  <c r="AV596" i="2" s="1"/>
  <c r="A597" i="2"/>
  <c r="AV597" i="2" s="1"/>
  <c r="A598" i="2"/>
  <c r="AV598" i="2" s="1"/>
  <c r="A599" i="2"/>
  <c r="AV599" i="2" s="1"/>
  <c r="A600" i="2"/>
  <c r="AV600" i="2" s="1"/>
  <c r="A601" i="2"/>
  <c r="AV601" i="2" s="1"/>
  <c r="A602" i="2"/>
  <c r="AV602" i="2" s="1"/>
  <c r="A603" i="2"/>
  <c r="AV603" i="2" s="1"/>
  <c r="A604" i="2"/>
  <c r="AV604" i="2" s="1"/>
  <c r="A605" i="2"/>
  <c r="AV605" i="2" s="1"/>
  <c r="A606" i="2"/>
  <c r="AV606" i="2" s="1"/>
  <c r="A607" i="2"/>
  <c r="AV607" i="2" s="1"/>
  <c r="A608" i="2"/>
  <c r="AV608" i="2" s="1"/>
  <c r="A609" i="2"/>
  <c r="AV609" i="2" s="1"/>
  <c r="A610" i="2"/>
  <c r="AV610" i="2" s="1"/>
  <c r="A611" i="2"/>
  <c r="AV611" i="2" s="1"/>
  <c r="A612" i="2"/>
  <c r="AV612" i="2" s="1"/>
  <c r="A613" i="2"/>
  <c r="AV613" i="2" s="1"/>
  <c r="A614" i="2"/>
  <c r="AV614" i="2" s="1"/>
  <c r="A615" i="2"/>
  <c r="AV615" i="2" s="1"/>
  <c r="A616" i="2"/>
  <c r="AV616" i="2" s="1"/>
  <c r="A617" i="2"/>
  <c r="AV617" i="2" s="1"/>
  <c r="A618" i="2"/>
  <c r="AV618" i="2" s="1"/>
  <c r="A619" i="2"/>
  <c r="AV619" i="2" s="1"/>
  <c r="A620" i="2"/>
  <c r="AV620" i="2" s="1"/>
  <c r="A621" i="2"/>
  <c r="AV621" i="2" s="1"/>
  <c r="A622" i="2"/>
  <c r="AV622" i="2" s="1"/>
  <c r="A623" i="2"/>
  <c r="AV623" i="2" s="1"/>
  <c r="A624" i="2"/>
  <c r="AV624" i="2" s="1"/>
  <c r="A625" i="2"/>
  <c r="AV625" i="2" s="1"/>
  <c r="A626" i="2"/>
  <c r="AV626" i="2" s="1"/>
  <c r="A627" i="2"/>
  <c r="AV627" i="2" s="1"/>
  <c r="A628" i="2"/>
  <c r="AV628" i="2" s="1"/>
  <c r="A629" i="2"/>
  <c r="AV629" i="2" s="1"/>
  <c r="A630" i="2"/>
  <c r="AV630" i="2" s="1"/>
  <c r="A631" i="2"/>
  <c r="AV631" i="2" s="1"/>
  <c r="A632" i="2"/>
  <c r="AV632" i="2" s="1"/>
  <c r="A633" i="2"/>
  <c r="AV633" i="2" s="1"/>
  <c r="A634" i="2"/>
  <c r="AV634" i="2" s="1"/>
  <c r="A635" i="2"/>
  <c r="AV635" i="2" s="1"/>
  <c r="A636" i="2"/>
  <c r="AV636" i="2" s="1"/>
  <c r="A637" i="2"/>
  <c r="AV637" i="2" s="1"/>
  <c r="A638" i="2"/>
  <c r="AV638" i="2" s="1"/>
  <c r="A639" i="2"/>
  <c r="AV639" i="2" s="1"/>
  <c r="A640" i="2"/>
  <c r="AV640" i="2" s="1"/>
  <c r="A641" i="2"/>
  <c r="AV641" i="2" s="1"/>
  <c r="A642" i="2"/>
  <c r="AV642" i="2" s="1"/>
  <c r="A643" i="2"/>
  <c r="AV643" i="2" s="1"/>
  <c r="A644" i="2"/>
  <c r="AV644" i="2" s="1"/>
  <c r="A645" i="2"/>
  <c r="AV645" i="2" s="1"/>
  <c r="A646" i="2"/>
  <c r="AV646" i="2" s="1"/>
  <c r="A647" i="2"/>
  <c r="AV647" i="2" s="1"/>
  <c r="A648" i="2"/>
  <c r="AV648" i="2" s="1"/>
  <c r="A649" i="2"/>
  <c r="AV649" i="2" s="1"/>
  <c r="A650" i="2"/>
  <c r="AV650" i="2" s="1"/>
  <c r="A651" i="2"/>
  <c r="AV651" i="2" s="1"/>
  <c r="A652" i="2"/>
  <c r="AV652" i="2" s="1"/>
  <c r="A653" i="2"/>
  <c r="AV653" i="2" s="1"/>
  <c r="A654" i="2"/>
  <c r="AV654" i="2" s="1"/>
  <c r="A655" i="2"/>
  <c r="AV655" i="2" s="1"/>
  <c r="A656" i="2"/>
  <c r="AV656" i="2" s="1"/>
  <c r="A657" i="2"/>
  <c r="AV657" i="2" s="1"/>
  <c r="A658" i="2"/>
  <c r="AV658" i="2" s="1"/>
  <c r="A659" i="2"/>
  <c r="AV659" i="2" s="1"/>
  <c r="A660" i="2"/>
  <c r="AV660" i="2" s="1"/>
  <c r="A661" i="2"/>
  <c r="AV661" i="2" s="1"/>
  <c r="A662" i="2"/>
  <c r="AV662" i="2" s="1"/>
  <c r="A663" i="2"/>
  <c r="AV663" i="2" s="1"/>
  <c r="A664" i="2"/>
  <c r="AV664" i="2" s="1"/>
  <c r="A665" i="2"/>
  <c r="AV665" i="2" s="1"/>
  <c r="A666" i="2"/>
  <c r="AV666" i="2" s="1"/>
  <c r="A667" i="2"/>
  <c r="AV667" i="2" s="1"/>
  <c r="A668" i="2"/>
  <c r="AV668" i="2" s="1"/>
  <c r="A669" i="2"/>
  <c r="AV669" i="2" s="1"/>
  <c r="A670" i="2"/>
  <c r="AV670" i="2" s="1"/>
  <c r="A671" i="2"/>
  <c r="AV671" i="2" s="1"/>
  <c r="A672" i="2"/>
  <c r="AV672" i="2" s="1"/>
  <c r="A673" i="2"/>
  <c r="AV673" i="2" s="1"/>
  <c r="A674" i="2"/>
  <c r="AV674" i="2" s="1"/>
  <c r="A675" i="2"/>
  <c r="AV675" i="2" s="1"/>
  <c r="A676" i="2"/>
  <c r="AV676" i="2" s="1"/>
  <c r="A677" i="2"/>
  <c r="AV677" i="2" s="1"/>
  <c r="A678" i="2"/>
  <c r="AV678" i="2" s="1"/>
  <c r="A679" i="2"/>
  <c r="AV679" i="2" s="1"/>
  <c r="A680" i="2"/>
  <c r="AV680" i="2" s="1"/>
  <c r="A681" i="2"/>
  <c r="AV681" i="2" s="1"/>
  <c r="A682" i="2"/>
  <c r="AV682" i="2" s="1"/>
  <c r="A683" i="2"/>
  <c r="AV683" i="2" s="1"/>
  <c r="A684" i="2"/>
  <c r="AV684" i="2" s="1"/>
  <c r="A685" i="2"/>
  <c r="AV685" i="2" s="1"/>
  <c r="A686" i="2"/>
  <c r="AV686" i="2" s="1"/>
  <c r="A687" i="2"/>
  <c r="AV687" i="2" s="1"/>
  <c r="A688" i="2"/>
  <c r="AV688" i="2" s="1"/>
  <c r="A689" i="2"/>
  <c r="AV689" i="2" s="1"/>
  <c r="A690" i="2"/>
  <c r="AV690" i="2" s="1"/>
  <c r="A691" i="2"/>
  <c r="AV691" i="2" s="1"/>
  <c r="A692" i="2"/>
  <c r="AV692" i="2" s="1"/>
  <c r="A693" i="2"/>
  <c r="AV693" i="2" s="1"/>
  <c r="A694" i="2"/>
  <c r="AV694" i="2" s="1"/>
  <c r="AU694" i="2" l="1"/>
  <c r="AU690" i="2"/>
  <c r="AU686" i="2"/>
  <c r="AU682" i="2"/>
  <c r="AU678" i="2"/>
  <c r="AU674" i="2"/>
  <c r="AU670" i="2"/>
  <c r="AU666" i="2"/>
  <c r="AU662" i="2"/>
  <c r="AU658" i="2"/>
  <c r="AU654" i="2"/>
  <c r="AU650" i="2"/>
  <c r="AU646" i="2"/>
  <c r="AU642" i="2"/>
  <c r="AU638" i="2"/>
  <c r="AU634" i="2"/>
  <c r="AU630" i="2"/>
  <c r="AU626" i="2"/>
  <c r="AU622" i="2"/>
  <c r="AU618" i="2"/>
  <c r="AU614" i="2"/>
  <c r="AU610" i="2"/>
  <c r="AU606" i="2"/>
  <c r="AU602" i="2"/>
  <c r="AU598" i="2"/>
  <c r="AU594" i="2"/>
  <c r="AU590" i="2"/>
  <c r="AL691" i="2"/>
  <c r="AU691" i="2"/>
  <c r="AL683" i="2"/>
  <c r="AU683" i="2"/>
  <c r="AL675" i="2"/>
  <c r="AU675" i="2"/>
  <c r="AL667" i="2"/>
  <c r="AU667" i="2"/>
  <c r="AL663" i="2"/>
  <c r="AU663" i="2"/>
  <c r="AL655" i="2"/>
  <c r="AU655" i="2"/>
  <c r="AL647" i="2"/>
  <c r="AU647" i="2"/>
  <c r="AL639" i="2"/>
  <c r="AU639" i="2"/>
  <c r="AL631" i="2"/>
  <c r="AU631" i="2"/>
  <c r="AL627" i="2"/>
  <c r="AU627" i="2"/>
  <c r="AL619" i="2"/>
  <c r="AU619" i="2"/>
  <c r="AL615" i="2"/>
  <c r="AU615" i="2"/>
  <c r="AL611" i="2"/>
  <c r="AU611" i="2"/>
  <c r="AL607" i="2"/>
  <c r="AU607" i="2"/>
  <c r="AL603" i="2"/>
  <c r="AU603" i="2"/>
  <c r="AL599" i="2"/>
  <c r="AU599" i="2"/>
  <c r="AL595" i="2"/>
  <c r="AU595" i="2"/>
  <c r="AL591" i="2"/>
  <c r="AU591" i="2"/>
  <c r="AL687" i="2"/>
  <c r="AU687" i="2"/>
  <c r="AL679" i="2"/>
  <c r="AU679" i="2"/>
  <c r="AL671" i="2"/>
  <c r="AU671" i="2"/>
  <c r="AL659" i="2"/>
  <c r="AU659" i="2"/>
  <c r="AL651" i="2"/>
  <c r="AU651" i="2"/>
  <c r="AL643" i="2"/>
  <c r="AU643" i="2"/>
  <c r="AL635" i="2"/>
  <c r="AU635" i="2"/>
  <c r="AL623" i="2"/>
  <c r="AU623" i="2"/>
  <c r="AL693" i="2"/>
  <c r="AU693" i="2"/>
  <c r="AL689" i="2"/>
  <c r="AU689" i="2"/>
  <c r="AL685" i="2"/>
  <c r="AU685" i="2"/>
  <c r="AL681" i="2"/>
  <c r="AU681" i="2"/>
  <c r="AL677" i="2"/>
  <c r="AU677" i="2"/>
  <c r="AL673" i="2"/>
  <c r="AU673" i="2"/>
  <c r="AL669" i="2"/>
  <c r="AU669" i="2"/>
  <c r="AL665" i="2"/>
  <c r="AU665" i="2"/>
  <c r="AL661" i="2"/>
  <c r="AU661" i="2"/>
  <c r="AL657" i="2"/>
  <c r="AU657" i="2"/>
  <c r="AL653" i="2"/>
  <c r="AU653" i="2"/>
  <c r="AL649" i="2"/>
  <c r="AU649" i="2"/>
  <c r="AL645" i="2"/>
  <c r="AU645" i="2"/>
  <c r="AL641" i="2"/>
  <c r="AU641" i="2"/>
  <c r="AL637" i="2"/>
  <c r="AU637" i="2"/>
  <c r="AL633" i="2"/>
  <c r="AU633" i="2"/>
  <c r="AL629" i="2"/>
  <c r="AU629" i="2"/>
  <c r="AL625" i="2"/>
  <c r="AU625" i="2"/>
  <c r="AL621" i="2"/>
  <c r="AU621" i="2"/>
  <c r="AL617" i="2"/>
  <c r="AU617" i="2"/>
  <c r="AL613" i="2"/>
  <c r="AU613" i="2"/>
  <c r="AL609" i="2"/>
  <c r="AU609" i="2"/>
  <c r="AL605" i="2"/>
  <c r="AU605" i="2"/>
  <c r="AL601" i="2"/>
  <c r="AU601" i="2"/>
  <c r="AL597" i="2"/>
  <c r="AU597" i="2"/>
  <c r="AL593" i="2"/>
  <c r="AU593" i="2"/>
  <c r="AL589" i="2"/>
  <c r="AU589" i="2"/>
  <c r="AL692" i="2"/>
  <c r="AU692" i="2"/>
  <c r="AL688" i="2"/>
  <c r="AU688" i="2"/>
  <c r="AL684" i="2"/>
  <c r="AU684" i="2"/>
  <c r="AL680" i="2"/>
  <c r="AU680" i="2"/>
  <c r="AL676" i="2"/>
  <c r="AU676" i="2"/>
  <c r="AL672" i="2"/>
  <c r="AU672" i="2"/>
  <c r="AL668" i="2"/>
  <c r="AU668" i="2"/>
  <c r="AL664" i="2"/>
  <c r="AU664" i="2"/>
  <c r="AL660" i="2"/>
  <c r="AU660" i="2"/>
  <c r="AL656" i="2"/>
  <c r="AU656" i="2"/>
  <c r="AL652" i="2"/>
  <c r="AU652" i="2"/>
  <c r="AL648" i="2"/>
  <c r="AU648" i="2"/>
  <c r="AL644" i="2"/>
  <c r="AU644" i="2"/>
  <c r="AL640" i="2"/>
  <c r="AU640" i="2"/>
  <c r="AL636" i="2"/>
  <c r="AU636" i="2"/>
  <c r="AL632" i="2"/>
  <c r="AU632" i="2"/>
  <c r="AL628" i="2"/>
  <c r="AU628" i="2"/>
  <c r="AL624" i="2"/>
  <c r="AU624" i="2"/>
  <c r="AL620" i="2"/>
  <c r="AU620" i="2"/>
  <c r="AL616" i="2"/>
  <c r="AU616" i="2"/>
  <c r="AL612" i="2"/>
  <c r="AU612" i="2"/>
  <c r="AL608" i="2"/>
  <c r="AU608" i="2"/>
  <c r="AL604" i="2"/>
  <c r="AU604" i="2"/>
  <c r="AL600" i="2"/>
  <c r="AU600" i="2"/>
  <c r="AL596" i="2"/>
  <c r="AU596" i="2"/>
  <c r="AL592" i="2"/>
  <c r="AU592" i="2"/>
  <c r="AK687" i="2"/>
  <c r="AK671" i="2"/>
  <c r="AK664" i="2"/>
  <c r="AK651" i="2"/>
  <c r="AK635" i="2"/>
  <c r="AK619" i="2"/>
  <c r="AK603" i="2"/>
  <c r="AK683" i="2"/>
  <c r="AK667" i="2"/>
  <c r="AK663" i="2"/>
  <c r="AK647" i="2"/>
  <c r="AK631" i="2"/>
  <c r="AK615" i="2"/>
  <c r="AK599" i="2"/>
  <c r="AK679" i="2"/>
  <c r="AK659" i="2"/>
  <c r="AK643" i="2"/>
  <c r="AK627" i="2"/>
  <c r="AK611" i="2"/>
  <c r="AK595" i="2"/>
  <c r="AK691" i="2"/>
  <c r="AK675" i="2"/>
  <c r="AK665" i="2"/>
  <c r="AK655" i="2"/>
  <c r="AK639" i="2"/>
  <c r="AK623" i="2"/>
  <c r="AK607" i="2"/>
  <c r="AK591" i="2"/>
  <c r="AT694" i="2"/>
  <c r="AP694" i="2"/>
  <c r="AP690" i="2"/>
  <c r="AT690" i="2"/>
  <c r="AT686" i="2"/>
  <c r="AP686" i="2"/>
  <c r="AP682" i="2"/>
  <c r="AT682" i="2"/>
  <c r="AT678" i="2"/>
  <c r="AP678" i="2"/>
  <c r="AT674" i="2"/>
  <c r="AP674" i="2"/>
  <c r="AP670" i="2"/>
  <c r="AT670" i="2"/>
  <c r="AT666" i="2"/>
  <c r="AP666" i="2"/>
  <c r="AT662" i="2"/>
  <c r="AP662" i="2"/>
  <c r="AT658" i="2"/>
  <c r="AP658" i="2"/>
  <c r="AP654" i="2"/>
  <c r="AT654" i="2"/>
  <c r="AT650" i="2"/>
  <c r="AP650" i="2"/>
  <c r="AT646" i="2"/>
  <c r="AP646" i="2"/>
  <c r="AP642" i="2"/>
  <c r="AT642" i="2"/>
  <c r="AT638" i="2"/>
  <c r="AP638" i="2"/>
  <c r="AP634" i="2"/>
  <c r="AT634" i="2"/>
  <c r="AT630" i="2"/>
  <c r="AP630" i="2"/>
  <c r="AP626" i="2"/>
  <c r="AT626" i="2"/>
  <c r="AT622" i="2"/>
  <c r="AP622" i="2"/>
  <c r="AT618" i="2"/>
  <c r="AP618" i="2"/>
  <c r="AP614" i="2"/>
  <c r="AT614" i="2"/>
  <c r="AT610" i="2"/>
  <c r="AP610" i="2"/>
  <c r="AP606" i="2"/>
  <c r="AT606" i="2"/>
  <c r="AT602" i="2"/>
  <c r="AP602" i="2"/>
  <c r="AT598" i="2"/>
  <c r="AP598" i="2"/>
  <c r="AP594" i="2"/>
  <c r="AT594" i="2"/>
  <c r="AT590" i="2"/>
  <c r="AP590" i="2"/>
  <c r="AT693" i="2"/>
  <c r="AP693" i="2"/>
  <c r="AT689" i="2"/>
  <c r="AP689" i="2"/>
  <c r="AT685" i="2"/>
  <c r="AP685" i="2"/>
  <c r="AT681" i="2"/>
  <c r="AP681" i="2"/>
  <c r="AT677" i="2"/>
  <c r="AP677" i="2"/>
  <c r="AT673" i="2"/>
  <c r="AP673" i="2"/>
  <c r="AT669" i="2"/>
  <c r="AP669" i="2"/>
  <c r="AT661" i="2"/>
  <c r="AP661" i="2"/>
  <c r="AT657" i="2"/>
  <c r="AP657" i="2"/>
  <c r="AT653" i="2"/>
  <c r="AP653" i="2"/>
  <c r="AT649" i="2"/>
  <c r="AP649" i="2"/>
  <c r="AT645" i="2"/>
  <c r="AP645" i="2"/>
  <c r="AT641" i="2"/>
  <c r="AP641" i="2"/>
  <c r="AT637" i="2"/>
  <c r="AP637" i="2"/>
  <c r="AT633" i="2"/>
  <c r="AP633" i="2"/>
  <c r="AT629" i="2"/>
  <c r="AP629" i="2"/>
  <c r="AT625" i="2"/>
  <c r="AP625" i="2"/>
  <c r="AT621" i="2"/>
  <c r="AP621" i="2"/>
  <c r="AT617" i="2"/>
  <c r="AP617" i="2"/>
  <c r="AT613" i="2"/>
  <c r="AP613" i="2"/>
  <c r="AT609" i="2"/>
  <c r="AP609" i="2"/>
  <c r="AT605" i="2"/>
  <c r="AP605" i="2"/>
  <c r="AT601" i="2"/>
  <c r="AP601" i="2"/>
  <c r="AT597" i="2"/>
  <c r="AP597" i="2"/>
  <c r="AT593" i="2"/>
  <c r="AP593" i="2"/>
  <c r="AT589" i="2"/>
  <c r="AP589" i="2"/>
  <c r="AK694" i="2"/>
  <c r="AK690" i="2"/>
  <c r="AK686" i="2"/>
  <c r="AK682" i="2"/>
  <c r="AK678" i="2"/>
  <c r="AK674" i="2"/>
  <c r="AK670" i="2"/>
  <c r="AK666" i="2"/>
  <c r="AK662" i="2"/>
  <c r="AK658" i="2"/>
  <c r="AK654" i="2"/>
  <c r="AK650" i="2"/>
  <c r="AK646" i="2"/>
  <c r="AK642" i="2"/>
  <c r="AK638" i="2"/>
  <c r="AK634" i="2"/>
  <c r="AK630" i="2"/>
  <c r="AK626" i="2"/>
  <c r="AK622" i="2"/>
  <c r="AK618" i="2"/>
  <c r="AK614" i="2"/>
  <c r="AK610" i="2"/>
  <c r="AK606" i="2"/>
  <c r="AK602" i="2"/>
  <c r="AK598" i="2"/>
  <c r="AK594" i="2"/>
  <c r="AK590" i="2"/>
  <c r="AP692" i="2"/>
  <c r="AT692" i="2"/>
  <c r="AP688" i="2"/>
  <c r="AT688" i="2"/>
  <c r="AP684" i="2"/>
  <c r="AT684" i="2"/>
  <c r="AP680" i="2"/>
  <c r="AT680" i="2"/>
  <c r="AP676" i="2"/>
  <c r="AT676" i="2"/>
  <c r="AP672" i="2"/>
  <c r="AT672" i="2"/>
  <c r="AP668" i="2"/>
  <c r="AT668" i="2"/>
  <c r="AP660" i="2"/>
  <c r="AT660" i="2"/>
  <c r="AP656" i="2"/>
  <c r="AT656" i="2"/>
  <c r="AP652" i="2"/>
  <c r="AT652" i="2"/>
  <c r="AP648" i="2"/>
  <c r="AT648" i="2"/>
  <c r="AP644" i="2"/>
  <c r="AT644" i="2"/>
  <c r="AP640" i="2"/>
  <c r="AT640" i="2"/>
  <c r="AP636" i="2"/>
  <c r="AT636" i="2"/>
  <c r="AP632" i="2"/>
  <c r="AT632" i="2"/>
  <c r="AP628" i="2"/>
  <c r="AT628" i="2"/>
  <c r="AP624" i="2"/>
  <c r="AT624" i="2"/>
  <c r="AP620" i="2"/>
  <c r="AT620" i="2"/>
  <c r="AP616" i="2"/>
  <c r="AT616" i="2"/>
  <c r="AP612" i="2"/>
  <c r="AT612" i="2"/>
  <c r="AP608" i="2"/>
  <c r="AT608" i="2"/>
  <c r="AP604" i="2"/>
  <c r="AT604" i="2"/>
  <c r="AP600" i="2"/>
  <c r="AT600" i="2"/>
  <c r="AP596" i="2"/>
  <c r="AT596" i="2"/>
  <c r="AP592" i="2"/>
  <c r="AT592" i="2"/>
  <c r="AK693" i="2"/>
  <c r="AK689" i="2"/>
  <c r="AK685" i="2"/>
  <c r="AK681" i="2"/>
  <c r="AK677" i="2"/>
  <c r="AK673" i="2"/>
  <c r="AK669" i="2"/>
  <c r="AK661" i="2"/>
  <c r="AK657" i="2"/>
  <c r="AK653" i="2"/>
  <c r="AK649" i="2"/>
  <c r="AK645" i="2"/>
  <c r="AK641" i="2"/>
  <c r="AK637" i="2"/>
  <c r="AK633" i="2"/>
  <c r="AK629" i="2"/>
  <c r="AK625" i="2"/>
  <c r="AK621" i="2"/>
  <c r="AK617" i="2"/>
  <c r="AK613" i="2"/>
  <c r="AK609" i="2"/>
  <c r="AK605" i="2"/>
  <c r="AK601" i="2"/>
  <c r="AK597" i="2"/>
  <c r="AK593" i="2"/>
  <c r="AK589" i="2"/>
  <c r="AT691" i="2"/>
  <c r="AP691" i="2"/>
  <c r="AT687" i="2"/>
  <c r="AP687" i="2"/>
  <c r="AT683" i="2"/>
  <c r="AP683" i="2"/>
  <c r="AT679" i="2"/>
  <c r="AP679" i="2"/>
  <c r="AP675" i="2"/>
  <c r="AT675" i="2"/>
  <c r="AT671" i="2"/>
  <c r="AP671" i="2"/>
  <c r="AT667" i="2"/>
  <c r="AP667" i="2"/>
  <c r="AT665" i="2"/>
  <c r="AP665" i="2"/>
  <c r="AP664" i="2"/>
  <c r="AT664" i="2"/>
  <c r="AT663" i="2"/>
  <c r="AP663" i="2"/>
  <c r="AT659" i="2"/>
  <c r="AP659" i="2"/>
  <c r="AP655" i="2"/>
  <c r="AT655" i="2"/>
  <c r="AT651" i="2"/>
  <c r="AP651" i="2"/>
  <c r="AP647" i="2"/>
  <c r="AT647" i="2"/>
  <c r="AT643" i="2"/>
  <c r="AP643" i="2"/>
  <c r="AT639" i="2"/>
  <c r="AP639" i="2"/>
  <c r="AP635" i="2"/>
  <c r="AT635" i="2"/>
  <c r="AT631" i="2"/>
  <c r="AP631" i="2"/>
  <c r="AT627" i="2"/>
  <c r="AP627" i="2"/>
  <c r="AT623" i="2"/>
  <c r="AP623" i="2"/>
  <c r="AP619" i="2"/>
  <c r="AT619" i="2"/>
  <c r="AT615" i="2"/>
  <c r="AP615" i="2"/>
  <c r="AT611" i="2"/>
  <c r="AP611" i="2"/>
  <c r="AP607" i="2"/>
  <c r="AT607" i="2"/>
  <c r="AT603" i="2"/>
  <c r="AP603" i="2"/>
  <c r="AP599" i="2"/>
  <c r="AT599" i="2"/>
  <c r="AT595" i="2"/>
  <c r="AP595" i="2"/>
  <c r="AP591" i="2"/>
  <c r="AT591" i="2"/>
  <c r="AK692" i="2"/>
  <c r="AK688" i="2"/>
  <c r="AK684" i="2"/>
  <c r="AK680" i="2"/>
  <c r="AK676" i="2"/>
  <c r="AK672" i="2"/>
  <c r="AK668" i="2"/>
  <c r="AK660" i="2"/>
  <c r="AK656" i="2"/>
  <c r="AK652" i="2"/>
  <c r="AK648" i="2"/>
  <c r="AK644" i="2"/>
  <c r="AK640" i="2"/>
  <c r="AK636" i="2"/>
  <c r="AK632" i="2"/>
  <c r="AK628" i="2"/>
  <c r="AK624" i="2"/>
  <c r="AK620" i="2"/>
  <c r="AK616" i="2"/>
  <c r="AK612" i="2"/>
  <c r="AK608" i="2"/>
  <c r="AK604" i="2"/>
  <c r="AK600" i="2"/>
  <c r="AK596" i="2"/>
  <c r="AK592" i="2"/>
  <c r="AL694" i="2"/>
  <c r="AL690" i="2"/>
  <c r="AL686" i="2"/>
  <c r="AL682" i="2"/>
  <c r="AL678" i="2"/>
  <c r="AL674" i="2"/>
  <c r="AL670" i="2"/>
  <c r="AL666" i="2"/>
  <c r="AL662" i="2"/>
  <c r="AL658" i="2"/>
  <c r="AL654" i="2"/>
  <c r="AL650" i="2"/>
  <c r="AL646" i="2"/>
  <c r="AL642" i="2"/>
  <c r="AL638" i="2"/>
  <c r="AL634" i="2"/>
  <c r="AL630" i="2"/>
  <c r="AL626" i="2"/>
  <c r="AL622" i="2"/>
  <c r="AL618" i="2"/>
  <c r="AL614" i="2"/>
  <c r="AL610" i="2"/>
  <c r="AL606" i="2"/>
  <c r="AL602" i="2"/>
  <c r="AL598" i="2"/>
  <c r="AL594" i="2"/>
  <c r="AL590" i="2"/>
  <c r="P7" i="86"/>
  <c r="Q36" i="86"/>
  <c r="D37" i="86"/>
  <c r="D35" i="86" l="1"/>
  <c r="R7" i="86"/>
  <c r="Q7" i="86"/>
  <c r="O35" i="86"/>
  <c r="P35" i="86"/>
  <c r="Q35" i="86"/>
  <c r="R35" i="86"/>
  <c r="A586" i="2"/>
  <c r="AV586" i="2" s="1"/>
  <c r="A587" i="2"/>
  <c r="AV587" i="2" s="1"/>
  <c r="A588" i="2"/>
  <c r="AV588" i="2" s="1"/>
  <c r="AS586" i="2"/>
  <c r="AS587" i="2"/>
  <c r="AS588" i="2"/>
  <c r="G37" i="86"/>
  <c r="E37" i="86"/>
  <c r="J37" i="86"/>
  <c r="H37" i="86"/>
  <c r="I37" i="86"/>
  <c r="F37" i="86"/>
  <c r="AU588" i="2" l="1"/>
  <c r="AU586" i="2"/>
  <c r="G35" i="86"/>
  <c r="F35" i="86"/>
  <c r="E35" i="86"/>
  <c r="J35" i="86"/>
  <c r="H35" i="86"/>
  <c r="I35" i="86"/>
  <c r="AU587" i="2"/>
  <c r="L30" i="86"/>
  <c r="AT587" i="2"/>
  <c r="AP587" i="2"/>
  <c r="AK587" i="2"/>
  <c r="AL587" i="2"/>
  <c r="AP588" i="2"/>
  <c r="AK588" i="2"/>
  <c r="AL588" i="2"/>
  <c r="AT586" i="2"/>
  <c r="AP586" i="2"/>
  <c r="AL586" i="2"/>
  <c r="AK586" i="2"/>
  <c r="F7" i="86"/>
  <c r="I8" i="86"/>
  <c r="I7" i="86"/>
  <c r="E7" i="86"/>
  <c r="H7" i="86"/>
  <c r="G7" i="86"/>
  <c r="H8" i="86"/>
  <c r="G8" i="86"/>
  <c r="F8" i="86"/>
  <c r="E8" i="86"/>
  <c r="AT588" i="2"/>
  <c r="L7" i="86" l="1"/>
  <c r="L35" i="86"/>
  <c r="L8" i="86"/>
  <c r="J8" i="86"/>
  <c r="A3" i="2"/>
  <c r="AV3" i="2" s="1"/>
  <c r="A4" i="2"/>
  <c r="AV4" i="2" s="1"/>
  <c r="A5" i="2"/>
  <c r="AV5" i="2" s="1"/>
  <c r="A6" i="2"/>
  <c r="AV6" i="2" s="1"/>
  <c r="A7" i="2"/>
  <c r="AV7" i="2" s="1"/>
  <c r="A8" i="2"/>
  <c r="AV8" i="2" s="1"/>
  <c r="A9" i="2"/>
  <c r="AV9" i="2" s="1"/>
  <c r="A10" i="2"/>
  <c r="AV10" i="2" s="1"/>
  <c r="A11" i="2"/>
  <c r="AV11" i="2" s="1"/>
  <c r="A12" i="2"/>
  <c r="AV12" i="2" s="1"/>
  <c r="A13" i="2"/>
  <c r="AV13" i="2" s="1"/>
  <c r="A14" i="2"/>
  <c r="AV14" i="2" s="1"/>
  <c r="A15" i="2"/>
  <c r="AV15" i="2" s="1"/>
  <c r="A16" i="2"/>
  <c r="AV16" i="2" s="1"/>
  <c r="A17" i="2"/>
  <c r="AV17" i="2" s="1"/>
  <c r="A18" i="2"/>
  <c r="AV18" i="2" s="1"/>
  <c r="A19" i="2"/>
  <c r="AV19" i="2" s="1"/>
  <c r="A20" i="2"/>
  <c r="AV20" i="2" s="1"/>
  <c r="A21" i="2"/>
  <c r="AV21" i="2" s="1"/>
  <c r="A22" i="2"/>
  <c r="AV22" i="2" s="1"/>
  <c r="A23" i="2"/>
  <c r="AV23" i="2" s="1"/>
  <c r="A24" i="2"/>
  <c r="AV24" i="2" s="1"/>
  <c r="A25" i="2"/>
  <c r="AV25" i="2" s="1"/>
  <c r="A26" i="2"/>
  <c r="AV26" i="2" s="1"/>
  <c r="A27" i="2"/>
  <c r="AV27" i="2" s="1"/>
  <c r="A28" i="2"/>
  <c r="AV28" i="2" s="1"/>
  <c r="A29" i="2"/>
  <c r="AV29" i="2" s="1"/>
  <c r="A30" i="2"/>
  <c r="AV30" i="2" s="1"/>
  <c r="A31" i="2"/>
  <c r="AV31" i="2" s="1"/>
  <c r="A32" i="2"/>
  <c r="AV32" i="2" s="1"/>
  <c r="A33" i="2"/>
  <c r="AV33" i="2" s="1"/>
  <c r="A34" i="2"/>
  <c r="AV34" i="2" s="1"/>
  <c r="A35" i="2"/>
  <c r="AV35" i="2" s="1"/>
  <c r="A36" i="2"/>
  <c r="AV36" i="2" s="1"/>
  <c r="A37" i="2"/>
  <c r="AV37" i="2" s="1"/>
  <c r="A38" i="2"/>
  <c r="AV38" i="2" s="1"/>
  <c r="A39" i="2"/>
  <c r="AV39" i="2" s="1"/>
  <c r="A40" i="2"/>
  <c r="AV40" i="2" s="1"/>
  <c r="A41" i="2"/>
  <c r="AV41" i="2" s="1"/>
  <c r="A42" i="2"/>
  <c r="AV42" i="2" s="1"/>
  <c r="A43" i="2"/>
  <c r="AV43" i="2" s="1"/>
  <c r="A44" i="2"/>
  <c r="AV44" i="2" s="1"/>
  <c r="A45" i="2"/>
  <c r="AV45" i="2" s="1"/>
  <c r="A46" i="2"/>
  <c r="AV46" i="2" s="1"/>
  <c r="A47" i="2"/>
  <c r="AV47" i="2" s="1"/>
  <c r="A48" i="2"/>
  <c r="AV48" i="2" s="1"/>
  <c r="A49" i="2"/>
  <c r="AV49" i="2" s="1"/>
  <c r="A50" i="2"/>
  <c r="AV50" i="2" s="1"/>
  <c r="A51" i="2"/>
  <c r="AV51" i="2" s="1"/>
  <c r="A52" i="2"/>
  <c r="AV52" i="2" s="1"/>
  <c r="A53" i="2"/>
  <c r="AV53" i="2" s="1"/>
  <c r="A54" i="2"/>
  <c r="AV54" i="2" s="1"/>
  <c r="A55" i="2"/>
  <c r="AV55" i="2" s="1"/>
  <c r="A56" i="2"/>
  <c r="AV56" i="2" s="1"/>
  <c r="A57" i="2"/>
  <c r="AV57" i="2" s="1"/>
  <c r="A58" i="2"/>
  <c r="AV58" i="2" s="1"/>
  <c r="A59" i="2"/>
  <c r="AV59" i="2" s="1"/>
  <c r="A60" i="2"/>
  <c r="AV60" i="2" s="1"/>
  <c r="A61" i="2"/>
  <c r="AV61" i="2" s="1"/>
  <c r="A62" i="2"/>
  <c r="AV62" i="2" s="1"/>
  <c r="A63" i="2"/>
  <c r="AV63" i="2" s="1"/>
  <c r="A64" i="2"/>
  <c r="AV64" i="2" s="1"/>
  <c r="A65" i="2"/>
  <c r="AV65" i="2" s="1"/>
  <c r="A66" i="2"/>
  <c r="AV66" i="2" s="1"/>
  <c r="A67" i="2"/>
  <c r="AV67" i="2" s="1"/>
  <c r="A68" i="2"/>
  <c r="AV68" i="2" s="1"/>
  <c r="A69" i="2"/>
  <c r="AV69" i="2" s="1"/>
  <c r="A70" i="2"/>
  <c r="AV70" i="2" s="1"/>
  <c r="A71" i="2"/>
  <c r="AV71" i="2" s="1"/>
  <c r="A72" i="2"/>
  <c r="AV72" i="2" s="1"/>
  <c r="A73" i="2"/>
  <c r="AV73" i="2" s="1"/>
  <c r="A74" i="2"/>
  <c r="AV74" i="2" s="1"/>
  <c r="A75" i="2"/>
  <c r="AV75" i="2" s="1"/>
  <c r="A76" i="2"/>
  <c r="AV76" i="2" s="1"/>
  <c r="A77" i="2"/>
  <c r="AV77" i="2" s="1"/>
  <c r="A78" i="2"/>
  <c r="AV78" i="2" s="1"/>
  <c r="A79" i="2"/>
  <c r="AV79" i="2" s="1"/>
  <c r="A80" i="2"/>
  <c r="AV80" i="2" s="1"/>
  <c r="A81" i="2"/>
  <c r="AV81" i="2" s="1"/>
  <c r="A82" i="2"/>
  <c r="AV82" i="2" s="1"/>
  <c r="A83" i="2"/>
  <c r="AV83" i="2" s="1"/>
  <c r="A84" i="2"/>
  <c r="AV84" i="2" s="1"/>
  <c r="A85" i="2"/>
  <c r="AV85" i="2" s="1"/>
  <c r="A86" i="2"/>
  <c r="AV86" i="2" s="1"/>
  <c r="A87" i="2"/>
  <c r="AV87" i="2" s="1"/>
  <c r="A88" i="2"/>
  <c r="AV88" i="2" s="1"/>
  <c r="A89" i="2"/>
  <c r="AV89" i="2" s="1"/>
  <c r="A90" i="2"/>
  <c r="AV90" i="2" s="1"/>
  <c r="A91" i="2"/>
  <c r="AV91" i="2" s="1"/>
  <c r="A92" i="2"/>
  <c r="AV92" i="2" s="1"/>
  <c r="A93" i="2"/>
  <c r="AV93" i="2" s="1"/>
  <c r="A94" i="2"/>
  <c r="AV94" i="2" s="1"/>
  <c r="A95" i="2"/>
  <c r="AV95" i="2" s="1"/>
  <c r="A96" i="2"/>
  <c r="AV96" i="2" s="1"/>
  <c r="A97" i="2"/>
  <c r="AV97" i="2" s="1"/>
  <c r="A98" i="2"/>
  <c r="AV98" i="2" s="1"/>
  <c r="A99" i="2"/>
  <c r="AV99" i="2" s="1"/>
  <c r="A100" i="2"/>
  <c r="AV100" i="2" s="1"/>
  <c r="A101" i="2"/>
  <c r="AV101" i="2" s="1"/>
  <c r="A102" i="2"/>
  <c r="AV102" i="2" s="1"/>
  <c r="A103" i="2"/>
  <c r="AV103" i="2" s="1"/>
  <c r="A104" i="2"/>
  <c r="AV104" i="2" s="1"/>
  <c r="A105" i="2"/>
  <c r="AV105" i="2" s="1"/>
  <c r="A106" i="2"/>
  <c r="AV106" i="2" s="1"/>
  <c r="A107" i="2"/>
  <c r="AV107" i="2" s="1"/>
  <c r="A108" i="2"/>
  <c r="AV108" i="2" s="1"/>
  <c r="A109" i="2"/>
  <c r="AV109" i="2" s="1"/>
  <c r="A110" i="2"/>
  <c r="AV110" i="2" s="1"/>
  <c r="A111" i="2"/>
  <c r="AV111" i="2" s="1"/>
  <c r="A112" i="2"/>
  <c r="AV112" i="2" s="1"/>
  <c r="A113" i="2"/>
  <c r="AV113" i="2" s="1"/>
  <c r="A114" i="2"/>
  <c r="AV114" i="2" s="1"/>
  <c r="A115" i="2"/>
  <c r="AV115" i="2" s="1"/>
  <c r="A116" i="2"/>
  <c r="AV116" i="2" s="1"/>
  <c r="A117" i="2"/>
  <c r="AV117" i="2" s="1"/>
  <c r="A118" i="2"/>
  <c r="AV118" i="2" s="1"/>
  <c r="A119" i="2"/>
  <c r="AV119" i="2" s="1"/>
  <c r="A120" i="2"/>
  <c r="AV120" i="2" s="1"/>
  <c r="A121" i="2"/>
  <c r="AV121" i="2" s="1"/>
  <c r="A122" i="2"/>
  <c r="AV122" i="2" s="1"/>
  <c r="A123" i="2"/>
  <c r="AV123" i="2" s="1"/>
  <c r="A124" i="2"/>
  <c r="AV124" i="2" s="1"/>
  <c r="A125" i="2"/>
  <c r="AV125" i="2" s="1"/>
  <c r="A126" i="2"/>
  <c r="AV126" i="2" s="1"/>
  <c r="A127" i="2"/>
  <c r="AV127" i="2" s="1"/>
  <c r="A128" i="2"/>
  <c r="AV128" i="2" s="1"/>
  <c r="A129" i="2"/>
  <c r="AV129" i="2" s="1"/>
  <c r="A130" i="2"/>
  <c r="AV130" i="2" s="1"/>
  <c r="A131" i="2"/>
  <c r="AV131" i="2" s="1"/>
  <c r="A132" i="2"/>
  <c r="AV132" i="2" s="1"/>
  <c r="A133" i="2"/>
  <c r="AV133" i="2" s="1"/>
  <c r="A134" i="2"/>
  <c r="AV134" i="2" s="1"/>
  <c r="A135" i="2"/>
  <c r="AV135" i="2" s="1"/>
  <c r="A136" i="2"/>
  <c r="AV136" i="2" s="1"/>
  <c r="A137" i="2"/>
  <c r="AV137" i="2" s="1"/>
  <c r="A138" i="2"/>
  <c r="AV138" i="2" s="1"/>
  <c r="A139" i="2"/>
  <c r="AV139" i="2" s="1"/>
  <c r="A140" i="2"/>
  <c r="AV140" i="2" s="1"/>
  <c r="A141" i="2"/>
  <c r="AV141" i="2" s="1"/>
  <c r="A142" i="2"/>
  <c r="AV142" i="2" s="1"/>
  <c r="A143" i="2"/>
  <c r="AV143" i="2" s="1"/>
  <c r="A144" i="2"/>
  <c r="AV144" i="2" s="1"/>
  <c r="A145" i="2"/>
  <c r="AV145" i="2" s="1"/>
  <c r="A146" i="2"/>
  <c r="AV146" i="2" s="1"/>
  <c r="A147" i="2"/>
  <c r="AV147" i="2" s="1"/>
  <c r="A148" i="2"/>
  <c r="AV148" i="2" s="1"/>
  <c r="A149" i="2"/>
  <c r="AV149" i="2" s="1"/>
  <c r="A150" i="2"/>
  <c r="AV150" i="2" s="1"/>
  <c r="A151" i="2"/>
  <c r="AV151" i="2" s="1"/>
  <c r="A152" i="2"/>
  <c r="AV152" i="2" s="1"/>
  <c r="A153" i="2"/>
  <c r="AV153" i="2" s="1"/>
  <c r="A154" i="2"/>
  <c r="AV154" i="2" s="1"/>
  <c r="A155" i="2"/>
  <c r="AV155" i="2" s="1"/>
  <c r="A156" i="2"/>
  <c r="AV156" i="2" s="1"/>
  <c r="A157" i="2"/>
  <c r="AV157" i="2" s="1"/>
  <c r="A158" i="2"/>
  <c r="AV158" i="2" s="1"/>
  <c r="A159" i="2"/>
  <c r="AV159" i="2" s="1"/>
  <c r="A160" i="2"/>
  <c r="AV160" i="2" s="1"/>
  <c r="A161" i="2"/>
  <c r="AV161" i="2" s="1"/>
  <c r="A162" i="2"/>
  <c r="AV162" i="2" s="1"/>
  <c r="A163" i="2"/>
  <c r="AV163" i="2" s="1"/>
  <c r="A164" i="2"/>
  <c r="AV164" i="2" s="1"/>
  <c r="A165" i="2"/>
  <c r="AV165" i="2" s="1"/>
  <c r="A166" i="2"/>
  <c r="AV166" i="2" s="1"/>
  <c r="A167" i="2"/>
  <c r="AV167" i="2" s="1"/>
  <c r="A168" i="2"/>
  <c r="AV168" i="2" s="1"/>
  <c r="A169" i="2"/>
  <c r="AV169" i="2" s="1"/>
  <c r="A170" i="2"/>
  <c r="AV170" i="2" s="1"/>
  <c r="A171" i="2"/>
  <c r="AV171" i="2" s="1"/>
  <c r="A172" i="2"/>
  <c r="AV172" i="2" s="1"/>
  <c r="A173" i="2"/>
  <c r="AV173" i="2" s="1"/>
  <c r="A174" i="2"/>
  <c r="AV174" i="2" s="1"/>
  <c r="A175" i="2"/>
  <c r="AV175" i="2" s="1"/>
  <c r="A176" i="2"/>
  <c r="AV176" i="2" s="1"/>
  <c r="A177" i="2"/>
  <c r="AV177" i="2" s="1"/>
  <c r="A178" i="2"/>
  <c r="AV178" i="2" s="1"/>
  <c r="A179" i="2"/>
  <c r="AV179" i="2" s="1"/>
  <c r="A180" i="2"/>
  <c r="AV180" i="2" s="1"/>
  <c r="A181" i="2"/>
  <c r="AV181" i="2" s="1"/>
  <c r="A182" i="2"/>
  <c r="AV182" i="2" s="1"/>
  <c r="A183" i="2"/>
  <c r="AV183" i="2" s="1"/>
  <c r="A184" i="2"/>
  <c r="AV184" i="2" s="1"/>
  <c r="A185" i="2"/>
  <c r="AV185" i="2" s="1"/>
  <c r="A186" i="2"/>
  <c r="AV186" i="2" s="1"/>
  <c r="A187" i="2"/>
  <c r="AV187" i="2" s="1"/>
  <c r="A188" i="2"/>
  <c r="AV188" i="2" s="1"/>
  <c r="A189" i="2"/>
  <c r="AV189" i="2" s="1"/>
  <c r="A190" i="2"/>
  <c r="AV190" i="2" s="1"/>
  <c r="A191" i="2"/>
  <c r="AV191" i="2" s="1"/>
  <c r="A192" i="2"/>
  <c r="AV192" i="2" s="1"/>
  <c r="A193" i="2"/>
  <c r="AV193" i="2" s="1"/>
  <c r="A194" i="2"/>
  <c r="AV194" i="2" s="1"/>
  <c r="A195" i="2"/>
  <c r="AV195" i="2" s="1"/>
  <c r="A196" i="2"/>
  <c r="AV196" i="2" s="1"/>
  <c r="A197" i="2"/>
  <c r="AV197" i="2" s="1"/>
  <c r="A198" i="2"/>
  <c r="AV198" i="2" s="1"/>
  <c r="A199" i="2"/>
  <c r="AV199" i="2" s="1"/>
  <c r="A200" i="2"/>
  <c r="AV200" i="2" s="1"/>
  <c r="A201" i="2"/>
  <c r="AV201" i="2" s="1"/>
  <c r="A202" i="2"/>
  <c r="AV202" i="2" s="1"/>
  <c r="A203" i="2"/>
  <c r="AV203" i="2" s="1"/>
  <c r="A204" i="2"/>
  <c r="AV204" i="2" s="1"/>
  <c r="A205" i="2"/>
  <c r="AV205" i="2" s="1"/>
  <c r="A206" i="2"/>
  <c r="AV206" i="2" s="1"/>
  <c r="A207" i="2"/>
  <c r="AV207" i="2" s="1"/>
  <c r="A208" i="2"/>
  <c r="AV208" i="2" s="1"/>
  <c r="A209" i="2"/>
  <c r="AV209" i="2" s="1"/>
  <c r="A210" i="2"/>
  <c r="AV210" i="2" s="1"/>
  <c r="A211" i="2"/>
  <c r="AV211" i="2" s="1"/>
  <c r="A212" i="2"/>
  <c r="AV212" i="2" s="1"/>
  <c r="A213" i="2"/>
  <c r="AV213" i="2" s="1"/>
  <c r="A214" i="2"/>
  <c r="AV214" i="2" s="1"/>
  <c r="A215" i="2"/>
  <c r="AV215" i="2" s="1"/>
  <c r="A216" i="2"/>
  <c r="AV216" i="2" s="1"/>
  <c r="A217" i="2"/>
  <c r="AV217" i="2" s="1"/>
  <c r="A218" i="2"/>
  <c r="AV218" i="2" s="1"/>
  <c r="A219" i="2"/>
  <c r="AV219" i="2" s="1"/>
  <c r="A220" i="2"/>
  <c r="AV220" i="2" s="1"/>
  <c r="A221" i="2"/>
  <c r="AV221" i="2" s="1"/>
  <c r="A222" i="2"/>
  <c r="AV222" i="2" s="1"/>
  <c r="A223" i="2"/>
  <c r="AV223" i="2" s="1"/>
  <c r="A224" i="2"/>
  <c r="AV224" i="2" s="1"/>
  <c r="A225" i="2"/>
  <c r="AV225" i="2" s="1"/>
  <c r="A226" i="2"/>
  <c r="AV226" i="2" s="1"/>
  <c r="A227" i="2"/>
  <c r="AV227" i="2" s="1"/>
  <c r="A228" i="2"/>
  <c r="AV228" i="2" s="1"/>
  <c r="A229" i="2"/>
  <c r="AV229" i="2" s="1"/>
  <c r="A230" i="2"/>
  <c r="AV230" i="2" s="1"/>
  <c r="A231" i="2"/>
  <c r="AV231" i="2" s="1"/>
  <c r="A232" i="2"/>
  <c r="AV232" i="2" s="1"/>
  <c r="A233" i="2"/>
  <c r="AV233" i="2" s="1"/>
  <c r="A234" i="2"/>
  <c r="AV234" i="2" s="1"/>
  <c r="A235" i="2"/>
  <c r="AV235" i="2" s="1"/>
  <c r="A236" i="2"/>
  <c r="AV236" i="2" s="1"/>
  <c r="A237" i="2"/>
  <c r="AV237" i="2" s="1"/>
  <c r="A238" i="2"/>
  <c r="AV238" i="2" s="1"/>
  <c r="A239" i="2"/>
  <c r="AV239" i="2" s="1"/>
  <c r="A240" i="2"/>
  <c r="AV240" i="2" s="1"/>
  <c r="A241" i="2"/>
  <c r="AV241" i="2" s="1"/>
  <c r="A242" i="2"/>
  <c r="AV242" i="2" s="1"/>
  <c r="A243" i="2"/>
  <c r="AV243" i="2" s="1"/>
  <c r="A244" i="2"/>
  <c r="AV244" i="2" s="1"/>
  <c r="A245" i="2"/>
  <c r="AV245" i="2" s="1"/>
  <c r="A246" i="2"/>
  <c r="AV246" i="2" s="1"/>
  <c r="A247" i="2"/>
  <c r="AV247" i="2" s="1"/>
  <c r="A248" i="2"/>
  <c r="AV248" i="2" s="1"/>
  <c r="A249" i="2"/>
  <c r="AV249" i="2" s="1"/>
  <c r="A250" i="2"/>
  <c r="AV250" i="2" s="1"/>
  <c r="A251" i="2"/>
  <c r="AV251" i="2" s="1"/>
  <c r="A252" i="2"/>
  <c r="AV252" i="2" s="1"/>
  <c r="A253" i="2"/>
  <c r="AV253" i="2" s="1"/>
  <c r="A254" i="2"/>
  <c r="AV254" i="2" s="1"/>
  <c r="A255" i="2"/>
  <c r="AV255" i="2" s="1"/>
  <c r="A256" i="2"/>
  <c r="AV256" i="2" s="1"/>
  <c r="A257" i="2"/>
  <c r="AV257" i="2" s="1"/>
  <c r="A258" i="2"/>
  <c r="AV258" i="2" s="1"/>
  <c r="A259" i="2"/>
  <c r="AV259" i="2" s="1"/>
  <c r="A260" i="2"/>
  <c r="AV260" i="2" s="1"/>
  <c r="A261" i="2"/>
  <c r="AV261" i="2" s="1"/>
  <c r="A262" i="2"/>
  <c r="AV262" i="2" s="1"/>
  <c r="A263" i="2"/>
  <c r="AV263" i="2" s="1"/>
  <c r="A264" i="2"/>
  <c r="AV264" i="2" s="1"/>
  <c r="A265" i="2"/>
  <c r="AV265" i="2" s="1"/>
  <c r="A266" i="2"/>
  <c r="AV266" i="2" s="1"/>
  <c r="A267" i="2"/>
  <c r="AV267" i="2" s="1"/>
  <c r="A268" i="2"/>
  <c r="AV268" i="2" s="1"/>
  <c r="A269" i="2"/>
  <c r="AV269" i="2" s="1"/>
  <c r="A270" i="2"/>
  <c r="AV270" i="2" s="1"/>
  <c r="A271" i="2"/>
  <c r="AV271" i="2" s="1"/>
  <c r="A272" i="2"/>
  <c r="AV272" i="2" s="1"/>
  <c r="A273" i="2"/>
  <c r="AV273" i="2" s="1"/>
  <c r="A274" i="2"/>
  <c r="AV274" i="2" s="1"/>
  <c r="A275" i="2"/>
  <c r="AV275" i="2" s="1"/>
  <c r="A276" i="2"/>
  <c r="AV276" i="2" s="1"/>
  <c r="A277" i="2"/>
  <c r="AV277" i="2" s="1"/>
  <c r="A278" i="2"/>
  <c r="AV278" i="2" s="1"/>
  <c r="A279" i="2"/>
  <c r="AV279" i="2" s="1"/>
  <c r="A280" i="2"/>
  <c r="AV280" i="2" s="1"/>
  <c r="A281" i="2"/>
  <c r="AV281" i="2" s="1"/>
  <c r="A282" i="2"/>
  <c r="AV282" i="2" s="1"/>
  <c r="A283" i="2"/>
  <c r="AV283" i="2" s="1"/>
  <c r="A284" i="2"/>
  <c r="AV284" i="2" s="1"/>
  <c r="A285" i="2"/>
  <c r="AV285" i="2" s="1"/>
  <c r="A286" i="2"/>
  <c r="AV286" i="2" s="1"/>
  <c r="A287" i="2"/>
  <c r="AV287" i="2" s="1"/>
  <c r="A288" i="2"/>
  <c r="AV288" i="2" s="1"/>
  <c r="A289" i="2"/>
  <c r="AV289" i="2" s="1"/>
  <c r="A290" i="2"/>
  <c r="AV290" i="2" s="1"/>
  <c r="A291" i="2"/>
  <c r="AV291" i="2" s="1"/>
  <c r="A292" i="2"/>
  <c r="AV292" i="2" s="1"/>
  <c r="A293" i="2"/>
  <c r="AV293" i="2" s="1"/>
  <c r="A294" i="2"/>
  <c r="AV294" i="2" s="1"/>
  <c r="A295" i="2"/>
  <c r="AV295" i="2" s="1"/>
  <c r="A296" i="2"/>
  <c r="AV296" i="2" s="1"/>
  <c r="A297" i="2"/>
  <c r="AV297" i="2" s="1"/>
  <c r="A298" i="2"/>
  <c r="AV298" i="2" s="1"/>
  <c r="A299" i="2"/>
  <c r="AV299" i="2" s="1"/>
  <c r="A300" i="2"/>
  <c r="AV300" i="2" s="1"/>
  <c r="A301" i="2"/>
  <c r="AV301" i="2" s="1"/>
  <c r="A302" i="2"/>
  <c r="AV302" i="2" s="1"/>
  <c r="A303" i="2"/>
  <c r="AV303" i="2" s="1"/>
  <c r="A304" i="2"/>
  <c r="AV304" i="2" s="1"/>
  <c r="A305" i="2"/>
  <c r="AV305" i="2" s="1"/>
  <c r="A306" i="2"/>
  <c r="AV306" i="2" s="1"/>
  <c r="A307" i="2"/>
  <c r="AV307" i="2" s="1"/>
  <c r="A308" i="2"/>
  <c r="AV308" i="2" s="1"/>
  <c r="A309" i="2"/>
  <c r="AV309" i="2" s="1"/>
  <c r="A310" i="2"/>
  <c r="AV310" i="2" s="1"/>
  <c r="A311" i="2"/>
  <c r="AV311" i="2" s="1"/>
  <c r="A312" i="2"/>
  <c r="AV312" i="2" s="1"/>
  <c r="A313" i="2"/>
  <c r="AV313" i="2" s="1"/>
  <c r="A314" i="2"/>
  <c r="AV314" i="2" s="1"/>
  <c r="A315" i="2"/>
  <c r="AV315" i="2" s="1"/>
  <c r="A316" i="2"/>
  <c r="AV316" i="2" s="1"/>
  <c r="A317" i="2"/>
  <c r="AV317" i="2" s="1"/>
  <c r="A318" i="2"/>
  <c r="AV318" i="2" s="1"/>
  <c r="A319" i="2"/>
  <c r="AV319" i="2" s="1"/>
  <c r="A320" i="2"/>
  <c r="AV320" i="2" s="1"/>
  <c r="A321" i="2"/>
  <c r="AV321" i="2" s="1"/>
  <c r="A322" i="2"/>
  <c r="AV322" i="2" s="1"/>
  <c r="A323" i="2"/>
  <c r="AV323" i="2" s="1"/>
  <c r="A324" i="2"/>
  <c r="AV324" i="2" s="1"/>
  <c r="A325" i="2"/>
  <c r="AV325" i="2" s="1"/>
  <c r="A326" i="2"/>
  <c r="AV326" i="2" s="1"/>
  <c r="A327" i="2"/>
  <c r="AV327" i="2" s="1"/>
  <c r="A328" i="2"/>
  <c r="AV328" i="2" s="1"/>
  <c r="A329" i="2"/>
  <c r="AV329" i="2" s="1"/>
  <c r="A330" i="2"/>
  <c r="AV330" i="2" s="1"/>
  <c r="A331" i="2"/>
  <c r="AV331" i="2" s="1"/>
  <c r="A332" i="2"/>
  <c r="AV332" i="2" s="1"/>
  <c r="A333" i="2"/>
  <c r="AV333" i="2" s="1"/>
  <c r="A334" i="2"/>
  <c r="AV334" i="2" s="1"/>
  <c r="A335" i="2"/>
  <c r="AV335" i="2" s="1"/>
  <c r="A336" i="2"/>
  <c r="AV336" i="2" s="1"/>
  <c r="A337" i="2"/>
  <c r="AV337" i="2" s="1"/>
  <c r="A338" i="2"/>
  <c r="AV338" i="2" s="1"/>
  <c r="A339" i="2"/>
  <c r="AV339" i="2" s="1"/>
  <c r="A340" i="2"/>
  <c r="AV340" i="2" s="1"/>
  <c r="A341" i="2"/>
  <c r="AV341" i="2" s="1"/>
  <c r="A342" i="2"/>
  <c r="AV342" i="2" s="1"/>
  <c r="A343" i="2"/>
  <c r="AV343" i="2" s="1"/>
  <c r="A344" i="2"/>
  <c r="AV344" i="2" s="1"/>
  <c r="A345" i="2"/>
  <c r="AV345" i="2" s="1"/>
  <c r="A346" i="2"/>
  <c r="AV346" i="2" s="1"/>
  <c r="A347" i="2"/>
  <c r="AV347" i="2" s="1"/>
  <c r="A348" i="2"/>
  <c r="AV348" i="2" s="1"/>
  <c r="A349" i="2"/>
  <c r="AV349" i="2" s="1"/>
  <c r="A350" i="2"/>
  <c r="AV350" i="2" s="1"/>
  <c r="A351" i="2"/>
  <c r="AV351" i="2" s="1"/>
  <c r="A352" i="2"/>
  <c r="AV352" i="2" s="1"/>
  <c r="A353" i="2"/>
  <c r="AV353" i="2" s="1"/>
  <c r="A354" i="2"/>
  <c r="AV354" i="2" s="1"/>
  <c r="A355" i="2"/>
  <c r="AV355" i="2" s="1"/>
  <c r="A356" i="2"/>
  <c r="AV356" i="2" s="1"/>
  <c r="A357" i="2"/>
  <c r="AV357" i="2" s="1"/>
  <c r="A358" i="2"/>
  <c r="AV358" i="2" s="1"/>
  <c r="A359" i="2"/>
  <c r="AV359" i="2" s="1"/>
  <c r="A360" i="2"/>
  <c r="AV360" i="2" s="1"/>
  <c r="A361" i="2"/>
  <c r="AV361" i="2" s="1"/>
  <c r="A362" i="2"/>
  <c r="AV362" i="2" s="1"/>
  <c r="A363" i="2"/>
  <c r="AV363" i="2" s="1"/>
  <c r="A364" i="2"/>
  <c r="AV364" i="2" s="1"/>
  <c r="A365" i="2"/>
  <c r="AV365" i="2" s="1"/>
  <c r="A366" i="2"/>
  <c r="AV366" i="2" s="1"/>
  <c r="A367" i="2"/>
  <c r="AV367" i="2" s="1"/>
  <c r="A368" i="2"/>
  <c r="AV368" i="2" s="1"/>
  <c r="A369" i="2"/>
  <c r="AV369" i="2" s="1"/>
  <c r="A370" i="2"/>
  <c r="AV370" i="2" s="1"/>
  <c r="A371" i="2"/>
  <c r="AV371" i="2" s="1"/>
  <c r="A372" i="2"/>
  <c r="AV372" i="2" s="1"/>
  <c r="A373" i="2"/>
  <c r="AV373" i="2" s="1"/>
  <c r="A374" i="2"/>
  <c r="AV374" i="2" s="1"/>
  <c r="A375" i="2"/>
  <c r="AV375" i="2" s="1"/>
  <c r="A376" i="2"/>
  <c r="AV376" i="2" s="1"/>
  <c r="A377" i="2"/>
  <c r="AV377" i="2" s="1"/>
  <c r="A378" i="2"/>
  <c r="AV378" i="2" s="1"/>
  <c r="A379" i="2"/>
  <c r="AV379" i="2" s="1"/>
  <c r="A380" i="2"/>
  <c r="AV380" i="2" s="1"/>
  <c r="A381" i="2"/>
  <c r="AV381" i="2" s="1"/>
  <c r="A382" i="2"/>
  <c r="AV382" i="2" s="1"/>
  <c r="A383" i="2"/>
  <c r="AV383" i="2" s="1"/>
  <c r="A384" i="2"/>
  <c r="AV384" i="2" s="1"/>
  <c r="A385" i="2"/>
  <c r="AV385" i="2" s="1"/>
  <c r="A386" i="2"/>
  <c r="AV386" i="2" s="1"/>
  <c r="A387" i="2"/>
  <c r="AV387" i="2" s="1"/>
  <c r="A388" i="2"/>
  <c r="AV388" i="2" s="1"/>
  <c r="A389" i="2"/>
  <c r="AV389" i="2" s="1"/>
  <c r="A390" i="2"/>
  <c r="AV390" i="2" s="1"/>
  <c r="A391" i="2"/>
  <c r="AV391" i="2" s="1"/>
  <c r="A392" i="2"/>
  <c r="AV392" i="2" s="1"/>
  <c r="A393" i="2"/>
  <c r="AV393" i="2" s="1"/>
  <c r="A394" i="2"/>
  <c r="AV394" i="2" s="1"/>
  <c r="A395" i="2"/>
  <c r="AV395" i="2" s="1"/>
  <c r="A396" i="2"/>
  <c r="AV396" i="2" s="1"/>
  <c r="A397" i="2"/>
  <c r="AV397" i="2" s="1"/>
  <c r="A398" i="2"/>
  <c r="AV398" i="2" s="1"/>
  <c r="A399" i="2"/>
  <c r="AV399" i="2" s="1"/>
  <c r="A400" i="2"/>
  <c r="AV400" i="2" s="1"/>
  <c r="A401" i="2"/>
  <c r="AV401" i="2" s="1"/>
  <c r="A402" i="2"/>
  <c r="AV402" i="2" s="1"/>
  <c r="A403" i="2"/>
  <c r="AV403" i="2" s="1"/>
  <c r="A404" i="2"/>
  <c r="AV404" i="2" s="1"/>
  <c r="A405" i="2"/>
  <c r="AV405" i="2" s="1"/>
  <c r="A406" i="2"/>
  <c r="AV406" i="2" s="1"/>
  <c r="A407" i="2"/>
  <c r="AV407" i="2" s="1"/>
  <c r="A408" i="2"/>
  <c r="AV408" i="2" s="1"/>
  <c r="A409" i="2"/>
  <c r="AV409" i="2" s="1"/>
  <c r="A410" i="2"/>
  <c r="AV410" i="2" s="1"/>
  <c r="A411" i="2"/>
  <c r="AV411" i="2" s="1"/>
  <c r="A412" i="2"/>
  <c r="AV412" i="2" s="1"/>
  <c r="A413" i="2"/>
  <c r="AV413" i="2" s="1"/>
  <c r="A414" i="2"/>
  <c r="AV414" i="2" s="1"/>
  <c r="A415" i="2"/>
  <c r="AV415" i="2" s="1"/>
  <c r="A416" i="2"/>
  <c r="AV416" i="2" s="1"/>
  <c r="A417" i="2"/>
  <c r="AV417" i="2" s="1"/>
  <c r="A418" i="2"/>
  <c r="AV418" i="2" s="1"/>
  <c r="A419" i="2"/>
  <c r="AV419" i="2" s="1"/>
  <c r="A420" i="2"/>
  <c r="AV420" i="2" s="1"/>
  <c r="A421" i="2"/>
  <c r="AV421" i="2" s="1"/>
  <c r="A422" i="2"/>
  <c r="AV422" i="2" s="1"/>
  <c r="A423" i="2"/>
  <c r="AV423" i="2" s="1"/>
  <c r="A424" i="2"/>
  <c r="AV424" i="2" s="1"/>
  <c r="A425" i="2"/>
  <c r="AV425" i="2" s="1"/>
  <c r="A426" i="2"/>
  <c r="AV426" i="2" s="1"/>
  <c r="A427" i="2"/>
  <c r="AV427" i="2" s="1"/>
  <c r="A428" i="2"/>
  <c r="AV428" i="2" s="1"/>
  <c r="A429" i="2"/>
  <c r="AV429" i="2" s="1"/>
  <c r="A430" i="2"/>
  <c r="AV430" i="2" s="1"/>
  <c r="A431" i="2"/>
  <c r="AV431" i="2" s="1"/>
  <c r="A432" i="2"/>
  <c r="AV432" i="2" s="1"/>
  <c r="A433" i="2"/>
  <c r="AV433" i="2" s="1"/>
  <c r="A434" i="2"/>
  <c r="AV434" i="2" s="1"/>
  <c r="A435" i="2"/>
  <c r="AV435" i="2" s="1"/>
  <c r="A436" i="2"/>
  <c r="AV436" i="2" s="1"/>
  <c r="A437" i="2"/>
  <c r="AV437" i="2" s="1"/>
  <c r="A438" i="2"/>
  <c r="AV438" i="2" s="1"/>
  <c r="A439" i="2"/>
  <c r="AV439" i="2" s="1"/>
  <c r="A440" i="2"/>
  <c r="AV440" i="2" s="1"/>
  <c r="A441" i="2"/>
  <c r="AV441" i="2" s="1"/>
  <c r="A442" i="2"/>
  <c r="AV442" i="2" s="1"/>
  <c r="A443" i="2"/>
  <c r="AV443" i="2" s="1"/>
  <c r="A444" i="2"/>
  <c r="AV444" i="2" s="1"/>
  <c r="A445" i="2"/>
  <c r="AV445" i="2" s="1"/>
  <c r="A446" i="2"/>
  <c r="AV446" i="2" s="1"/>
  <c r="A447" i="2"/>
  <c r="AV447" i="2" s="1"/>
  <c r="A448" i="2"/>
  <c r="AV448" i="2" s="1"/>
  <c r="A449" i="2"/>
  <c r="AV449" i="2" s="1"/>
  <c r="A450" i="2"/>
  <c r="AV450" i="2" s="1"/>
  <c r="A451" i="2"/>
  <c r="AV451" i="2" s="1"/>
  <c r="A452" i="2"/>
  <c r="AV452" i="2" s="1"/>
  <c r="A453" i="2"/>
  <c r="AV453" i="2" s="1"/>
  <c r="A454" i="2"/>
  <c r="AV454" i="2" s="1"/>
  <c r="A455" i="2"/>
  <c r="AV455" i="2" s="1"/>
  <c r="A456" i="2"/>
  <c r="AV456" i="2" s="1"/>
  <c r="A457" i="2"/>
  <c r="AV457" i="2" s="1"/>
  <c r="A458" i="2"/>
  <c r="AV458" i="2" s="1"/>
  <c r="A459" i="2"/>
  <c r="AV459" i="2" s="1"/>
  <c r="A460" i="2"/>
  <c r="AV460" i="2" s="1"/>
  <c r="A461" i="2"/>
  <c r="AV461" i="2" s="1"/>
  <c r="A462" i="2"/>
  <c r="AV462" i="2" s="1"/>
  <c r="A463" i="2"/>
  <c r="AV463" i="2" s="1"/>
  <c r="A464" i="2"/>
  <c r="AV464" i="2" s="1"/>
  <c r="A465" i="2"/>
  <c r="AV465" i="2" s="1"/>
  <c r="A466" i="2"/>
  <c r="AV466" i="2" s="1"/>
  <c r="A467" i="2"/>
  <c r="AV467" i="2" s="1"/>
  <c r="A468" i="2"/>
  <c r="AV468" i="2" s="1"/>
  <c r="A469" i="2"/>
  <c r="AV469" i="2" s="1"/>
  <c r="A470" i="2"/>
  <c r="AV470" i="2" s="1"/>
  <c r="A471" i="2"/>
  <c r="AV471" i="2" s="1"/>
  <c r="A472" i="2"/>
  <c r="AV472" i="2" s="1"/>
  <c r="A473" i="2"/>
  <c r="AV473" i="2" s="1"/>
  <c r="A474" i="2"/>
  <c r="AV474" i="2" s="1"/>
  <c r="A475" i="2"/>
  <c r="AV475" i="2" s="1"/>
  <c r="A476" i="2"/>
  <c r="AV476" i="2" s="1"/>
  <c r="A477" i="2"/>
  <c r="AV477" i="2" s="1"/>
  <c r="A478" i="2"/>
  <c r="AV478" i="2" s="1"/>
  <c r="A479" i="2"/>
  <c r="AV479" i="2" s="1"/>
  <c r="A480" i="2"/>
  <c r="AV480" i="2" s="1"/>
  <c r="A481" i="2"/>
  <c r="AV481" i="2" s="1"/>
  <c r="A482" i="2"/>
  <c r="AV482" i="2" s="1"/>
  <c r="A483" i="2"/>
  <c r="AV483" i="2" s="1"/>
  <c r="A484" i="2"/>
  <c r="AV484" i="2" s="1"/>
  <c r="A485" i="2"/>
  <c r="AV485" i="2" s="1"/>
  <c r="A486" i="2"/>
  <c r="AV486" i="2" s="1"/>
  <c r="A487" i="2"/>
  <c r="AV487" i="2" s="1"/>
  <c r="A488" i="2"/>
  <c r="AV488" i="2" s="1"/>
  <c r="A489" i="2"/>
  <c r="AV489" i="2" s="1"/>
  <c r="A490" i="2"/>
  <c r="AV490" i="2" s="1"/>
  <c r="A491" i="2"/>
  <c r="AV491" i="2" s="1"/>
  <c r="A492" i="2"/>
  <c r="AV492" i="2" s="1"/>
  <c r="A493" i="2"/>
  <c r="AV493" i="2" s="1"/>
  <c r="A494" i="2"/>
  <c r="AV494" i="2" s="1"/>
  <c r="A495" i="2"/>
  <c r="AV495" i="2" s="1"/>
  <c r="A496" i="2"/>
  <c r="AV496" i="2" s="1"/>
  <c r="A497" i="2"/>
  <c r="AV497" i="2" s="1"/>
  <c r="A498" i="2"/>
  <c r="AV498" i="2" s="1"/>
  <c r="A499" i="2"/>
  <c r="AV499" i="2" s="1"/>
  <c r="A500" i="2"/>
  <c r="AV500" i="2" s="1"/>
  <c r="A501" i="2"/>
  <c r="AV501" i="2" s="1"/>
  <c r="A502" i="2"/>
  <c r="AV502" i="2" s="1"/>
  <c r="A503" i="2"/>
  <c r="AV503" i="2" s="1"/>
  <c r="A504" i="2"/>
  <c r="AV504" i="2" s="1"/>
  <c r="A505" i="2"/>
  <c r="AV505" i="2" s="1"/>
  <c r="A506" i="2"/>
  <c r="AV506" i="2" s="1"/>
  <c r="A507" i="2"/>
  <c r="AV507" i="2" s="1"/>
  <c r="A508" i="2"/>
  <c r="AV508" i="2" s="1"/>
  <c r="A509" i="2"/>
  <c r="AV509" i="2" s="1"/>
  <c r="A510" i="2"/>
  <c r="AV510" i="2" s="1"/>
  <c r="A511" i="2"/>
  <c r="AV511" i="2" s="1"/>
  <c r="A512" i="2"/>
  <c r="AV512" i="2" s="1"/>
  <c r="A513" i="2"/>
  <c r="AV513" i="2" s="1"/>
  <c r="A514" i="2"/>
  <c r="AV514" i="2" s="1"/>
  <c r="A515" i="2"/>
  <c r="AV515" i="2" s="1"/>
  <c r="A516" i="2"/>
  <c r="AV516" i="2" s="1"/>
  <c r="A517" i="2"/>
  <c r="AV517" i="2" s="1"/>
  <c r="A518" i="2"/>
  <c r="AV518" i="2" s="1"/>
  <c r="A519" i="2"/>
  <c r="AV519" i="2" s="1"/>
  <c r="A520" i="2"/>
  <c r="AV520" i="2" s="1"/>
  <c r="A521" i="2"/>
  <c r="AV521" i="2" s="1"/>
  <c r="A522" i="2"/>
  <c r="AV522" i="2" s="1"/>
  <c r="A523" i="2"/>
  <c r="AV523" i="2" s="1"/>
  <c r="A524" i="2"/>
  <c r="AV524" i="2" s="1"/>
  <c r="A525" i="2"/>
  <c r="AV525" i="2" s="1"/>
  <c r="A526" i="2"/>
  <c r="AV526" i="2" s="1"/>
  <c r="A527" i="2"/>
  <c r="AV527" i="2" s="1"/>
  <c r="A528" i="2"/>
  <c r="AV528" i="2" s="1"/>
  <c r="A529" i="2"/>
  <c r="AV529" i="2" s="1"/>
  <c r="A530" i="2"/>
  <c r="AV530" i="2" s="1"/>
  <c r="A531" i="2"/>
  <c r="AV531" i="2" s="1"/>
  <c r="A532" i="2"/>
  <c r="AV532" i="2" s="1"/>
  <c r="A533" i="2"/>
  <c r="AV533" i="2" s="1"/>
  <c r="A534" i="2"/>
  <c r="AV534" i="2" s="1"/>
  <c r="A535" i="2"/>
  <c r="AV535" i="2" s="1"/>
  <c r="A536" i="2"/>
  <c r="AV536" i="2" s="1"/>
  <c r="A537" i="2"/>
  <c r="AV537" i="2" s="1"/>
  <c r="A538" i="2"/>
  <c r="AV538" i="2" s="1"/>
  <c r="A539" i="2"/>
  <c r="AV539" i="2" s="1"/>
  <c r="A540" i="2"/>
  <c r="AV540" i="2" s="1"/>
  <c r="A541" i="2"/>
  <c r="AV541" i="2" s="1"/>
  <c r="A542" i="2"/>
  <c r="AV542" i="2" s="1"/>
  <c r="A543" i="2"/>
  <c r="AV543" i="2" s="1"/>
  <c r="A544" i="2"/>
  <c r="AV544" i="2" s="1"/>
  <c r="A545" i="2"/>
  <c r="AV545" i="2" s="1"/>
  <c r="A546" i="2"/>
  <c r="AV546" i="2" s="1"/>
  <c r="A547" i="2"/>
  <c r="AV547" i="2" s="1"/>
  <c r="A548" i="2"/>
  <c r="AV548" i="2" s="1"/>
  <c r="A549" i="2"/>
  <c r="AV549" i="2" s="1"/>
  <c r="A550" i="2"/>
  <c r="AV550" i="2" s="1"/>
  <c r="A551" i="2"/>
  <c r="AV551" i="2" s="1"/>
  <c r="A552" i="2"/>
  <c r="AV552" i="2" s="1"/>
  <c r="A553" i="2"/>
  <c r="AV553" i="2" s="1"/>
  <c r="A554" i="2"/>
  <c r="AV554" i="2" s="1"/>
  <c r="A555" i="2"/>
  <c r="AV555" i="2" s="1"/>
  <c r="A556" i="2"/>
  <c r="AV556" i="2" s="1"/>
  <c r="A557" i="2"/>
  <c r="AV557" i="2" s="1"/>
  <c r="A558" i="2"/>
  <c r="AV558" i="2" s="1"/>
  <c r="A559" i="2"/>
  <c r="AV559" i="2" s="1"/>
  <c r="A560" i="2"/>
  <c r="AV560" i="2" s="1"/>
  <c r="A561" i="2"/>
  <c r="AV561" i="2" s="1"/>
  <c r="A562" i="2"/>
  <c r="AV562" i="2" s="1"/>
  <c r="A563" i="2"/>
  <c r="AV563" i="2" s="1"/>
  <c r="A564" i="2"/>
  <c r="AV564" i="2" s="1"/>
  <c r="A565" i="2"/>
  <c r="AV565" i="2" s="1"/>
  <c r="A566" i="2"/>
  <c r="AV566" i="2" s="1"/>
  <c r="A567" i="2"/>
  <c r="AV567" i="2" s="1"/>
  <c r="A568" i="2"/>
  <c r="AV568" i="2" s="1"/>
  <c r="A569" i="2"/>
  <c r="AV569" i="2" s="1"/>
  <c r="A570" i="2"/>
  <c r="AV570" i="2" s="1"/>
  <c r="A571" i="2"/>
  <c r="AV571" i="2" s="1"/>
  <c r="A572" i="2"/>
  <c r="AV572" i="2" s="1"/>
  <c r="A573" i="2"/>
  <c r="AV573" i="2" s="1"/>
  <c r="A574" i="2"/>
  <c r="AV574" i="2" s="1"/>
  <c r="A575" i="2"/>
  <c r="AV575" i="2" s="1"/>
  <c r="A576" i="2"/>
  <c r="AV576" i="2" s="1"/>
  <c r="A577" i="2"/>
  <c r="AV577" i="2" s="1"/>
  <c r="A578" i="2"/>
  <c r="AV578" i="2" s="1"/>
  <c r="A579" i="2"/>
  <c r="AV579" i="2" s="1"/>
  <c r="A580" i="2"/>
  <c r="AV580" i="2" s="1"/>
  <c r="A581" i="2"/>
  <c r="AV581" i="2" s="1"/>
  <c r="A582" i="2"/>
  <c r="AV582" i="2" s="1"/>
  <c r="A583" i="2"/>
  <c r="AV583" i="2" s="1"/>
  <c r="A584" i="2"/>
  <c r="AV584" i="2" s="1"/>
  <c r="A585" i="2"/>
  <c r="AV585" i="2" s="1"/>
  <c r="A2" i="2"/>
  <c r="AV2" i="2" l="1"/>
  <c r="AU2" i="2"/>
  <c r="AU585" i="2"/>
  <c r="AU584" i="2"/>
  <c r="AU583" i="2"/>
  <c r="AU582" i="2"/>
  <c r="AU581" i="2"/>
  <c r="AU580" i="2"/>
  <c r="AU579" i="2"/>
  <c r="AU578" i="2"/>
  <c r="AU577" i="2"/>
  <c r="AU576" i="2"/>
  <c r="AU575" i="2"/>
  <c r="AU574" i="2"/>
  <c r="AU573" i="2"/>
  <c r="AU572" i="2"/>
  <c r="AU571" i="2"/>
  <c r="AU570" i="2"/>
  <c r="AU569" i="2"/>
  <c r="AU568" i="2"/>
  <c r="AU567" i="2"/>
  <c r="AU566" i="2"/>
  <c r="AU565" i="2"/>
  <c r="AU564" i="2"/>
  <c r="AU563" i="2"/>
  <c r="AU562" i="2"/>
  <c r="AU561" i="2"/>
  <c r="AU560" i="2"/>
  <c r="AU559" i="2"/>
  <c r="AU558" i="2"/>
  <c r="AU557" i="2"/>
  <c r="AU556" i="2"/>
  <c r="AU555" i="2"/>
  <c r="AU554" i="2"/>
  <c r="AU553" i="2"/>
  <c r="AU552" i="2"/>
  <c r="AU551" i="2"/>
  <c r="AU550" i="2"/>
  <c r="AU549" i="2"/>
  <c r="AU548" i="2"/>
  <c r="AU547" i="2"/>
  <c r="AU546" i="2"/>
  <c r="AU545" i="2"/>
  <c r="AU544" i="2"/>
  <c r="AU543" i="2"/>
  <c r="AU542" i="2"/>
  <c r="AU541" i="2"/>
  <c r="AU540" i="2"/>
  <c r="AU539" i="2"/>
  <c r="AU538" i="2"/>
  <c r="AU537" i="2"/>
  <c r="AU536" i="2"/>
  <c r="AU535" i="2"/>
  <c r="AU534" i="2"/>
  <c r="AU533" i="2"/>
  <c r="AU532" i="2"/>
  <c r="AU531" i="2"/>
  <c r="AU530" i="2"/>
  <c r="AU529" i="2"/>
  <c r="AU528" i="2"/>
  <c r="AU527" i="2"/>
  <c r="AU526" i="2"/>
  <c r="AU525" i="2"/>
  <c r="AU524" i="2"/>
  <c r="AU523" i="2"/>
  <c r="AU522" i="2"/>
  <c r="AU521" i="2"/>
  <c r="AU520" i="2"/>
  <c r="AU519" i="2"/>
  <c r="AU518" i="2"/>
  <c r="AU517" i="2"/>
  <c r="AU516" i="2"/>
  <c r="AU515" i="2"/>
  <c r="AU514" i="2"/>
  <c r="AU513" i="2"/>
  <c r="AU512" i="2"/>
  <c r="AU511" i="2"/>
  <c r="AU510" i="2"/>
  <c r="AU509" i="2"/>
  <c r="AU508" i="2"/>
  <c r="AU507" i="2"/>
  <c r="AU506" i="2"/>
  <c r="AU505" i="2"/>
  <c r="AU504" i="2"/>
  <c r="AU503" i="2"/>
  <c r="AU502" i="2"/>
  <c r="AU501" i="2"/>
  <c r="AU500" i="2"/>
  <c r="AU499" i="2"/>
  <c r="AU498" i="2"/>
  <c r="AU497" i="2"/>
  <c r="AU496" i="2"/>
  <c r="AU495" i="2"/>
  <c r="AU494" i="2"/>
  <c r="AU493" i="2"/>
  <c r="AU492" i="2"/>
  <c r="AU491" i="2"/>
  <c r="AU490" i="2"/>
  <c r="AU489" i="2"/>
  <c r="AU488" i="2"/>
  <c r="AU487" i="2"/>
  <c r="AU486" i="2"/>
  <c r="AU485" i="2"/>
  <c r="AU484" i="2"/>
  <c r="AU483" i="2"/>
  <c r="AU482" i="2"/>
  <c r="AU481" i="2"/>
  <c r="AU480" i="2"/>
  <c r="AU479" i="2"/>
  <c r="AU478" i="2"/>
  <c r="AU477" i="2"/>
  <c r="AU476" i="2"/>
  <c r="AU475" i="2"/>
  <c r="AU474" i="2"/>
  <c r="AU473" i="2"/>
  <c r="AU472" i="2"/>
  <c r="AU471" i="2"/>
  <c r="AU470" i="2"/>
  <c r="AU469" i="2"/>
  <c r="AU468" i="2"/>
  <c r="AU467" i="2"/>
  <c r="AU466" i="2"/>
  <c r="AU465" i="2"/>
  <c r="AU464" i="2"/>
  <c r="AU463" i="2"/>
  <c r="AU462" i="2"/>
  <c r="AU461" i="2"/>
  <c r="AU460" i="2"/>
  <c r="AU459" i="2"/>
  <c r="AU458" i="2"/>
  <c r="AU457" i="2"/>
  <c r="AU456" i="2"/>
  <c r="AU455" i="2"/>
  <c r="AU454" i="2"/>
  <c r="AU453" i="2"/>
  <c r="AU452" i="2"/>
  <c r="AU451" i="2"/>
  <c r="AU450" i="2"/>
  <c r="AU449" i="2"/>
  <c r="AU448" i="2"/>
  <c r="AU447" i="2"/>
  <c r="AU446" i="2"/>
  <c r="AU445" i="2"/>
  <c r="AU444" i="2"/>
  <c r="AU443" i="2"/>
  <c r="AU442" i="2"/>
  <c r="AU441" i="2"/>
  <c r="AU440" i="2"/>
  <c r="AU439" i="2"/>
  <c r="AU438" i="2"/>
  <c r="AU437" i="2"/>
  <c r="AU436" i="2"/>
  <c r="AU435" i="2"/>
  <c r="AU434" i="2"/>
  <c r="AU433" i="2"/>
  <c r="AU432" i="2"/>
  <c r="AU431" i="2"/>
  <c r="AU430" i="2"/>
  <c r="AU429" i="2"/>
  <c r="AU428" i="2"/>
  <c r="AU427" i="2"/>
  <c r="AU426" i="2"/>
  <c r="AU425" i="2"/>
  <c r="AU424" i="2"/>
  <c r="AU423" i="2"/>
  <c r="AU422" i="2"/>
  <c r="AU421" i="2"/>
  <c r="AU420" i="2"/>
  <c r="AU419" i="2"/>
  <c r="AU418" i="2"/>
  <c r="AU417" i="2"/>
  <c r="AU416" i="2"/>
  <c r="AU415" i="2"/>
  <c r="AU414" i="2"/>
  <c r="AU413" i="2"/>
  <c r="AU412" i="2"/>
  <c r="AU411" i="2"/>
  <c r="AU410" i="2"/>
  <c r="AU409" i="2"/>
  <c r="AU408" i="2"/>
  <c r="AU407" i="2"/>
  <c r="AU406" i="2"/>
  <c r="AU405" i="2"/>
  <c r="AU404" i="2"/>
  <c r="AU403" i="2"/>
  <c r="AU402" i="2"/>
  <c r="AU401" i="2"/>
  <c r="AU400" i="2"/>
  <c r="AU399" i="2"/>
  <c r="AU398" i="2"/>
  <c r="AU397" i="2"/>
  <c r="AU396" i="2"/>
  <c r="AU395" i="2"/>
  <c r="AU394" i="2"/>
  <c r="AU393" i="2"/>
  <c r="AU392" i="2"/>
  <c r="AU391" i="2"/>
  <c r="AU390" i="2"/>
  <c r="AU389" i="2"/>
  <c r="AU388" i="2"/>
  <c r="AU387" i="2"/>
  <c r="AU386" i="2"/>
  <c r="AU385" i="2"/>
  <c r="AU384" i="2"/>
  <c r="AU383" i="2"/>
  <c r="AU382" i="2"/>
  <c r="AU381" i="2"/>
  <c r="AU380" i="2"/>
  <c r="AU379" i="2"/>
  <c r="AU378" i="2"/>
  <c r="AU377" i="2"/>
  <c r="AU376" i="2"/>
  <c r="AU375" i="2"/>
  <c r="AU374" i="2"/>
  <c r="AU373" i="2"/>
  <c r="AU372" i="2"/>
  <c r="AU371" i="2"/>
  <c r="AU370" i="2"/>
  <c r="AU369" i="2"/>
  <c r="AU368" i="2"/>
  <c r="AU367" i="2"/>
  <c r="AU366" i="2"/>
  <c r="AU365" i="2"/>
  <c r="AU364" i="2"/>
  <c r="AU363" i="2"/>
  <c r="AU362" i="2"/>
  <c r="AU361" i="2"/>
  <c r="AU360" i="2"/>
  <c r="AU359" i="2"/>
  <c r="AU358" i="2"/>
  <c r="AU357" i="2"/>
  <c r="AU356" i="2"/>
  <c r="AU355" i="2"/>
  <c r="AU354" i="2"/>
  <c r="AU353" i="2"/>
  <c r="AU352" i="2"/>
  <c r="AU351" i="2"/>
  <c r="AU350" i="2"/>
  <c r="AU349" i="2"/>
  <c r="AU348" i="2"/>
  <c r="AU347" i="2"/>
  <c r="AU346" i="2"/>
  <c r="AU345" i="2"/>
  <c r="AU344" i="2"/>
  <c r="AU343" i="2"/>
  <c r="AU342" i="2"/>
  <c r="AU341" i="2"/>
  <c r="AU340" i="2"/>
  <c r="AU339" i="2"/>
  <c r="AU338" i="2"/>
  <c r="AU337" i="2"/>
  <c r="AU336" i="2"/>
  <c r="AU335" i="2"/>
  <c r="AU334" i="2"/>
  <c r="AU333" i="2"/>
  <c r="AU332" i="2"/>
  <c r="AU331" i="2"/>
  <c r="AU330" i="2"/>
  <c r="AU329" i="2"/>
  <c r="AU328" i="2"/>
  <c r="AU327" i="2"/>
  <c r="AU326" i="2"/>
  <c r="AU325" i="2"/>
  <c r="AU324" i="2"/>
  <c r="AU323" i="2"/>
  <c r="AU322" i="2"/>
  <c r="AU321" i="2"/>
  <c r="AU320" i="2"/>
  <c r="AU319" i="2"/>
  <c r="AU318" i="2"/>
  <c r="AU317" i="2"/>
  <c r="AU316" i="2"/>
  <c r="AU315" i="2"/>
  <c r="AU314" i="2"/>
  <c r="AU313" i="2"/>
  <c r="AU312" i="2"/>
  <c r="AU311" i="2"/>
  <c r="AU310" i="2"/>
  <c r="AU309" i="2"/>
  <c r="AU308" i="2"/>
  <c r="AU307" i="2"/>
  <c r="AU306" i="2"/>
  <c r="AU305" i="2"/>
  <c r="AU304" i="2"/>
  <c r="AU303" i="2"/>
  <c r="AU302" i="2"/>
  <c r="AU301" i="2"/>
  <c r="AU300" i="2"/>
  <c r="AU299" i="2"/>
  <c r="AU298" i="2"/>
  <c r="AU297" i="2"/>
  <c r="AU296" i="2"/>
  <c r="AU295" i="2"/>
  <c r="AU294" i="2"/>
  <c r="AU293" i="2"/>
  <c r="AU292" i="2"/>
  <c r="AU291" i="2"/>
  <c r="AU290" i="2"/>
  <c r="AU289" i="2"/>
  <c r="AU288" i="2"/>
  <c r="AU287" i="2"/>
  <c r="AU286" i="2"/>
  <c r="AU285" i="2"/>
  <c r="AU284" i="2"/>
  <c r="AU283" i="2"/>
  <c r="AU282" i="2"/>
  <c r="AU281" i="2"/>
  <c r="AU280" i="2"/>
  <c r="AU279" i="2"/>
  <c r="AU278" i="2"/>
  <c r="AU277" i="2"/>
  <c r="AU276" i="2"/>
  <c r="AU275" i="2"/>
  <c r="AU274" i="2"/>
  <c r="AU273" i="2"/>
  <c r="AU272" i="2"/>
  <c r="AU271" i="2"/>
  <c r="AU270" i="2"/>
  <c r="AU269" i="2"/>
  <c r="AU268" i="2"/>
  <c r="AU267" i="2"/>
  <c r="AU266" i="2"/>
  <c r="AU265" i="2"/>
  <c r="AU264" i="2"/>
  <c r="AU263" i="2"/>
  <c r="AU262" i="2"/>
  <c r="AU261" i="2"/>
  <c r="AU260" i="2"/>
  <c r="AU259" i="2"/>
  <c r="AU258" i="2"/>
  <c r="AU257" i="2"/>
  <c r="AU256" i="2"/>
  <c r="AU255" i="2"/>
  <c r="AU254" i="2"/>
  <c r="AU253" i="2"/>
  <c r="AU252" i="2"/>
  <c r="AU251" i="2"/>
  <c r="AU250" i="2"/>
  <c r="AU249" i="2"/>
  <c r="AU248" i="2"/>
  <c r="AU247" i="2"/>
  <c r="AU246" i="2"/>
  <c r="AU245" i="2"/>
  <c r="AU244" i="2"/>
  <c r="AU243" i="2"/>
  <c r="AU242" i="2"/>
  <c r="AU241" i="2"/>
  <c r="AU240" i="2"/>
  <c r="AU239" i="2"/>
  <c r="AU238" i="2"/>
  <c r="AU237" i="2"/>
  <c r="AU236" i="2"/>
  <c r="AU235" i="2"/>
  <c r="AU234" i="2"/>
  <c r="AU233" i="2"/>
  <c r="AU232" i="2"/>
  <c r="AU231" i="2"/>
  <c r="AU230" i="2"/>
  <c r="AU229" i="2"/>
  <c r="AU228" i="2"/>
  <c r="AU227" i="2"/>
  <c r="AU226" i="2"/>
  <c r="AU225" i="2"/>
  <c r="AU224" i="2"/>
  <c r="AU223" i="2"/>
  <c r="AU222" i="2"/>
  <c r="AU221" i="2"/>
  <c r="AU220" i="2"/>
  <c r="AU219" i="2"/>
  <c r="AU218" i="2"/>
  <c r="AU217" i="2"/>
  <c r="AU216" i="2"/>
  <c r="AU215" i="2"/>
  <c r="AU214" i="2"/>
  <c r="AU213" i="2"/>
  <c r="AU212" i="2"/>
  <c r="AU211" i="2"/>
  <c r="AU210" i="2"/>
  <c r="AU209" i="2"/>
  <c r="AU208" i="2"/>
  <c r="AU207" i="2"/>
  <c r="AU206" i="2"/>
  <c r="AU205" i="2"/>
  <c r="AU204" i="2"/>
  <c r="AU203" i="2"/>
  <c r="AU202" i="2"/>
  <c r="AU201" i="2"/>
  <c r="AU200" i="2"/>
  <c r="AU199" i="2"/>
  <c r="AU198" i="2"/>
  <c r="AU197" i="2"/>
  <c r="AU196" i="2"/>
  <c r="AU195" i="2"/>
  <c r="AU194" i="2"/>
  <c r="AU193" i="2"/>
  <c r="AU192" i="2"/>
  <c r="AU191" i="2"/>
  <c r="AU190" i="2"/>
  <c r="AU189" i="2"/>
  <c r="AU188" i="2"/>
  <c r="AU187" i="2"/>
  <c r="AU186" i="2"/>
  <c r="AU185" i="2"/>
  <c r="AU184" i="2"/>
  <c r="AU183" i="2"/>
  <c r="AU182" i="2"/>
  <c r="AU181" i="2"/>
  <c r="AU180" i="2"/>
  <c r="AU179" i="2"/>
  <c r="AU178" i="2"/>
  <c r="AU177" i="2"/>
  <c r="AU176" i="2"/>
  <c r="AU175" i="2"/>
  <c r="AU174" i="2"/>
  <c r="AU173" i="2"/>
  <c r="AU172" i="2"/>
  <c r="AU171" i="2"/>
  <c r="AU170" i="2"/>
  <c r="AU169" i="2"/>
  <c r="AU168" i="2"/>
  <c r="AU167" i="2"/>
  <c r="AU166" i="2"/>
  <c r="AU165" i="2"/>
  <c r="AU164" i="2"/>
  <c r="AU163" i="2"/>
  <c r="AU162" i="2"/>
  <c r="AU161" i="2"/>
  <c r="AU160" i="2"/>
  <c r="AU159" i="2"/>
  <c r="AU158" i="2"/>
  <c r="AU157" i="2"/>
  <c r="AU156" i="2"/>
  <c r="AU155" i="2"/>
  <c r="AU154" i="2"/>
  <c r="AU153" i="2"/>
  <c r="AU152" i="2"/>
  <c r="AU151" i="2"/>
  <c r="AU150" i="2"/>
  <c r="AU149" i="2"/>
  <c r="AU148" i="2"/>
  <c r="AU147" i="2"/>
  <c r="AU146" i="2"/>
  <c r="AU145" i="2"/>
  <c r="AU144" i="2"/>
  <c r="AU143" i="2"/>
  <c r="AU142" i="2"/>
  <c r="AU141" i="2"/>
  <c r="AU140" i="2"/>
  <c r="AU139" i="2"/>
  <c r="AU138" i="2"/>
  <c r="AU137" i="2"/>
  <c r="AU136" i="2"/>
  <c r="AU135" i="2"/>
  <c r="AU134" i="2"/>
  <c r="AU133" i="2"/>
  <c r="AU132" i="2"/>
  <c r="AU131" i="2"/>
  <c r="AU130" i="2"/>
  <c r="AU129" i="2"/>
  <c r="AU128" i="2"/>
  <c r="AU127" i="2"/>
  <c r="AU126" i="2"/>
  <c r="AU125" i="2"/>
  <c r="AU124" i="2"/>
  <c r="AU123" i="2"/>
  <c r="AU122" i="2"/>
  <c r="AU121" i="2"/>
  <c r="AU120" i="2"/>
  <c r="AU119" i="2"/>
  <c r="AU118" i="2"/>
  <c r="AU117" i="2"/>
  <c r="AU116" i="2"/>
  <c r="AU115" i="2"/>
  <c r="AU114" i="2"/>
  <c r="AU113" i="2"/>
  <c r="AU112" i="2"/>
  <c r="AU111" i="2"/>
  <c r="AU110" i="2"/>
  <c r="AU109" i="2"/>
  <c r="AU108" i="2"/>
  <c r="AU107" i="2"/>
  <c r="AU106" i="2"/>
  <c r="AU105" i="2"/>
  <c r="AU104" i="2"/>
  <c r="AU103" i="2"/>
  <c r="AU102" i="2"/>
  <c r="AU101" i="2"/>
  <c r="AU100" i="2"/>
  <c r="AU99" i="2"/>
  <c r="AU98" i="2"/>
  <c r="AU97" i="2"/>
  <c r="AU96" i="2"/>
  <c r="AU95" i="2"/>
  <c r="AU94" i="2"/>
  <c r="AU93" i="2"/>
  <c r="AU92" i="2"/>
  <c r="AU91" i="2"/>
  <c r="AU90" i="2"/>
  <c r="AU89" i="2"/>
  <c r="AU88" i="2"/>
  <c r="AU87" i="2"/>
  <c r="AU86" i="2"/>
  <c r="AU85" i="2"/>
  <c r="AU84" i="2"/>
  <c r="AU83" i="2"/>
  <c r="AU82" i="2"/>
  <c r="AU81" i="2"/>
  <c r="AU80" i="2"/>
  <c r="AU79" i="2"/>
  <c r="AU78" i="2"/>
  <c r="AU77" i="2"/>
  <c r="AU76" i="2"/>
  <c r="AU75" i="2"/>
  <c r="AU74" i="2"/>
  <c r="AU73" i="2"/>
  <c r="AU72" i="2"/>
  <c r="AU71" i="2"/>
  <c r="AU70" i="2"/>
  <c r="AU69" i="2"/>
  <c r="AU68" i="2"/>
  <c r="AU67" i="2"/>
  <c r="AU66" i="2"/>
  <c r="AU65" i="2"/>
  <c r="AU64" i="2"/>
  <c r="AU63" i="2"/>
  <c r="AU62" i="2"/>
  <c r="AU61" i="2"/>
  <c r="AU60" i="2"/>
  <c r="AU59" i="2"/>
  <c r="AU58" i="2"/>
  <c r="AU57" i="2"/>
  <c r="AU56" i="2"/>
  <c r="AU55" i="2"/>
  <c r="AU54" i="2"/>
  <c r="AU53" i="2"/>
  <c r="AU52" i="2"/>
  <c r="AU51" i="2"/>
  <c r="AU50" i="2"/>
  <c r="AU49" i="2"/>
  <c r="AU48" i="2"/>
  <c r="AU47" i="2"/>
  <c r="AU46" i="2"/>
  <c r="AU45" i="2"/>
  <c r="AU44" i="2"/>
  <c r="AU43" i="2"/>
  <c r="AU42" i="2"/>
  <c r="AU41" i="2"/>
  <c r="AU40" i="2"/>
  <c r="AU39" i="2"/>
  <c r="AU38" i="2"/>
  <c r="AU37" i="2"/>
  <c r="AU36" i="2"/>
  <c r="AU35" i="2"/>
  <c r="AU34" i="2"/>
  <c r="AU33" i="2"/>
  <c r="AU32" i="2"/>
  <c r="AU31" i="2"/>
  <c r="AU30" i="2"/>
  <c r="AU29" i="2"/>
  <c r="AU28" i="2"/>
  <c r="AU27" i="2"/>
  <c r="AU26" i="2"/>
  <c r="AU25" i="2"/>
  <c r="AU24" i="2"/>
  <c r="AU23" i="2"/>
  <c r="AU22" i="2"/>
  <c r="AU21" i="2"/>
  <c r="AU20" i="2"/>
  <c r="AU19" i="2"/>
  <c r="AU18" i="2"/>
  <c r="AU17" i="2"/>
  <c r="AU16" i="2"/>
  <c r="AU15" i="2"/>
  <c r="AU14" i="2"/>
  <c r="AU13" i="2"/>
  <c r="AU12" i="2"/>
  <c r="AU11" i="2"/>
  <c r="AU10" i="2"/>
  <c r="AU9" i="2"/>
  <c r="AU8" i="2"/>
  <c r="AU7" i="2"/>
  <c r="AU6" i="2"/>
  <c r="AU5" i="2"/>
  <c r="AU4" i="2"/>
  <c r="AU3" i="2"/>
  <c r="AS3" i="2" l="1"/>
  <c r="AS4" i="2"/>
  <c r="AS5" i="2"/>
  <c r="AS6" i="2"/>
  <c r="AS7" i="2"/>
  <c r="AS8" i="2"/>
  <c r="AS9" i="2"/>
  <c r="AS10" i="2"/>
  <c r="AS11" i="2"/>
  <c r="AS12" i="2"/>
  <c r="AS13" i="2"/>
  <c r="AS14" i="2"/>
  <c r="AS15" i="2"/>
  <c r="AS16" i="2"/>
  <c r="AS17" i="2"/>
  <c r="AS18" i="2"/>
  <c r="AS19" i="2"/>
  <c r="AS20" i="2"/>
  <c r="AS21" i="2"/>
  <c r="AS22" i="2"/>
  <c r="AS23" i="2"/>
  <c r="AS24" i="2"/>
  <c r="AS25" i="2"/>
  <c r="AS26" i="2"/>
  <c r="AS27" i="2"/>
  <c r="AS28" i="2"/>
  <c r="AS29" i="2"/>
  <c r="AS30" i="2"/>
  <c r="AS31" i="2"/>
  <c r="AS32" i="2"/>
  <c r="AS33" i="2"/>
  <c r="AS34" i="2"/>
  <c r="AS35" i="2"/>
  <c r="AS36" i="2"/>
  <c r="AS37" i="2"/>
  <c r="AS38" i="2"/>
  <c r="AS39" i="2"/>
  <c r="AS40" i="2"/>
  <c r="AS41" i="2"/>
  <c r="AS42" i="2"/>
  <c r="AS43" i="2"/>
  <c r="AS44" i="2"/>
  <c r="AS45" i="2"/>
  <c r="AS46" i="2"/>
  <c r="AS47" i="2"/>
  <c r="AS48" i="2"/>
  <c r="AS49" i="2"/>
  <c r="AS50" i="2"/>
  <c r="AS51" i="2"/>
  <c r="AS52" i="2"/>
  <c r="AS53" i="2"/>
  <c r="AS54" i="2"/>
  <c r="AS55" i="2"/>
  <c r="AS56" i="2"/>
  <c r="AS57" i="2"/>
  <c r="AS58" i="2"/>
  <c r="AS59" i="2"/>
  <c r="AS60" i="2"/>
  <c r="AS61" i="2"/>
  <c r="AS62" i="2"/>
  <c r="AS63" i="2"/>
  <c r="AS64" i="2"/>
  <c r="AS65" i="2"/>
  <c r="AS66" i="2"/>
  <c r="AS67" i="2"/>
  <c r="AS68" i="2"/>
  <c r="AS69" i="2"/>
  <c r="AS70" i="2"/>
  <c r="AS71" i="2"/>
  <c r="AS72" i="2"/>
  <c r="AS73" i="2"/>
  <c r="AS74" i="2"/>
  <c r="AS75" i="2"/>
  <c r="AS76" i="2"/>
  <c r="AS77" i="2"/>
  <c r="AS78" i="2"/>
  <c r="AS79" i="2"/>
  <c r="AS80" i="2"/>
  <c r="AS81" i="2"/>
  <c r="AS82" i="2"/>
  <c r="AS83" i="2"/>
  <c r="AS84" i="2"/>
  <c r="AS85" i="2"/>
  <c r="AS86" i="2"/>
  <c r="AS87" i="2"/>
  <c r="AS88" i="2"/>
  <c r="AS89" i="2"/>
  <c r="AS90" i="2"/>
  <c r="AS91" i="2"/>
  <c r="AS92" i="2"/>
  <c r="AS93" i="2"/>
  <c r="AS94" i="2"/>
  <c r="AS95" i="2"/>
  <c r="AS96" i="2"/>
  <c r="AS97" i="2"/>
  <c r="AS98" i="2"/>
  <c r="AS99" i="2"/>
  <c r="AS100" i="2"/>
  <c r="AS101" i="2"/>
  <c r="AS102" i="2"/>
  <c r="AS103" i="2"/>
  <c r="AS104" i="2"/>
  <c r="AS105" i="2"/>
  <c r="AS106" i="2"/>
  <c r="AS107" i="2"/>
  <c r="AS108" i="2"/>
  <c r="AS109" i="2"/>
  <c r="AS110" i="2"/>
  <c r="AS111" i="2"/>
  <c r="AS112" i="2"/>
  <c r="AS113" i="2"/>
  <c r="AS114" i="2"/>
  <c r="AS115" i="2"/>
  <c r="AS116" i="2"/>
  <c r="AS117" i="2"/>
  <c r="AS118" i="2"/>
  <c r="AS119" i="2"/>
  <c r="AS120" i="2"/>
  <c r="AS121" i="2"/>
  <c r="AS122" i="2"/>
  <c r="AS123" i="2"/>
  <c r="AS124" i="2"/>
  <c r="AS125" i="2"/>
  <c r="AS126" i="2"/>
  <c r="AS127" i="2"/>
  <c r="AS128" i="2"/>
  <c r="AS129" i="2"/>
  <c r="AS130" i="2"/>
  <c r="AS131" i="2"/>
  <c r="AS132" i="2"/>
  <c r="AS133" i="2"/>
  <c r="AS134" i="2"/>
  <c r="AS135" i="2"/>
  <c r="AS136" i="2"/>
  <c r="AS137" i="2"/>
  <c r="AS138" i="2"/>
  <c r="AS139" i="2"/>
  <c r="AS140" i="2"/>
  <c r="AS141" i="2"/>
  <c r="AS142" i="2"/>
  <c r="AS143" i="2"/>
  <c r="AS144" i="2"/>
  <c r="AS145" i="2"/>
  <c r="AS146" i="2"/>
  <c r="AS147" i="2"/>
  <c r="AS148" i="2"/>
  <c r="AS149" i="2"/>
  <c r="AS150" i="2"/>
  <c r="AS151" i="2"/>
  <c r="AS152" i="2"/>
  <c r="AS153" i="2"/>
  <c r="AS154" i="2"/>
  <c r="AS155" i="2"/>
  <c r="AS156" i="2"/>
  <c r="AS157" i="2"/>
  <c r="AS158" i="2"/>
  <c r="AS159" i="2"/>
  <c r="AS160" i="2"/>
  <c r="AS161" i="2"/>
  <c r="AS162" i="2"/>
  <c r="AS163" i="2"/>
  <c r="AS164" i="2"/>
  <c r="AS165" i="2"/>
  <c r="AS166" i="2"/>
  <c r="AS167" i="2"/>
  <c r="AS168" i="2"/>
  <c r="AS169" i="2"/>
  <c r="AS170" i="2"/>
  <c r="AS171" i="2"/>
  <c r="AS172" i="2"/>
  <c r="AS173" i="2"/>
  <c r="AS174" i="2"/>
  <c r="AS175" i="2"/>
  <c r="AS176" i="2"/>
  <c r="AS177" i="2"/>
  <c r="AS178" i="2"/>
  <c r="AS179" i="2"/>
  <c r="AS180" i="2"/>
  <c r="AS181" i="2"/>
  <c r="AS182" i="2"/>
  <c r="AS183" i="2"/>
  <c r="AS184" i="2"/>
  <c r="AS185" i="2"/>
  <c r="AS186" i="2"/>
  <c r="AS187" i="2"/>
  <c r="AS188" i="2"/>
  <c r="AS189" i="2"/>
  <c r="AS190" i="2"/>
  <c r="AS191" i="2"/>
  <c r="AS192" i="2"/>
  <c r="AS193" i="2"/>
  <c r="AS194" i="2"/>
  <c r="AS195" i="2"/>
  <c r="AS196" i="2"/>
  <c r="AS197" i="2"/>
  <c r="AS198" i="2"/>
  <c r="AS199" i="2"/>
  <c r="AS200" i="2"/>
  <c r="AS201" i="2"/>
  <c r="AS202" i="2"/>
  <c r="AS203" i="2"/>
  <c r="AS204" i="2"/>
  <c r="AS205" i="2"/>
  <c r="AS206" i="2"/>
  <c r="AS207" i="2"/>
  <c r="AS208" i="2"/>
  <c r="AS209" i="2"/>
  <c r="AS210" i="2"/>
  <c r="AS211" i="2"/>
  <c r="AS212" i="2"/>
  <c r="AS213" i="2"/>
  <c r="AS214" i="2"/>
  <c r="AS215" i="2"/>
  <c r="AS216" i="2"/>
  <c r="AS217" i="2"/>
  <c r="AS218" i="2"/>
  <c r="AS219" i="2"/>
  <c r="AS220" i="2"/>
  <c r="AS221" i="2"/>
  <c r="AS222" i="2"/>
  <c r="AS223" i="2"/>
  <c r="AS224" i="2"/>
  <c r="AS225" i="2"/>
  <c r="AS226" i="2"/>
  <c r="AS227" i="2"/>
  <c r="AS228" i="2"/>
  <c r="AS229" i="2"/>
  <c r="AS230" i="2"/>
  <c r="AS231" i="2"/>
  <c r="AS232" i="2"/>
  <c r="AS233" i="2"/>
  <c r="AS234" i="2"/>
  <c r="AS235" i="2"/>
  <c r="AS236" i="2"/>
  <c r="AS237" i="2"/>
  <c r="AS238" i="2"/>
  <c r="AS239" i="2"/>
  <c r="AS240" i="2"/>
  <c r="AS241" i="2"/>
  <c r="AS242" i="2"/>
  <c r="AS243" i="2"/>
  <c r="AS244" i="2"/>
  <c r="AS245" i="2"/>
  <c r="AS246" i="2"/>
  <c r="AS247" i="2"/>
  <c r="AS248" i="2"/>
  <c r="AS249" i="2"/>
  <c r="AS250" i="2"/>
  <c r="AS251" i="2"/>
  <c r="AS252" i="2"/>
  <c r="AS253" i="2"/>
  <c r="AS254" i="2"/>
  <c r="AS255" i="2"/>
  <c r="AS256" i="2"/>
  <c r="AS257" i="2"/>
  <c r="AS258" i="2"/>
  <c r="AS259" i="2"/>
  <c r="AS260" i="2"/>
  <c r="AS261" i="2"/>
  <c r="AS262" i="2"/>
  <c r="AS263" i="2"/>
  <c r="AS264" i="2"/>
  <c r="AS265" i="2"/>
  <c r="AS266" i="2"/>
  <c r="AS267" i="2"/>
  <c r="AS268" i="2"/>
  <c r="AS269" i="2"/>
  <c r="AS270" i="2"/>
  <c r="AS271" i="2"/>
  <c r="AS272" i="2"/>
  <c r="AS273" i="2"/>
  <c r="AS274" i="2"/>
  <c r="AS275" i="2"/>
  <c r="AS276" i="2"/>
  <c r="AS277" i="2"/>
  <c r="AS278" i="2"/>
  <c r="AS279" i="2"/>
  <c r="AS280" i="2"/>
  <c r="AS281" i="2"/>
  <c r="AS282" i="2"/>
  <c r="AS283" i="2"/>
  <c r="AS284" i="2"/>
  <c r="AS285" i="2"/>
  <c r="AS286" i="2"/>
  <c r="AS287" i="2"/>
  <c r="AS288" i="2"/>
  <c r="AS289" i="2"/>
  <c r="AS290" i="2"/>
  <c r="AS291" i="2"/>
  <c r="AS292" i="2"/>
  <c r="AS293" i="2"/>
  <c r="AS294" i="2"/>
  <c r="AS295" i="2"/>
  <c r="AS296" i="2"/>
  <c r="AS297" i="2"/>
  <c r="AS298" i="2"/>
  <c r="AS299" i="2"/>
  <c r="AS300" i="2"/>
  <c r="AS301" i="2"/>
  <c r="AS302" i="2"/>
  <c r="AS303" i="2"/>
  <c r="AS304" i="2"/>
  <c r="AS305" i="2"/>
  <c r="AS306" i="2"/>
  <c r="AS307" i="2"/>
  <c r="AS308" i="2"/>
  <c r="AS309" i="2"/>
  <c r="AS310" i="2"/>
  <c r="AS311" i="2"/>
  <c r="AS312" i="2"/>
  <c r="AS313" i="2"/>
  <c r="AS314" i="2"/>
  <c r="AS315" i="2"/>
  <c r="AS316" i="2"/>
  <c r="AS317" i="2"/>
  <c r="AS318" i="2"/>
  <c r="AS319" i="2"/>
  <c r="AS320" i="2"/>
  <c r="AS321" i="2"/>
  <c r="AS322" i="2"/>
  <c r="AS323" i="2"/>
  <c r="AS324" i="2"/>
  <c r="AS325" i="2"/>
  <c r="AS326" i="2"/>
  <c r="AS327" i="2"/>
  <c r="AS328" i="2"/>
  <c r="AS329" i="2"/>
  <c r="AS330" i="2"/>
  <c r="AS331" i="2"/>
  <c r="AS332" i="2"/>
  <c r="AS333" i="2"/>
  <c r="AS334" i="2"/>
  <c r="AS335" i="2"/>
  <c r="AS336" i="2"/>
  <c r="AS337" i="2"/>
  <c r="AS338" i="2"/>
  <c r="AS339" i="2"/>
  <c r="AS340" i="2"/>
  <c r="AS341" i="2"/>
  <c r="AS342" i="2"/>
  <c r="AS343" i="2"/>
  <c r="AS344" i="2"/>
  <c r="AS345" i="2"/>
  <c r="AS346" i="2"/>
  <c r="AS347" i="2"/>
  <c r="AS348" i="2"/>
  <c r="AS349" i="2"/>
  <c r="AS350" i="2"/>
  <c r="AS351" i="2"/>
  <c r="AS352" i="2"/>
  <c r="AS353" i="2"/>
  <c r="AS354" i="2"/>
  <c r="AS355" i="2"/>
  <c r="AS356" i="2"/>
  <c r="AS357" i="2"/>
  <c r="AS358" i="2"/>
  <c r="AS359" i="2"/>
  <c r="AS360" i="2"/>
  <c r="AS361" i="2"/>
  <c r="AS362" i="2"/>
  <c r="AS363" i="2"/>
  <c r="AS364" i="2"/>
  <c r="AS365" i="2"/>
  <c r="AS366" i="2"/>
  <c r="AS367" i="2"/>
  <c r="AS368" i="2"/>
  <c r="AS369" i="2"/>
  <c r="AS370" i="2"/>
  <c r="AS371" i="2"/>
  <c r="AS372" i="2"/>
  <c r="AS373" i="2"/>
  <c r="AS374" i="2"/>
  <c r="AS375" i="2"/>
  <c r="AS376" i="2"/>
  <c r="AS377" i="2"/>
  <c r="AS378" i="2"/>
  <c r="AS379" i="2"/>
  <c r="AS380" i="2"/>
  <c r="AS381" i="2"/>
  <c r="AS382" i="2"/>
  <c r="AS383" i="2"/>
  <c r="AS384" i="2"/>
  <c r="AS385" i="2"/>
  <c r="AS386" i="2"/>
  <c r="AS387" i="2"/>
  <c r="AS388" i="2"/>
  <c r="AS389" i="2"/>
  <c r="AS390" i="2"/>
  <c r="AS391" i="2"/>
  <c r="AS392" i="2"/>
  <c r="AS393" i="2"/>
  <c r="AS394" i="2"/>
  <c r="AS395" i="2"/>
  <c r="AS396" i="2"/>
  <c r="AS397" i="2"/>
  <c r="AS398" i="2"/>
  <c r="AS399" i="2"/>
  <c r="AS400" i="2"/>
  <c r="AS401" i="2"/>
  <c r="AS402" i="2"/>
  <c r="AS403" i="2"/>
  <c r="AS404" i="2"/>
  <c r="AS405" i="2"/>
  <c r="AS406" i="2"/>
  <c r="AS407" i="2"/>
  <c r="AS408" i="2"/>
  <c r="AS409" i="2"/>
  <c r="AS410" i="2"/>
  <c r="AS411" i="2"/>
  <c r="AS412" i="2"/>
  <c r="AS413" i="2"/>
  <c r="AS414" i="2"/>
  <c r="AS415" i="2"/>
  <c r="AS416" i="2"/>
  <c r="AS417" i="2"/>
  <c r="AS418" i="2"/>
  <c r="AS419" i="2"/>
  <c r="AS420" i="2"/>
  <c r="AS421" i="2"/>
  <c r="AS422" i="2"/>
  <c r="AS423" i="2"/>
  <c r="AS424" i="2"/>
  <c r="AS425" i="2"/>
  <c r="AS426" i="2"/>
  <c r="AS427" i="2"/>
  <c r="AS428" i="2"/>
  <c r="AS429" i="2"/>
  <c r="AS430" i="2"/>
  <c r="AS431" i="2"/>
  <c r="AS432" i="2"/>
  <c r="AS433" i="2"/>
  <c r="AS434" i="2"/>
  <c r="AS435" i="2"/>
  <c r="AS436" i="2"/>
  <c r="AS437" i="2"/>
  <c r="AS438" i="2"/>
  <c r="AS439" i="2"/>
  <c r="AS440" i="2"/>
  <c r="AS441" i="2"/>
  <c r="AS442" i="2"/>
  <c r="AS443" i="2"/>
  <c r="AS444" i="2"/>
  <c r="AS445" i="2"/>
  <c r="AS446" i="2"/>
  <c r="AS447" i="2"/>
  <c r="AS448" i="2"/>
  <c r="AS449" i="2"/>
  <c r="AS450" i="2"/>
  <c r="AS451" i="2"/>
  <c r="AS452" i="2"/>
  <c r="AS453" i="2"/>
  <c r="AS454" i="2"/>
  <c r="AS455" i="2"/>
  <c r="AS456" i="2"/>
  <c r="AS457" i="2"/>
  <c r="AS458" i="2"/>
  <c r="AS459" i="2"/>
  <c r="AS460" i="2"/>
  <c r="AS461" i="2"/>
  <c r="AS462" i="2"/>
  <c r="AS463" i="2"/>
  <c r="AS464" i="2"/>
  <c r="AS465" i="2"/>
  <c r="AS466" i="2"/>
  <c r="AS467" i="2"/>
  <c r="AS468" i="2"/>
  <c r="AS469" i="2"/>
  <c r="AS470" i="2"/>
  <c r="AS471" i="2"/>
  <c r="AS472" i="2"/>
  <c r="AS473" i="2"/>
  <c r="AS474" i="2"/>
  <c r="AS475" i="2"/>
  <c r="AS476" i="2"/>
  <c r="AS477" i="2"/>
  <c r="AS478" i="2"/>
  <c r="AS479" i="2"/>
  <c r="AS480" i="2"/>
  <c r="AS481" i="2"/>
  <c r="AS482" i="2"/>
  <c r="AS483" i="2"/>
  <c r="AS484" i="2"/>
  <c r="AS485" i="2"/>
  <c r="AS486" i="2"/>
  <c r="AS487" i="2"/>
  <c r="AS488" i="2"/>
  <c r="AS489" i="2"/>
  <c r="AS490" i="2"/>
  <c r="AS491" i="2"/>
  <c r="AS492" i="2"/>
  <c r="AS493" i="2"/>
  <c r="AS494" i="2"/>
  <c r="AS495" i="2"/>
  <c r="AS496" i="2"/>
  <c r="AS497" i="2"/>
  <c r="AS498" i="2"/>
  <c r="AS499" i="2"/>
  <c r="AS500" i="2"/>
  <c r="AS501" i="2"/>
  <c r="AS502" i="2"/>
  <c r="AS503" i="2"/>
  <c r="AS504" i="2"/>
  <c r="AS505" i="2"/>
  <c r="AS506" i="2"/>
  <c r="AS507" i="2"/>
  <c r="AS508" i="2"/>
  <c r="AS509" i="2"/>
  <c r="AS510" i="2"/>
  <c r="AS511" i="2"/>
  <c r="AS512" i="2"/>
  <c r="AS513" i="2"/>
  <c r="AS514" i="2"/>
  <c r="AS515" i="2"/>
  <c r="AS516" i="2"/>
  <c r="AS517" i="2"/>
  <c r="AS518" i="2"/>
  <c r="AS519" i="2"/>
  <c r="AS520" i="2"/>
  <c r="AS521" i="2"/>
  <c r="AS522" i="2"/>
  <c r="AS523" i="2"/>
  <c r="AS524" i="2"/>
  <c r="AS525" i="2"/>
  <c r="AS526" i="2"/>
  <c r="AS527" i="2"/>
  <c r="AS528" i="2"/>
  <c r="AS529" i="2"/>
  <c r="AS530" i="2"/>
  <c r="AS531" i="2"/>
  <c r="AS532" i="2"/>
  <c r="AS533" i="2"/>
  <c r="AS534" i="2"/>
  <c r="AS535" i="2"/>
  <c r="AS536" i="2"/>
  <c r="AS537" i="2"/>
  <c r="AS538" i="2"/>
  <c r="AS539" i="2"/>
  <c r="AS540" i="2"/>
  <c r="AS541" i="2"/>
  <c r="AS542" i="2"/>
  <c r="AS543" i="2"/>
  <c r="AS544" i="2"/>
  <c r="AS545" i="2"/>
  <c r="AS546" i="2"/>
  <c r="AS547" i="2"/>
  <c r="AS548" i="2"/>
  <c r="AS549" i="2"/>
  <c r="AS550" i="2"/>
  <c r="AS551" i="2"/>
  <c r="AS552" i="2"/>
  <c r="AS553" i="2"/>
  <c r="AS554" i="2"/>
  <c r="AS555" i="2"/>
  <c r="AS556" i="2"/>
  <c r="AS557" i="2"/>
  <c r="AS558" i="2"/>
  <c r="AS559" i="2"/>
  <c r="AS560" i="2"/>
  <c r="AS561" i="2"/>
  <c r="AS562" i="2"/>
  <c r="AS563" i="2"/>
  <c r="AS564" i="2"/>
  <c r="AS565" i="2"/>
  <c r="AS566" i="2"/>
  <c r="AS567" i="2"/>
  <c r="AS568" i="2"/>
  <c r="AS569" i="2"/>
  <c r="AS570" i="2"/>
  <c r="AS571" i="2"/>
  <c r="AS572" i="2"/>
  <c r="AS573" i="2"/>
  <c r="AS574" i="2"/>
  <c r="AS575" i="2"/>
  <c r="AS576" i="2"/>
  <c r="AS577" i="2"/>
  <c r="AS578" i="2"/>
  <c r="AS579" i="2"/>
  <c r="AS580" i="2"/>
  <c r="AS581" i="2"/>
  <c r="AS582" i="2"/>
  <c r="AS583" i="2"/>
  <c r="AS584" i="2"/>
  <c r="AS585" i="2"/>
  <c r="AS2" i="2"/>
  <c r="AT43" i="2"/>
  <c r="AT44" i="2"/>
  <c r="AT45" i="2"/>
  <c r="AT46" i="2"/>
  <c r="AT47" i="2"/>
  <c r="AT48" i="2"/>
  <c r="AT49" i="2"/>
  <c r="AT50" i="2"/>
  <c r="AT51" i="2"/>
  <c r="AT52" i="2"/>
  <c r="AT53" i="2"/>
  <c r="AT54" i="2"/>
  <c r="AT55" i="2"/>
  <c r="AT56" i="2"/>
  <c r="AT57" i="2"/>
  <c r="AT58" i="2"/>
  <c r="AT59" i="2"/>
  <c r="AT60" i="2"/>
  <c r="AT61" i="2"/>
  <c r="AT62" i="2"/>
  <c r="AT63" i="2"/>
  <c r="AT64" i="2"/>
  <c r="AT65" i="2"/>
  <c r="AT66" i="2"/>
  <c r="AT67" i="2"/>
  <c r="AT68" i="2"/>
  <c r="AT69" i="2"/>
  <c r="AT70" i="2"/>
  <c r="AT71" i="2"/>
  <c r="AT72" i="2"/>
  <c r="AT73" i="2"/>
  <c r="AT74" i="2"/>
  <c r="AT75" i="2"/>
  <c r="AT76" i="2"/>
  <c r="AT77" i="2"/>
  <c r="AT78" i="2"/>
  <c r="AT79" i="2"/>
  <c r="AT80" i="2"/>
  <c r="AT81" i="2"/>
  <c r="AT82" i="2"/>
  <c r="AT83" i="2"/>
  <c r="AT84" i="2"/>
  <c r="AT85" i="2"/>
  <c r="AT86" i="2"/>
  <c r="AT87" i="2"/>
  <c r="AT88" i="2"/>
  <c r="AT89" i="2"/>
  <c r="AT90" i="2"/>
  <c r="AT91" i="2"/>
  <c r="AT92" i="2"/>
  <c r="AT93" i="2"/>
  <c r="AT94" i="2"/>
  <c r="AT95" i="2"/>
  <c r="AT96" i="2"/>
  <c r="AT97" i="2"/>
  <c r="AT98" i="2"/>
  <c r="AT99" i="2"/>
  <c r="AT100" i="2"/>
  <c r="AT101" i="2"/>
  <c r="AT102" i="2"/>
  <c r="AT103" i="2"/>
  <c r="AT104" i="2"/>
  <c r="AT105" i="2"/>
  <c r="AT106" i="2"/>
  <c r="AT107" i="2"/>
  <c r="AT108" i="2"/>
  <c r="AT109" i="2"/>
  <c r="AT110" i="2"/>
  <c r="AT111" i="2"/>
  <c r="AT112" i="2"/>
  <c r="AT113" i="2"/>
  <c r="AT114" i="2"/>
  <c r="AT115" i="2"/>
  <c r="AT116" i="2"/>
  <c r="AT117" i="2"/>
  <c r="AT118" i="2"/>
  <c r="AT119" i="2"/>
  <c r="AT120" i="2"/>
  <c r="AT121" i="2"/>
  <c r="AT122" i="2"/>
  <c r="AT123" i="2"/>
  <c r="AT124" i="2"/>
  <c r="AT125" i="2"/>
  <c r="AT126" i="2"/>
  <c r="AT127" i="2"/>
  <c r="AT128" i="2"/>
  <c r="AT129" i="2"/>
  <c r="AT130" i="2"/>
  <c r="AT131" i="2"/>
  <c r="AT132" i="2"/>
  <c r="AT133" i="2"/>
  <c r="AT134" i="2"/>
  <c r="AT135" i="2"/>
  <c r="AT136" i="2"/>
  <c r="AT137" i="2"/>
  <c r="AT138" i="2"/>
  <c r="AT139" i="2"/>
  <c r="AT140" i="2"/>
  <c r="AT141" i="2"/>
  <c r="AT142" i="2"/>
  <c r="AT143" i="2"/>
  <c r="AT144" i="2"/>
  <c r="AT145" i="2"/>
  <c r="AT146" i="2"/>
  <c r="AT147" i="2"/>
  <c r="AT148" i="2"/>
  <c r="AT149" i="2"/>
  <c r="AT150" i="2"/>
  <c r="AT151" i="2"/>
  <c r="AT152" i="2"/>
  <c r="AT153" i="2"/>
  <c r="AT154" i="2"/>
  <c r="AT155" i="2"/>
  <c r="AT156" i="2"/>
  <c r="AT157" i="2"/>
  <c r="AT158" i="2"/>
  <c r="AT159" i="2"/>
  <c r="AT160" i="2"/>
  <c r="AT161" i="2"/>
  <c r="AT162" i="2"/>
  <c r="AT163" i="2"/>
  <c r="AT164" i="2"/>
  <c r="AT165" i="2"/>
  <c r="AT166" i="2"/>
  <c r="AT167" i="2"/>
  <c r="AT168" i="2"/>
  <c r="AT169" i="2"/>
  <c r="AT170" i="2"/>
  <c r="AT171" i="2"/>
  <c r="AT172" i="2"/>
  <c r="AT173" i="2"/>
  <c r="AT174" i="2"/>
  <c r="AT175" i="2"/>
  <c r="AT176" i="2"/>
  <c r="AT177" i="2"/>
  <c r="AT178" i="2"/>
  <c r="AT179" i="2"/>
  <c r="AT180" i="2"/>
  <c r="AT181" i="2"/>
  <c r="AT182" i="2"/>
  <c r="AT183" i="2"/>
  <c r="AT184" i="2"/>
  <c r="AT185" i="2"/>
  <c r="AT186" i="2"/>
  <c r="AT187" i="2"/>
  <c r="AT188" i="2"/>
  <c r="AT189" i="2"/>
  <c r="AT190" i="2"/>
  <c r="AT191" i="2"/>
  <c r="AT192" i="2"/>
  <c r="AT193" i="2"/>
  <c r="AT194" i="2"/>
  <c r="AT195" i="2"/>
  <c r="AT196" i="2"/>
  <c r="AT197" i="2"/>
  <c r="AT198" i="2"/>
  <c r="AT199" i="2"/>
  <c r="AT200" i="2"/>
  <c r="AT201" i="2"/>
  <c r="AT202" i="2"/>
  <c r="AT203" i="2"/>
  <c r="AT204" i="2"/>
  <c r="AT205" i="2"/>
  <c r="AT206" i="2"/>
  <c r="AT207" i="2"/>
  <c r="AT208" i="2"/>
  <c r="AT209" i="2"/>
  <c r="AT210" i="2"/>
  <c r="AT211" i="2"/>
  <c r="AT212" i="2"/>
  <c r="AT213" i="2"/>
  <c r="AT214" i="2"/>
  <c r="AT215" i="2"/>
  <c r="AT216" i="2"/>
  <c r="AT217" i="2"/>
  <c r="AT218" i="2"/>
  <c r="AT219" i="2"/>
  <c r="AT220" i="2"/>
  <c r="AT221" i="2"/>
  <c r="AT222" i="2"/>
  <c r="AT223" i="2"/>
  <c r="AT224" i="2"/>
  <c r="AT225" i="2"/>
  <c r="AT226" i="2"/>
  <c r="AT227" i="2"/>
  <c r="AT228" i="2"/>
  <c r="AT229" i="2"/>
  <c r="AT230" i="2"/>
  <c r="AT231" i="2"/>
  <c r="AT232" i="2"/>
  <c r="AT233" i="2"/>
  <c r="AT234" i="2"/>
  <c r="AT235" i="2"/>
  <c r="AT236" i="2"/>
  <c r="AT237" i="2"/>
  <c r="AT238" i="2"/>
  <c r="AT239" i="2"/>
  <c r="AT240" i="2"/>
  <c r="AT241" i="2"/>
  <c r="AT242" i="2"/>
  <c r="AT243" i="2"/>
  <c r="AT244" i="2"/>
  <c r="AT245" i="2"/>
  <c r="AT246" i="2"/>
  <c r="AT247" i="2"/>
  <c r="AT248" i="2"/>
  <c r="AT249" i="2"/>
  <c r="AT250" i="2"/>
  <c r="AT251" i="2"/>
  <c r="AT252" i="2"/>
  <c r="AT253" i="2"/>
  <c r="AT254" i="2"/>
  <c r="AT255" i="2"/>
  <c r="AT256" i="2"/>
  <c r="AT257" i="2"/>
  <c r="AT258" i="2"/>
  <c r="AT259" i="2"/>
  <c r="AT260" i="2"/>
  <c r="AT261" i="2"/>
  <c r="AT262" i="2"/>
  <c r="AT263" i="2"/>
  <c r="AT264" i="2"/>
  <c r="AT265" i="2"/>
  <c r="AT266" i="2"/>
  <c r="AT267" i="2"/>
  <c r="AT268" i="2"/>
  <c r="AT269" i="2"/>
  <c r="AT270" i="2"/>
  <c r="AT271" i="2"/>
  <c r="AT272" i="2"/>
  <c r="AT273" i="2"/>
  <c r="AT274" i="2"/>
  <c r="AT275" i="2"/>
  <c r="AT276" i="2"/>
  <c r="AT277" i="2"/>
  <c r="AT278" i="2"/>
  <c r="AT279" i="2"/>
  <c r="AT280" i="2"/>
  <c r="AT281" i="2"/>
  <c r="AT282" i="2"/>
  <c r="AT283" i="2"/>
  <c r="AT284" i="2"/>
  <c r="AT285" i="2"/>
  <c r="AT286" i="2"/>
  <c r="AT287" i="2"/>
  <c r="AT288" i="2"/>
  <c r="AT289" i="2"/>
  <c r="AT290" i="2"/>
  <c r="AT291" i="2"/>
  <c r="AT292" i="2"/>
  <c r="AT293" i="2"/>
  <c r="AT294" i="2"/>
  <c r="AT295" i="2"/>
  <c r="AT296" i="2"/>
  <c r="AT297" i="2"/>
  <c r="AT298" i="2"/>
  <c r="AT299" i="2"/>
  <c r="AT300" i="2"/>
  <c r="AT301" i="2"/>
  <c r="AT302" i="2"/>
  <c r="AT303" i="2"/>
  <c r="AT304" i="2"/>
  <c r="AT305" i="2"/>
  <c r="AT306" i="2"/>
  <c r="AT307" i="2"/>
  <c r="AT308" i="2"/>
  <c r="AT309" i="2"/>
  <c r="AT310" i="2"/>
  <c r="AT311" i="2"/>
  <c r="AT312" i="2"/>
  <c r="AT313" i="2"/>
  <c r="AT314" i="2"/>
  <c r="AT315" i="2"/>
  <c r="AT316" i="2"/>
  <c r="AT317" i="2"/>
  <c r="AT318" i="2"/>
  <c r="AT319" i="2"/>
  <c r="AT320" i="2"/>
  <c r="AT321" i="2"/>
  <c r="AT322" i="2"/>
  <c r="AT323" i="2"/>
  <c r="AT324" i="2"/>
  <c r="AT325" i="2"/>
  <c r="AT326" i="2"/>
  <c r="AT327" i="2"/>
  <c r="AT328" i="2"/>
  <c r="AT329" i="2"/>
  <c r="AT330" i="2"/>
  <c r="AT331" i="2"/>
  <c r="AT332" i="2"/>
  <c r="AT333" i="2"/>
  <c r="AT334" i="2"/>
  <c r="AT335" i="2"/>
  <c r="AT336" i="2"/>
  <c r="AT337" i="2"/>
  <c r="AT338" i="2"/>
  <c r="AT339" i="2"/>
  <c r="AT340" i="2"/>
  <c r="AT341" i="2"/>
  <c r="AT342" i="2"/>
  <c r="AT343" i="2"/>
  <c r="AT344" i="2"/>
  <c r="AT345" i="2"/>
  <c r="AT346" i="2"/>
  <c r="AT347" i="2"/>
  <c r="AT348" i="2"/>
  <c r="AT349" i="2"/>
  <c r="AT350" i="2"/>
  <c r="AT351" i="2"/>
  <c r="AT352" i="2"/>
  <c r="AT353" i="2"/>
  <c r="AT354" i="2"/>
  <c r="AT355" i="2"/>
  <c r="AT356" i="2"/>
  <c r="AT357" i="2"/>
  <c r="AT358" i="2"/>
  <c r="AT359" i="2"/>
  <c r="AT360" i="2"/>
  <c r="AT396" i="2"/>
  <c r="AT397" i="2"/>
  <c r="AT412" i="2"/>
  <c r="AT413" i="2"/>
  <c r="AT431" i="2"/>
  <c r="AT433" i="2"/>
  <c r="AT440" i="2"/>
  <c r="AT475" i="2"/>
  <c r="AT498" i="2"/>
  <c r="AT499" i="2"/>
  <c r="AT500" i="2"/>
  <c r="AT501" i="2"/>
  <c r="AT502" i="2"/>
  <c r="AT503" i="2"/>
  <c r="AT504" i="2"/>
  <c r="AT505" i="2"/>
  <c r="AT506" i="2"/>
  <c r="AT507" i="2"/>
  <c r="AT508" i="2"/>
  <c r="AT509" i="2"/>
  <c r="AT510" i="2"/>
  <c r="AT511" i="2"/>
  <c r="AT512" i="2"/>
  <c r="AT513" i="2"/>
  <c r="AT514" i="2"/>
  <c r="AT515" i="2"/>
  <c r="AT516" i="2"/>
  <c r="AT517" i="2"/>
  <c r="AT518" i="2"/>
  <c r="AT519" i="2"/>
  <c r="AT520" i="2"/>
  <c r="AT521" i="2"/>
  <c r="AT522" i="2"/>
  <c r="AT523" i="2"/>
  <c r="AT524" i="2"/>
  <c r="AT525" i="2"/>
  <c r="AT526" i="2"/>
  <c r="AT527" i="2"/>
  <c r="AT528" i="2"/>
  <c r="AT529" i="2"/>
  <c r="AT530" i="2"/>
  <c r="AT531" i="2"/>
  <c r="AT532" i="2"/>
  <c r="AT533" i="2"/>
  <c r="AT534" i="2"/>
  <c r="AT535" i="2"/>
  <c r="AT545" i="2"/>
  <c r="AT547" i="2"/>
  <c r="AT550" i="2"/>
  <c r="AT551" i="2"/>
  <c r="AT552" i="2"/>
  <c r="AT553" i="2"/>
  <c r="AT563" i="2"/>
  <c r="AT565" i="2"/>
  <c r="AT564" i="2"/>
  <c r="AT555" i="2"/>
  <c r="AT554" i="2"/>
  <c r="AT432" i="2"/>
  <c r="AT400" i="2"/>
  <c r="AT398" i="2"/>
  <c r="AT376" i="2"/>
  <c r="AT375" i="2"/>
  <c r="AT374" i="2"/>
  <c r="AT373" i="2"/>
  <c r="AT18" i="2"/>
  <c r="AT17" i="2"/>
  <c r="AT16" i="2"/>
  <c r="AT15" i="2"/>
  <c r="AP432" i="2" l="1"/>
  <c r="AF582" i="2" l="1"/>
  <c r="AF581" i="2"/>
  <c r="AF584" i="2"/>
  <c r="AF583" i="2"/>
  <c r="AF585" i="2"/>
  <c r="AF580" i="2"/>
  <c r="AF573" i="2"/>
  <c r="AF559" i="2"/>
  <c r="AF560" i="2"/>
  <c r="AF558" i="2"/>
  <c r="AF442" i="2"/>
  <c r="AF438" i="2"/>
  <c r="AP564" i="2" l="1"/>
  <c r="AP555" i="2"/>
  <c r="AP554" i="2"/>
  <c r="AP400" i="2"/>
  <c r="AP398" i="2"/>
  <c r="AP376" i="2"/>
  <c r="AP375" i="2"/>
  <c r="AP374" i="2"/>
  <c r="AP373" i="2"/>
  <c r="AP18" i="2"/>
  <c r="AP17" i="2"/>
  <c r="AP16" i="2"/>
  <c r="AP15" i="2"/>
  <c r="AP43" i="2"/>
  <c r="AP44" i="2"/>
  <c r="AP45" i="2"/>
  <c r="AP46" i="2"/>
  <c r="AP47" i="2"/>
  <c r="AP48" i="2"/>
  <c r="AP49" i="2"/>
  <c r="AP50" i="2"/>
  <c r="AP51" i="2"/>
  <c r="AP52" i="2"/>
  <c r="AP53" i="2"/>
  <c r="AP54" i="2"/>
  <c r="AP55" i="2"/>
  <c r="AP56" i="2"/>
  <c r="AP57" i="2"/>
  <c r="AP58" i="2"/>
  <c r="AP59" i="2"/>
  <c r="AP60" i="2"/>
  <c r="AP61" i="2"/>
  <c r="AP62" i="2"/>
  <c r="AP63" i="2"/>
  <c r="AP64" i="2"/>
  <c r="AP65" i="2"/>
  <c r="AP66" i="2"/>
  <c r="AP67" i="2"/>
  <c r="AP68" i="2"/>
  <c r="AP69" i="2"/>
  <c r="AP70" i="2"/>
  <c r="AP71" i="2"/>
  <c r="AP72" i="2"/>
  <c r="AP73" i="2"/>
  <c r="AP74" i="2"/>
  <c r="AP75" i="2"/>
  <c r="AP76" i="2"/>
  <c r="AP77" i="2"/>
  <c r="AP78" i="2"/>
  <c r="AP79" i="2"/>
  <c r="AP80" i="2"/>
  <c r="AP81" i="2"/>
  <c r="AP82" i="2"/>
  <c r="AP83" i="2"/>
  <c r="AP84" i="2"/>
  <c r="AP85" i="2"/>
  <c r="AP86" i="2"/>
  <c r="AP87" i="2"/>
  <c r="AP88" i="2"/>
  <c r="AP89" i="2"/>
  <c r="AP90" i="2"/>
  <c r="AP91" i="2"/>
  <c r="AP92" i="2"/>
  <c r="AP93" i="2"/>
  <c r="AP94" i="2"/>
  <c r="AP95" i="2"/>
  <c r="AP96" i="2"/>
  <c r="AP97" i="2"/>
  <c r="AP98" i="2"/>
  <c r="AP99" i="2"/>
  <c r="AP100" i="2"/>
  <c r="AP101" i="2"/>
  <c r="AP102" i="2"/>
  <c r="AP103" i="2"/>
  <c r="AP104" i="2"/>
  <c r="AP105" i="2"/>
  <c r="AP106" i="2"/>
  <c r="AP107" i="2"/>
  <c r="AP108" i="2"/>
  <c r="AP109" i="2"/>
  <c r="AP110" i="2"/>
  <c r="AP111" i="2"/>
  <c r="AP112" i="2"/>
  <c r="AP113" i="2"/>
  <c r="AP114" i="2"/>
  <c r="AP115" i="2"/>
  <c r="AP116" i="2"/>
  <c r="AP117" i="2"/>
  <c r="AP118" i="2"/>
  <c r="AP119" i="2"/>
  <c r="AP120" i="2"/>
  <c r="AP121" i="2"/>
  <c r="AP122" i="2"/>
  <c r="AP123" i="2"/>
  <c r="AP124" i="2"/>
  <c r="AP125" i="2"/>
  <c r="AP126" i="2"/>
  <c r="AP127" i="2"/>
  <c r="AP128" i="2"/>
  <c r="AP129" i="2"/>
  <c r="AP130" i="2"/>
  <c r="AP131" i="2"/>
  <c r="AP132" i="2"/>
  <c r="AP133" i="2"/>
  <c r="AP134" i="2"/>
  <c r="AP135" i="2"/>
  <c r="AP136" i="2"/>
  <c r="AP137" i="2"/>
  <c r="AP138" i="2"/>
  <c r="AP139" i="2"/>
  <c r="AP140" i="2"/>
  <c r="AP141" i="2"/>
  <c r="AP142" i="2"/>
  <c r="AP143" i="2"/>
  <c r="AP144" i="2"/>
  <c r="AP145" i="2"/>
  <c r="AP146" i="2"/>
  <c r="AP147" i="2"/>
  <c r="AP148" i="2"/>
  <c r="AP149" i="2"/>
  <c r="AP150" i="2"/>
  <c r="AP151" i="2"/>
  <c r="AP152" i="2"/>
  <c r="AP153" i="2"/>
  <c r="AP154" i="2"/>
  <c r="AP155" i="2"/>
  <c r="AP156" i="2"/>
  <c r="AP157" i="2"/>
  <c r="AP158" i="2"/>
  <c r="AP159" i="2"/>
  <c r="AP160" i="2"/>
  <c r="AP161" i="2"/>
  <c r="AP162" i="2"/>
  <c r="AP163" i="2"/>
  <c r="AP164" i="2"/>
  <c r="AP165" i="2"/>
  <c r="AP166" i="2"/>
  <c r="AP167" i="2"/>
  <c r="AP168" i="2"/>
  <c r="AP169" i="2"/>
  <c r="AP170" i="2"/>
  <c r="AP171" i="2"/>
  <c r="AP172" i="2"/>
  <c r="AP173" i="2"/>
  <c r="AP174" i="2"/>
  <c r="AP175" i="2"/>
  <c r="AP176" i="2"/>
  <c r="AP177" i="2"/>
  <c r="AP178" i="2"/>
  <c r="AP179" i="2"/>
  <c r="AP180" i="2"/>
  <c r="AP181" i="2"/>
  <c r="AP182" i="2"/>
  <c r="AP183" i="2"/>
  <c r="AP184" i="2"/>
  <c r="AP185" i="2"/>
  <c r="AP186" i="2"/>
  <c r="AP187" i="2"/>
  <c r="AP188" i="2"/>
  <c r="AP189" i="2"/>
  <c r="AP190" i="2"/>
  <c r="AP191" i="2"/>
  <c r="AP192" i="2"/>
  <c r="AP193" i="2"/>
  <c r="AP194" i="2"/>
  <c r="AP195" i="2"/>
  <c r="AP196" i="2"/>
  <c r="AP197" i="2"/>
  <c r="AP198" i="2"/>
  <c r="AP199" i="2"/>
  <c r="AP200" i="2"/>
  <c r="AP201" i="2"/>
  <c r="AP202" i="2"/>
  <c r="AP203" i="2"/>
  <c r="AP204" i="2"/>
  <c r="AP205" i="2"/>
  <c r="AP206" i="2"/>
  <c r="AP207" i="2"/>
  <c r="AP208" i="2"/>
  <c r="AP209" i="2"/>
  <c r="AP210" i="2"/>
  <c r="AP211" i="2"/>
  <c r="AP212" i="2"/>
  <c r="AP213" i="2"/>
  <c r="AP214" i="2"/>
  <c r="AP215" i="2"/>
  <c r="AP216" i="2"/>
  <c r="AP217" i="2"/>
  <c r="AP218" i="2"/>
  <c r="AP219" i="2"/>
  <c r="AP220" i="2"/>
  <c r="AP221" i="2"/>
  <c r="AP222" i="2"/>
  <c r="AP223" i="2"/>
  <c r="AP224" i="2"/>
  <c r="AP225" i="2"/>
  <c r="AP226" i="2"/>
  <c r="AP227" i="2"/>
  <c r="AP228" i="2"/>
  <c r="AP229" i="2"/>
  <c r="AP230" i="2"/>
  <c r="AP231" i="2"/>
  <c r="AP232" i="2"/>
  <c r="AP233" i="2"/>
  <c r="AP234" i="2"/>
  <c r="AP235" i="2"/>
  <c r="AP236" i="2"/>
  <c r="AP237" i="2"/>
  <c r="AP238" i="2"/>
  <c r="AP239" i="2"/>
  <c r="AP240" i="2"/>
  <c r="AP241" i="2"/>
  <c r="AP242" i="2"/>
  <c r="AP243" i="2"/>
  <c r="AP244" i="2"/>
  <c r="AP245" i="2"/>
  <c r="AP246" i="2"/>
  <c r="AP247" i="2"/>
  <c r="AP248" i="2"/>
  <c r="AP249" i="2"/>
  <c r="AP250" i="2"/>
  <c r="AP251" i="2"/>
  <c r="AP252" i="2"/>
  <c r="AP253" i="2"/>
  <c r="AP254" i="2"/>
  <c r="AP255" i="2"/>
  <c r="AP256" i="2"/>
  <c r="AP257" i="2"/>
  <c r="AP258" i="2"/>
  <c r="AP259" i="2"/>
  <c r="AP260" i="2"/>
  <c r="AP261" i="2"/>
  <c r="AP262" i="2"/>
  <c r="AP263" i="2"/>
  <c r="AP264" i="2"/>
  <c r="AP265" i="2"/>
  <c r="AP266" i="2"/>
  <c r="AP267" i="2"/>
  <c r="AP268" i="2"/>
  <c r="AP269" i="2"/>
  <c r="AP270" i="2"/>
  <c r="AP271" i="2"/>
  <c r="AP272" i="2"/>
  <c r="AP273" i="2"/>
  <c r="AP274" i="2"/>
  <c r="AP275" i="2"/>
  <c r="AP276" i="2"/>
  <c r="AP277" i="2"/>
  <c r="AP278" i="2"/>
  <c r="AP279" i="2"/>
  <c r="AP280" i="2"/>
  <c r="AP281" i="2"/>
  <c r="AP282" i="2"/>
  <c r="AP283" i="2"/>
  <c r="AP284" i="2"/>
  <c r="AP285" i="2"/>
  <c r="AP286" i="2"/>
  <c r="AP287" i="2"/>
  <c r="AP288" i="2"/>
  <c r="AP289" i="2"/>
  <c r="AP290" i="2"/>
  <c r="AP291" i="2"/>
  <c r="AP292" i="2"/>
  <c r="AP293" i="2"/>
  <c r="AP294" i="2"/>
  <c r="AP295" i="2"/>
  <c r="AP296" i="2"/>
  <c r="AP297" i="2"/>
  <c r="AP298" i="2"/>
  <c r="AP299" i="2"/>
  <c r="AP300" i="2"/>
  <c r="AP301" i="2"/>
  <c r="AP302" i="2"/>
  <c r="AP303" i="2"/>
  <c r="AP304" i="2"/>
  <c r="AP305" i="2"/>
  <c r="AP306" i="2"/>
  <c r="AP307" i="2"/>
  <c r="AP308" i="2"/>
  <c r="AP309" i="2"/>
  <c r="AP310" i="2"/>
  <c r="AP311" i="2"/>
  <c r="AP312" i="2"/>
  <c r="AP313" i="2"/>
  <c r="AP314" i="2"/>
  <c r="AP315" i="2"/>
  <c r="AP316" i="2"/>
  <c r="AP317" i="2"/>
  <c r="AP318" i="2"/>
  <c r="AP319" i="2"/>
  <c r="AP320" i="2"/>
  <c r="AP321" i="2"/>
  <c r="AP322" i="2"/>
  <c r="AP323" i="2"/>
  <c r="AP324" i="2"/>
  <c r="AP325" i="2"/>
  <c r="AP326" i="2"/>
  <c r="AP327" i="2"/>
  <c r="AP328" i="2"/>
  <c r="AP329" i="2"/>
  <c r="AP330" i="2"/>
  <c r="AP331" i="2"/>
  <c r="AP332" i="2"/>
  <c r="AP333" i="2"/>
  <c r="AP334" i="2"/>
  <c r="AP335" i="2"/>
  <c r="AP336" i="2"/>
  <c r="AP337" i="2"/>
  <c r="AP338" i="2"/>
  <c r="AP339" i="2"/>
  <c r="AP340" i="2"/>
  <c r="AP341" i="2"/>
  <c r="AP342" i="2"/>
  <c r="AP343" i="2"/>
  <c r="AP344" i="2"/>
  <c r="AP345" i="2"/>
  <c r="AP346" i="2"/>
  <c r="AP347" i="2"/>
  <c r="AP348" i="2"/>
  <c r="AP349" i="2"/>
  <c r="AP350" i="2"/>
  <c r="AP351" i="2"/>
  <c r="AP352" i="2"/>
  <c r="AP353" i="2"/>
  <c r="AP354" i="2"/>
  <c r="AP355" i="2"/>
  <c r="AP356" i="2"/>
  <c r="AP357" i="2"/>
  <c r="AP358" i="2"/>
  <c r="AP359" i="2"/>
  <c r="AP360" i="2"/>
  <c r="AP396" i="2"/>
  <c r="AP397" i="2"/>
  <c r="AP412" i="2"/>
  <c r="AP413" i="2"/>
  <c r="AP440" i="2"/>
  <c r="AP475" i="2"/>
  <c r="AP498" i="2"/>
  <c r="AP499" i="2"/>
  <c r="AP500" i="2"/>
  <c r="AP501" i="2"/>
  <c r="AP502" i="2"/>
  <c r="AP503" i="2"/>
  <c r="AP504" i="2"/>
  <c r="AP505" i="2"/>
  <c r="AP506" i="2"/>
  <c r="AP507" i="2"/>
  <c r="AP508" i="2"/>
  <c r="AP509" i="2"/>
  <c r="AP510" i="2"/>
  <c r="AP511" i="2"/>
  <c r="AP512" i="2"/>
  <c r="AP513" i="2"/>
  <c r="AP514" i="2"/>
  <c r="AP515" i="2"/>
  <c r="AP516" i="2"/>
  <c r="AP517" i="2"/>
  <c r="AP518" i="2"/>
  <c r="AP519" i="2"/>
  <c r="AP520" i="2"/>
  <c r="AP521" i="2"/>
  <c r="AP522" i="2"/>
  <c r="AP523" i="2"/>
  <c r="AP524" i="2"/>
  <c r="AP525" i="2"/>
  <c r="AP526" i="2"/>
  <c r="AP527" i="2"/>
  <c r="AP528" i="2"/>
  <c r="AP529" i="2"/>
  <c r="AP530" i="2"/>
  <c r="AP531" i="2"/>
  <c r="AP532" i="2"/>
  <c r="AP533" i="2"/>
  <c r="AP534" i="2"/>
  <c r="AP535" i="2"/>
  <c r="AP545" i="2"/>
  <c r="AP547" i="2"/>
  <c r="AP550" i="2"/>
  <c r="AP551" i="2"/>
  <c r="AP552" i="2"/>
  <c r="AP553" i="2"/>
  <c r="AP563" i="2"/>
  <c r="AP565" i="2"/>
  <c r="AK43" i="2" l="1"/>
  <c r="AT14" i="2" l="1"/>
  <c r="AT380" i="2"/>
  <c r="AT464" i="2"/>
  <c r="AT473" i="2"/>
  <c r="AT411" i="2"/>
  <c r="AT395" i="2"/>
  <c r="AT493" i="2"/>
  <c r="AT441" i="2"/>
  <c r="AT546" i="2"/>
  <c r="AT40" i="2"/>
  <c r="AT495" i="2"/>
  <c r="AT34" i="2"/>
  <c r="AP441" i="2" l="1"/>
  <c r="AP473" i="2"/>
  <c r="AP495" i="2"/>
  <c r="AP493" i="2"/>
  <c r="AP464" i="2"/>
  <c r="AP34" i="2"/>
  <c r="AP380" i="2"/>
  <c r="AP40" i="2"/>
  <c r="AP395" i="2"/>
  <c r="AP546" i="2"/>
  <c r="AP411" i="2"/>
  <c r="AP14" i="2"/>
  <c r="AK475" i="2" l="1"/>
  <c r="AK433" i="2"/>
  <c r="AK431" i="2"/>
  <c r="AK413" i="2"/>
  <c r="AK412" i="2"/>
  <c r="AK397" i="2"/>
  <c r="AK396" i="2"/>
  <c r="AK495" i="2"/>
  <c r="AK493" i="2"/>
  <c r="AK395" i="2"/>
  <c r="AK411" i="2"/>
  <c r="AK473" i="2"/>
  <c r="AK464" i="2"/>
  <c r="AK14"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440"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45" i="2"/>
  <c r="AK547" i="2"/>
  <c r="AK550" i="2"/>
  <c r="AK551" i="2"/>
  <c r="AK552" i="2"/>
  <c r="AK553" i="2"/>
  <c r="AK563" i="2"/>
  <c r="AK565" i="2"/>
  <c r="AT541" i="2"/>
  <c r="AP541" i="2" l="1"/>
  <c r="AT39" i="2" l="1"/>
  <c r="AT38" i="2"/>
  <c r="AP39" i="2" l="1"/>
  <c r="AP38" i="2"/>
  <c r="AK380" i="2" l="1"/>
  <c r="AK441" i="2"/>
  <c r="AK546" i="2"/>
  <c r="AK40" i="2"/>
  <c r="AK38" i="2"/>
  <c r="AK39" i="2"/>
  <c r="AL14" i="2"/>
  <c r="AL380" i="2"/>
  <c r="AL464" i="2"/>
  <c r="AL473" i="2"/>
  <c r="AL411" i="2"/>
  <c r="AL395" i="2"/>
  <c r="AL493" i="2"/>
  <c r="AL441" i="2"/>
  <c r="AL546" i="2"/>
  <c r="AL40" i="2"/>
  <c r="AL495" i="2"/>
  <c r="AL38" i="2"/>
  <c r="AL39" i="2"/>
  <c r="AT42" i="2" l="1"/>
  <c r="AT41" i="2"/>
  <c r="AT22" i="2"/>
  <c r="AT19" i="2"/>
  <c r="AT27" i="2"/>
  <c r="AT25" i="2"/>
  <c r="AT26" i="2"/>
  <c r="AT23" i="2"/>
  <c r="AT21" i="2"/>
  <c r="AT24" i="2"/>
  <c r="AT20" i="2"/>
  <c r="AT31" i="2"/>
  <c r="AT28" i="2"/>
  <c r="AT36" i="2"/>
  <c r="AT35" i="2"/>
  <c r="AT32" i="2"/>
  <c r="AT30" i="2"/>
  <c r="AT33" i="2"/>
  <c r="AT29" i="2"/>
  <c r="AT361" i="2"/>
  <c r="AT362" i="2"/>
  <c r="AT365" i="2"/>
  <c r="AT363" i="2"/>
  <c r="AT367" i="2"/>
  <c r="AT366" i="2"/>
  <c r="AT364" i="2"/>
  <c r="AT377" i="2"/>
  <c r="AT368" i="2"/>
  <c r="AT379" i="2"/>
  <c r="AT370" i="2"/>
  <c r="AT371" i="2"/>
  <c r="AT378" i="2"/>
  <c r="AT372" i="2"/>
  <c r="AT369" i="2"/>
  <c r="AT385" i="2"/>
  <c r="AT383" i="2"/>
  <c r="AT390" i="2"/>
  <c r="AT388" i="2"/>
  <c r="AT389" i="2"/>
  <c r="AT386" i="2"/>
  <c r="AT382" i="2"/>
  <c r="AT387" i="2"/>
  <c r="AT384" i="2"/>
  <c r="AT430" i="2"/>
  <c r="AT434" i="2"/>
  <c r="AT437" i="2"/>
  <c r="AT435" i="2"/>
  <c r="AT439" i="2"/>
  <c r="AT436" i="2"/>
  <c r="AT438" i="2"/>
  <c r="AT442" i="2"/>
  <c r="AT444" i="2"/>
  <c r="AL541" i="2"/>
  <c r="AT578" i="2"/>
  <c r="AT37" i="2"/>
  <c r="AT570" i="2" l="1"/>
  <c r="AT542" i="2"/>
  <c r="AT486" i="2"/>
  <c r="AT477" i="2"/>
  <c r="AT459" i="2"/>
  <c r="AT427" i="2"/>
  <c r="AT405" i="2"/>
  <c r="AT381" i="2"/>
  <c r="AT11" i="2"/>
  <c r="AT2" i="2"/>
  <c r="AT580" i="2"/>
  <c r="AT572" i="2"/>
  <c r="AT561" i="2"/>
  <c r="AT560" i="2"/>
  <c r="AT537" i="2"/>
  <c r="AT548" i="2"/>
  <c r="AT536" i="2"/>
  <c r="AT491" i="2"/>
  <c r="AT482" i="2"/>
  <c r="AT492" i="2"/>
  <c r="AT480" i="2"/>
  <c r="AT478" i="2"/>
  <c r="AT468" i="2"/>
  <c r="AT474" i="2"/>
  <c r="AT461" i="2"/>
  <c r="AT449" i="2"/>
  <c r="AT451" i="2"/>
  <c r="AT455" i="2"/>
  <c r="AT446" i="2"/>
  <c r="AT428" i="2"/>
  <c r="AT425" i="2"/>
  <c r="AT417" i="2"/>
  <c r="AT409" i="2"/>
  <c r="AT416" i="2"/>
  <c r="AT403" i="2"/>
  <c r="AT391" i="2"/>
  <c r="AT406" i="2"/>
  <c r="AT6" i="2"/>
  <c r="AT5" i="2"/>
  <c r="AT3" i="2"/>
  <c r="AT577" i="2"/>
  <c r="AT568" i="2"/>
  <c r="AT543" i="2"/>
  <c r="AT483" i="2"/>
  <c r="AT479" i="2"/>
  <c r="AT467" i="2"/>
  <c r="AT463" i="2"/>
  <c r="AT421" i="2"/>
  <c r="AT9" i="2"/>
  <c r="AT583" i="2"/>
  <c r="AT582" i="2"/>
  <c r="AT576" i="2"/>
  <c r="AT562" i="2"/>
  <c r="AT566" i="2"/>
  <c r="AT556" i="2"/>
  <c r="AT539" i="2"/>
  <c r="AT538" i="2"/>
  <c r="AT488" i="2"/>
  <c r="AT490" i="2"/>
  <c r="AT497" i="2"/>
  <c r="AT494" i="2"/>
  <c r="AT476" i="2"/>
  <c r="AT472" i="2"/>
  <c r="AT466" i="2"/>
  <c r="AT458" i="2"/>
  <c r="AT457" i="2"/>
  <c r="AT452" i="2"/>
  <c r="AT460" i="2"/>
  <c r="AT456" i="2"/>
  <c r="AT418" i="2"/>
  <c r="AT429" i="2"/>
  <c r="AT408" i="2"/>
  <c r="AT410" i="2"/>
  <c r="AT414" i="2"/>
  <c r="AT402" i="2"/>
  <c r="AT393" i="2"/>
  <c r="AT399" i="2"/>
  <c r="AT10" i="2"/>
  <c r="AT12" i="2"/>
  <c r="AT7" i="2"/>
  <c r="AT584" i="2"/>
  <c r="AT569" i="2"/>
  <c r="AT559" i="2"/>
  <c r="AT549" i="2"/>
  <c r="AT496" i="2"/>
  <c r="AT470" i="2"/>
  <c r="AT453" i="2"/>
  <c r="AT450" i="2"/>
  <c r="AT445" i="2"/>
  <c r="AT443" i="2"/>
  <c r="AT422" i="2"/>
  <c r="AT407" i="2"/>
  <c r="AT423" i="2"/>
  <c r="AT404" i="2"/>
  <c r="AT573" i="2"/>
  <c r="AT585" i="2"/>
  <c r="AT571" i="2"/>
  <c r="AT581" i="2"/>
  <c r="AT579" i="2"/>
  <c r="AT575" i="2"/>
  <c r="AT574" i="2"/>
  <c r="AT567" i="2"/>
  <c r="AT557" i="2"/>
  <c r="AT558" i="2"/>
  <c r="AT540" i="2"/>
  <c r="AT544" i="2"/>
  <c r="AT487" i="2"/>
  <c r="AT485" i="2"/>
  <c r="AT484" i="2"/>
  <c r="AT481" i="2"/>
  <c r="AT489" i="2"/>
  <c r="AT471" i="2"/>
  <c r="AT469" i="2"/>
  <c r="AT465" i="2"/>
  <c r="AT462" i="2"/>
  <c r="AT454" i="2"/>
  <c r="AT448" i="2"/>
  <c r="AT447" i="2"/>
  <c r="AT424" i="2"/>
  <c r="AT420" i="2"/>
  <c r="AT419" i="2"/>
  <c r="AT426" i="2"/>
  <c r="AT415" i="2"/>
  <c r="AT392" i="2"/>
  <c r="AT394" i="2"/>
  <c r="AT401" i="2"/>
  <c r="AT13" i="2"/>
  <c r="AT8" i="2"/>
  <c r="AT4" i="2"/>
  <c r="AP37" i="2"/>
  <c r="AP439" i="2"/>
  <c r="AP430" i="2"/>
  <c r="AP386" i="2"/>
  <c r="AP383" i="2"/>
  <c r="AP378" i="2"/>
  <c r="AP368" i="2"/>
  <c r="AP367" i="2"/>
  <c r="AP361" i="2"/>
  <c r="AP32" i="2"/>
  <c r="AP31" i="2"/>
  <c r="AP23" i="2"/>
  <c r="AP19" i="2"/>
  <c r="AP578" i="2"/>
  <c r="AP442" i="2"/>
  <c r="AP435" i="2"/>
  <c r="AP384" i="2"/>
  <c r="AP389" i="2"/>
  <c r="AP385" i="2"/>
  <c r="AP371" i="2"/>
  <c r="AP377" i="2"/>
  <c r="AP363" i="2"/>
  <c r="AP29" i="2"/>
  <c r="AP35" i="2"/>
  <c r="AP20" i="2"/>
  <c r="AP26" i="2"/>
  <c r="AP22" i="2"/>
  <c r="AP438" i="2"/>
  <c r="AP437" i="2"/>
  <c r="AP387" i="2"/>
  <c r="AP388" i="2"/>
  <c r="AP369" i="2"/>
  <c r="AP370" i="2"/>
  <c r="AP364" i="2"/>
  <c r="AP365" i="2"/>
  <c r="AP33" i="2"/>
  <c r="AP36" i="2"/>
  <c r="AP24" i="2"/>
  <c r="AP25" i="2"/>
  <c r="AP41" i="2"/>
  <c r="AP444" i="2"/>
  <c r="AP436" i="2"/>
  <c r="AP434" i="2"/>
  <c r="AP382" i="2"/>
  <c r="AP390" i="2"/>
  <c r="AP372" i="2"/>
  <c r="AP379" i="2"/>
  <c r="AP366" i="2"/>
  <c r="AP362" i="2"/>
  <c r="AP30" i="2"/>
  <c r="AP28" i="2"/>
  <c r="AP21" i="2"/>
  <c r="AP27" i="2"/>
  <c r="AP42" i="2"/>
  <c r="AL577" i="2"/>
  <c r="AP577" i="2"/>
  <c r="AL539" i="2"/>
  <c r="AP539" i="2"/>
  <c r="AL418" i="2"/>
  <c r="AP418" i="2"/>
  <c r="AL429" i="2"/>
  <c r="AP429" i="2"/>
  <c r="AL408" i="2"/>
  <c r="AP408" i="2"/>
  <c r="AL410" i="2"/>
  <c r="AP410" i="2"/>
  <c r="AL414" i="2"/>
  <c r="AP414" i="2"/>
  <c r="AL402" i="2"/>
  <c r="AP402" i="2"/>
  <c r="AL393" i="2"/>
  <c r="AP393" i="2"/>
  <c r="AL399" i="2"/>
  <c r="AP399" i="2"/>
  <c r="AL10" i="2"/>
  <c r="AP10" i="2"/>
  <c r="AL9" i="2"/>
  <c r="AP9" i="2"/>
  <c r="AL2" i="2"/>
  <c r="AP2" i="2"/>
  <c r="AL482" i="2"/>
  <c r="AP482" i="2"/>
  <c r="AL477" i="2"/>
  <c r="AP477" i="2"/>
  <c r="AL470" i="2"/>
  <c r="AP470" i="2"/>
  <c r="AL452" i="2"/>
  <c r="AP452" i="2"/>
  <c r="AL460" i="2"/>
  <c r="AP460" i="2"/>
  <c r="AL456" i="2"/>
  <c r="AP456" i="2"/>
  <c r="AL583" i="2"/>
  <c r="AP583" i="2"/>
  <c r="AL580" i="2"/>
  <c r="AP580" i="2"/>
  <c r="AL569" i="2"/>
  <c r="AP569" i="2"/>
  <c r="AL568" i="2"/>
  <c r="AP568" i="2"/>
  <c r="AL559" i="2"/>
  <c r="AP559" i="2"/>
  <c r="AL543" i="2"/>
  <c r="AP543" i="2"/>
  <c r="AL540" i="2"/>
  <c r="AP540" i="2"/>
  <c r="AL544" i="2"/>
  <c r="AP544" i="2"/>
  <c r="AL487" i="2"/>
  <c r="AP487" i="2"/>
  <c r="AL488" i="2"/>
  <c r="AP488" i="2"/>
  <c r="AL490" i="2"/>
  <c r="AP490" i="2"/>
  <c r="AL497" i="2"/>
  <c r="AP497" i="2"/>
  <c r="AL494" i="2"/>
  <c r="AP494" i="2"/>
  <c r="AL468" i="2"/>
  <c r="AP468" i="2"/>
  <c r="AL472" i="2"/>
  <c r="AP472" i="2"/>
  <c r="AL474" i="2"/>
  <c r="AP474" i="2"/>
  <c r="AL461" i="2"/>
  <c r="AP461" i="2"/>
  <c r="AL457" i="2"/>
  <c r="AP457" i="2"/>
  <c r="AL454" i="2"/>
  <c r="AP454" i="2"/>
  <c r="AL448" i="2"/>
  <c r="AP448" i="2"/>
  <c r="AL447" i="2"/>
  <c r="AP447" i="2"/>
  <c r="AL434" i="2"/>
  <c r="AL424" i="2"/>
  <c r="AP424" i="2"/>
  <c r="AL420" i="2"/>
  <c r="AP420" i="2"/>
  <c r="AL419" i="2"/>
  <c r="AP419" i="2"/>
  <c r="AL426" i="2"/>
  <c r="AP426" i="2"/>
  <c r="AL415" i="2"/>
  <c r="AP415" i="2"/>
  <c r="AL392" i="2"/>
  <c r="AP392" i="2"/>
  <c r="AL394" i="2"/>
  <c r="AP394" i="2"/>
  <c r="AL401" i="2"/>
  <c r="AP401" i="2"/>
  <c r="AL13" i="2"/>
  <c r="AP13" i="2"/>
  <c r="AL11" i="2"/>
  <c r="AP11" i="2"/>
  <c r="AL5" i="2"/>
  <c r="AP5" i="2"/>
  <c r="AL3" i="2"/>
  <c r="AP3" i="2"/>
  <c r="AL584" i="2"/>
  <c r="AP584" i="2"/>
  <c r="AL574" i="2"/>
  <c r="AP574" i="2"/>
  <c r="AL557" i="2"/>
  <c r="AP557" i="2"/>
  <c r="AL538" i="2"/>
  <c r="AP538" i="2"/>
  <c r="AL492" i="2"/>
  <c r="AP492" i="2"/>
  <c r="AL573" i="2"/>
  <c r="AP573" i="2"/>
  <c r="AL582" i="2"/>
  <c r="AP582" i="2"/>
  <c r="AL585" i="2"/>
  <c r="AP585" i="2"/>
  <c r="AL576" i="2"/>
  <c r="AP576" i="2"/>
  <c r="AL572" i="2"/>
  <c r="AP572" i="2"/>
  <c r="AL561" i="2"/>
  <c r="AP561" i="2"/>
  <c r="AL560" i="2"/>
  <c r="AP560" i="2"/>
  <c r="AL542" i="2"/>
  <c r="AP542" i="2"/>
  <c r="AL549" i="2"/>
  <c r="AP549" i="2"/>
  <c r="AL483" i="2"/>
  <c r="AP483" i="2"/>
  <c r="AL485" i="2"/>
  <c r="AP485" i="2"/>
  <c r="AL484" i="2"/>
  <c r="AP484" i="2"/>
  <c r="AL481" i="2"/>
  <c r="AP481" i="2"/>
  <c r="AL489" i="2"/>
  <c r="AP489" i="2"/>
  <c r="AL478" i="2"/>
  <c r="AP478" i="2"/>
  <c r="AL469" i="2"/>
  <c r="AP469" i="2"/>
  <c r="AL466" i="2"/>
  <c r="AP466" i="2"/>
  <c r="AL458" i="2"/>
  <c r="AP458" i="2"/>
  <c r="AL459" i="2"/>
  <c r="AP459" i="2"/>
  <c r="AL450" i="2"/>
  <c r="AP450" i="2"/>
  <c r="AL445" i="2"/>
  <c r="AP445" i="2"/>
  <c r="AL443" i="2"/>
  <c r="AP443" i="2"/>
  <c r="AL430" i="2"/>
  <c r="AL422" i="2"/>
  <c r="AP422" i="2"/>
  <c r="AL421" i="2"/>
  <c r="AP421" i="2"/>
  <c r="AL407" i="2"/>
  <c r="AP407" i="2"/>
  <c r="AL427" i="2"/>
  <c r="AP427" i="2"/>
  <c r="AL423" i="2"/>
  <c r="AP423" i="2"/>
  <c r="AL405" i="2"/>
  <c r="AP405" i="2"/>
  <c r="AL404" i="2"/>
  <c r="AP404" i="2"/>
  <c r="AL381" i="2"/>
  <c r="AP381" i="2"/>
  <c r="AL6" i="2"/>
  <c r="AP6" i="2"/>
  <c r="AL12" i="2"/>
  <c r="AP12" i="2"/>
  <c r="AL7" i="2"/>
  <c r="AP7" i="2"/>
  <c r="AL570" i="2"/>
  <c r="AP570" i="2"/>
  <c r="AL567" i="2"/>
  <c r="AP567" i="2"/>
  <c r="AL558" i="2"/>
  <c r="AP558" i="2"/>
  <c r="AL480" i="2"/>
  <c r="AP480" i="2"/>
  <c r="AL453" i="2"/>
  <c r="AP453" i="2"/>
  <c r="AL449" i="2"/>
  <c r="AP449" i="2"/>
  <c r="AL581" i="2"/>
  <c r="AP581" i="2"/>
  <c r="AL579" i="2"/>
  <c r="AP579" i="2"/>
  <c r="AL575" i="2"/>
  <c r="AP575" i="2"/>
  <c r="AL571" i="2"/>
  <c r="AP571" i="2"/>
  <c r="AL562" i="2"/>
  <c r="AP562" i="2"/>
  <c r="AL566" i="2"/>
  <c r="AP566" i="2"/>
  <c r="AL556" i="2"/>
  <c r="AP556" i="2"/>
  <c r="AL537" i="2"/>
  <c r="AP537" i="2"/>
  <c r="AL548" i="2"/>
  <c r="AP548" i="2"/>
  <c r="AL536" i="2"/>
  <c r="AP536" i="2"/>
  <c r="AL491" i="2"/>
  <c r="AP491" i="2"/>
  <c r="AL486" i="2"/>
  <c r="AP486" i="2"/>
  <c r="AL496" i="2"/>
  <c r="AP496" i="2"/>
  <c r="AL479" i="2"/>
  <c r="AP479" i="2"/>
  <c r="AL476" i="2"/>
  <c r="AP476" i="2"/>
  <c r="AL471" i="2"/>
  <c r="AP471" i="2"/>
  <c r="AL467" i="2"/>
  <c r="AP467" i="2"/>
  <c r="AL465" i="2"/>
  <c r="AP465" i="2"/>
  <c r="AL462" i="2"/>
  <c r="AP462" i="2"/>
  <c r="AL463" i="2"/>
  <c r="AP463" i="2"/>
  <c r="AL451" i="2"/>
  <c r="AP451" i="2"/>
  <c r="AL455" i="2"/>
  <c r="AP455" i="2"/>
  <c r="AL446" i="2"/>
  <c r="AP446" i="2"/>
  <c r="AL428" i="2"/>
  <c r="AP428" i="2"/>
  <c r="AL425" i="2"/>
  <c r="AP425" i="2"/>
  <c r="AL417" i="2"/>
  <c r="AP417" i="2"/>
  <c r="AL409" i="2"/>
  <c r="AP409" i="2"/>
  <c r="AL416" i="2"/>
  <c r="AP416" i="2"/>
  <c r="AL403" i="2"/>
  <c r="AP403" i="2"/>
  <c r="AL391" i="2"/>
  <c r="AP391" i="2"/>
  <c r="AL406" i="2"/>
  <c r="AP406" i="2"/>
  <c r="AL8" i="2"/>
  <c r="AP8" i="2"/>
  <c r="AL4" i="2"/>
  <c r="AP4" i="2"/>
  <c r="AK585" i="2"/>
  <c r="AK561" i="2"/>
  <c r="AK542" i="2"/>
  <c r="AK483" i="2"/>
  <c r="AK485" i="2"/>
  <c r="AK484" i="2"/>
  <c r="AK481" i="2"/>
  <c r="AK489" i="2"/>
  <c r="AK478" i="2"/>
  <c r="AK469" i="2"/>
  <c r="AK466" i="2"/>
  <c r="AK458" i="2"/>
  <c r="AK459" i="2"/>
  <c r="AK445" i="2"/>
  <c r="AK430" i="2"/>
  <c r="AK422" i="2"/>
  <c r="AK407" i="2"/>
  <c r="AK423" i="2"/>
  <c r="AK405" i="2"/>
  <c r="AK581" i="2"/>
  <c r="AK575" i="2"/>
  <c r="AK571" i="2"/>
  <c r="AK566" i="2"/>
  <c r="AK537" i="2"/>
  <c r="AK536" i="2"/>
  <c r="AK486" i="2"/>
  <c r="AK578" i="2"/>
  <c r="AK583" i="2"/>
  <c r="AK580" i="2"/>
  <c r="AK573" i="2"/>
  <c r="AK569" i="2"/>
  <c r="AK568" i="2"/>
  <c r="AK559" i="2"/>
  <c r="AK543" i="2"/>
  <c r="AK540" i="2"/>
  <c r="AK544" i="2"/>
  <c r="AK487" i="2"/>
  <c r="AK488" i="2"/>
  <c r="AK490" i="2"/>
  <c r="AK497" i="2"/>
  <c r="AK494" i="2"/>
  <c r="AK468" i="2"/>
  <c r="AK472" i="2"/>
  <c r="AK474" i="2"/>
  <c r="AK461" i="2"/>
  <c r="AK457" i="2"/>
  <c r="AK454" i="2"/>
  <c r="AK448" i="2"/>
  <c r="AK447" i="2"/>
  <c r="AK444" i="2"/>
  <c r="AL444" i="2"/>
  <c r="AK436" i="2"/>
  <c r="AL436" i="2"/>
  <c r="AK434" i="2"/>
  <c r="AK424" i="2"/>
  <c r="AK420" i="2"/>
  <c r="AK419" i="2"/>
  <c r="AK426" i="2"/>
  <c r="AK415" i="2"/>
  <c r="AK392" i="2"/>
  <c r="AK394" i="2"/>
  <c r="AK401" i="2"/>
  <c r="AK386" i="2"/>
  <c r="AL386" i="2"/>
  <c r="AK383" i="2"/>
  <c r="AL383" i="2"/>
  <c r="AK378" i="2"/>
  <c r="AL378" i="2"/>
  <c r="AK368" i="2"/>
  <c r="AL368" i="2"/>
  <c r="AK367" i="2"/>
  <c r="AL367" i="2"/>
  <c r="AK361" i="2"/>
  <c r="AL361" i="2"/>
  <c r="AK32" i="2"/>
  <c r="AL32" i="2"/>
  <c r="AK28" i="2"/>
  <c r="AL28" i="2"/>
  <c r="AK23" i="2"/>
  <c r="AL23" i="2"/>
  <c r="AK19" i="2"/>
  <c r="AL19" i="2"/>
  <c r="AK10" i="2"/>
  <c r="AK9" i="2"/>
  <c r="AK2" i="2"/>
  <c r="AK381" i="2"/>
  <c r="AK389" i="2"/>
  <c r="AL389" i="2"/>
  <c r="AK385" i="2"/>
  <c r="AL385" i="2"/>
  <c r="AK377" i="2"/>
  <c r="AL377" i="2"/>
  <c r="AK363" i="2"/>
  <c r="AL363" i="2"/>
  <c r="AK29" i="2"/>
  <c r="AL29" i="2"/>
  <c r="AK35" i="2"/>
  <c r="AL35" i="2"/>
  <c r="AK31" i="2"/>
  <c r="AL31" i="2"/>
  <c r="AK26" i="2"/>
  <c r="AL26" i="2"/>
  <c r="AK22" i="2"/>
  <c r="AL22" i="2"/>
  <c r="AK13" i="2"/>
  <c r="AK11" i="2"/>
  <c r="AK5" i="2"/>
  <c r="AK3" i="2"/>
  <c r="AK496" i="2"/>
  <c r="AK479" i="2"/>
  <c r="AK476" i="2"/>
  <c r="AK471" i="2"/>
  <c r="AK467" i="2"/>
  <c r="AK465" i="2"/>
  <c r="AK462" i="2"/>
  <c r="AK463" i="2"/>
  <c r="AK451" i="2"/>
  <c r="AK455" i="2"/>
  <c r="AK446" i="2"/>
  <c r="AK442" i="2"/>
  <c r="AL442" i="2"/>
  <c r="AK435" i="2"/>
  <c r="AL435" i="2"/>
  <c r="AK428" i="2"/>
  <c r="AK425" i="2"/>
  <c r="AK417" i="2"/>
  <c r="AK409" i="2"/>
  <c r="AK416" i="2"/>
  <c r="AK403" i="2"/>
  <c r="AK391" i="2"/>
  <c r="AK406" i="2"/>
  <c r="AK384" i="2"/>
  <c r="AL384" i="2"/>
  <c r="AK388" i="2"/>
  <c r="AL388" i="2"/>
  <c r="AK369" i="2"/>
  <c r="AL369" i="2"/>
  <c r="AK370" i="2"/>
  <c r="AL370" i="2"/>
  <c r="AK364" i="2"/>
  <c r="AL364" i="2"/>
  <c r="AK365" i="2"/>
  <c r="AL365" i="2"/>
  <c r="AK33" i="2"/>
  <c r="AL33" i="2"/>
  <c r="AK34" i="2"/>
  <c r="AL34" i="2"/>
  <c r="AK20" i="2"/>
  <c r="AL20" i="2"/>
  <c r="AK25" i="2"/>
  <c r="AL25" i="2"/>
  <c r="AK6" i="2"/>
  <c r="AK12" i="2"/>
  <c r="AK7" i="2"/>
  <c r="AK41" i="2"/>
  <c r="AL41" i="2"/>
  <c r="AK582" i="2"/>
  <c r="AK576" i="2"/>
  <c r="AK572" i="2"/>
  <c r="AK560" i="2"/>
  <c r="AK549" i="2"/>
  <c r="AK450" i="2"/>
  <c r="AK443" i="2"/>
  <c r="AK439" i="2"/>
  <c r="AL439" i="2"/>
  <c r="AK421" i="2"/>
  <c r="AK427" i="2"/>
  <c r="AK404" i="2"/>
  <c r="AK579" i="2"/>
  <c r="AK562" i="2"/>
  <c r="AK556" i="2"/>
  <c r="AK548" i="2"/>
  <c r="AK491" i="2"/>
  <c r="AK37" i="2"/>
  <c r="AL37" i="2"/>
  <c r="AK584" i="2"/>
  <c r="AK577" i="2"/>
  <c r="AK570" i="2"/>
  <c r="AK574" i="2"/>
  <c r="AK567" i="2"/>
  <c r="AK557" i="2"/>
  <c r="AK558" i="2"/>
  <c r="AK539" i="2"/>
  <c r="AK538" i="2"/>
  <c r="AK541" i="2"/>
  <c r="AK482" i="2"/>
  <c r="AK492" i="2"/>
  <c r="AK480" i="2"/>
  <c r="AK477" i="2"/>
  <c r="AK470" i="2"/>
  <c r="AK453" i="2"/>
  <c r="AK449" i="2"/>
  <c r="AK452" i="2"/>
  <c r="AK460" i="2"/>
  <c r="AK456" i="2"/>
  <c r="AK438" i="2"/>
  <c r="AL438" i="2"/>
  <c r="AK437" i="2"/>
  <c r="AL437" i="2"/>
  <c r="AK418" i="2"/>
  <c r="AK429" i="2"/>
  <c r="AK408" i="2"/>
  <c r="AK410" i="2"/>
  <c r="AK414" i="2"/>
  <c r="AK402" i="2"/>
  <c r="AK393" i="2"/>
  <c r="AK399" i="2"/>
  <c r="AK387" i="2"/>
  <c r="AL387" i="2"/>
  <c r="AK382" i="2"/>
  <c r="AL382" i="2"/>
  <c r="AK390" i="2"/>
  <c r="AL390" i="2"/>
  <c r="AK372" i="2"/>
  <c r="AL372" i="2"/>
  <c r="AK371" i="2"/>
  <c r="AL371" i="2"/>
  <c r="AK379" i="2"/>
  <c r="AL379" i="2"/>
  <c r="AK366" i="2"/>
  <c r="AL366" i="2"/>
  <c r="AK362" i="2"/>
  <c r="AL362" i="2"/>
  <c r="AK30" i="2"/>
  <c r="AL30" i="2"/>
  <c r="AK36" i="2"/>
  <c r="AL36" i="2"/>
  <c r="AK24" i="2"/>
  <c r="AL24" i="2"/>
  <c r="AK21" i="2"/>
  <c r="AL21" i="2"/>
  <c r="AK27" i="2"/>
  <c r="AL27" i="2"/>
  <c r="AK8" i="2"/>
  <c r="AK4" i="2"/>
  <c r="AK42" i="2"/>
  <c r="AL42" i="2"/>
</calcChain>
</file>

<file path=xl/sharedStrings.xml><?xml version="1.0" encoding="utf-8"?>
<sst xmlns="http://schemas.openxmlformats.org/spreadsheetml/2006/main" count="18371" uniqueCount="3019">
  <si>
    <t>IP/Port/Vuln</t>
  </si>
  <si>
    <t>Asset IP Address</t>
  </si>
  <si>
    <t>Owner</t>
  </si>
  <si>
    <t>Status</t>
  </si>
  <si>
    <t>Asset Names</t>
  </si>
  <si>
    <t>Asset OS Name</t>
  </si>
  <si>
    <t>Asset OS Version</t>
  </si>
  <si>
    <t>Service Port</t>
  </si>
  <si>
    <t>Service Name</t>
  </si>
  <si>
    <t>Service Product</t>
  </si>
  <si>
    <t>Vulnerability Severity Level</t>
  </si>
  <si>
    <t>Vulnerability ID</t>
  </si>
  <si>
    <t>Vulnerability Title</t>
  </si>
  <si>
    <t>Vulnerability Description</t>
  </si>
  <si>
    <t>Vulnerability Solution</t>
  </si>
  <si>
    <t>Vulnerability Proof</t>
  </si>
  <si>
    <t>Vulnerability Additional URLs</t>
  </si>
  <si>
    <t>Vulnerability CVE IDs</t>
  </si>
  <si>
    <t>Vulnerability CVE URLs</t>
  </si>
  <si>
    <t>Vulnerability Published Date</t>
  </si>
  <si>
    <t>Vulnerability Test Result Code</t>
  </si>
  <si>
    <t>Exploit Count</t>
  </si>
  <si>
    <t>Exploit Minimum Skill</t>
  </si>
  <si>
    <t>Exploit URLs</t>
  </si>
  <si>
    <t xml:space="preserve">Action à Performer </t>
  </si>
  <si>
    <t xml:space="preserve">Status Actuel </t>
  </si>
  <si>
    <t>Vulnerability Age</t>
  </si>
  <si>
    <t>Unix</t>
  </si>
  <si>
    <t>Fixed</t>
  </si>
  <si>
    <t>Moyen</t>
  </si>
  <si>
    <t>vv</t>
  </si>
  <si>
    <t/>
  </si>
  <si>
    <t>http-generic-browsable-dir</t>
  </si>
  <si>
    <t>Browsable web directory</t>
  </si>
  <si>
    <t>A web directory was found to be browsable, which means that anyone can see the contents of the directory. These directories can be found: _x000D_
_x000D_
 * via page spidering (following hyperlinks), or_x000D_
_x000D_
 * as part of a parent path (checking each directory along the path and searching for "Directory Listing" or similar strings), or_x000D_
_x000D_
 * by brute forcing a list of common directories._x000D_
_x000D_
 Browsable directories could allow an attacker to perform a directory traversal attack by viewing "hidden" files in the web root, including CGI scripts, data files, or backup pages.</t>
  </si>
  <si>
    <t>* Apache HTTPD_x000D_
      Disable web directory browsing for all directories and subdirectories_x000D_
_x000D_
      _x000D_
      In your httpd.conf file, disable the "Indexes" option for the appropriate &lt;Directory&gt; tag by removing it from the Options line._x000D_
_x000D_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
_x000D_
_x000D_
_x000D_
 * IIS, PWS, Microsoft-IIS, Internet Information Services, Internet Information Services, Microsoft-PWS_x000D_
      Disable web directory browsing for all directories and subdirectories_x000D_
_x000D_
      _x000D_
      In the Internet Information Services control panel or MMC, choose the appropriate virtual directory entry and select Properties. Uncheck the 'Allow Directory Browsing' option._x000D_
_x000D_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
_x000D_
_x000D_
_x000D_
 * Java System Web Server, iPlanet_x000D_
      Disable web directory indexing for all directories and subdirectories_x000D_
_x000D_
      _x000D_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
_x000D_
      For older versions of iPlanet that do not support the Directory Indexing setting, create a file called index.html or home.html in each directory. This page will then be served instead of a directory listing._x000D_
_x000D_
_x000D_
_x000D_
 * Apache Tomcat, Tomcat, Tomcat Web Server, Apache Coyote, Apache-Coyote_x000D_
      Disable web directory browsing for all directories and subdirectories_x000D_
_x000D_
      _x000D_
      Edit Tomcat's web.xml file. In the "default" servlet, change the "listings" parameter from "true" to "false". Restart the server._x000D_
_x000D_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t>
  </si>
  <si>
    <t>ve</t>
  </si>
  <si>
    <t>http-generic-click-jacking</t>
  </si>
  <si>
    <t>Click Jacking</t>
  </si>
  <si>
    <t>Clickjacking, also known as a UI redress attack, is a method in which an attacker uses multiple transparent or opaque layers to trick a user into clicking a button or link on a page other than the one they believe they are clicking. Thus, the attacker is "hijacking" clicks meant for one page and routing the user to an illegitimate page.</t>
  </si>
  <si>
    <t>Use HTTP X-Frame-Options_x000D_
_x000D_
_x000D_
 Send the HTTP response headers with X-Frame-Options that instruct the browser to restrict framing where it is not allowed.</t>
  </si>
  <si>
    <t>https://www.owasp.org/index.php/Clickjacking</t>
  </si>
  <si>
    <t>Faible</t>
  </si>
  <si>
    <t>http-options-method-enabled</t>
  </si>
  <si>
    <t>HTTP OPTIONS Method Enabled</t>
  </si>
  <si>
    <t>Web servers that respond to the OPTIONS HTTP method expose what other methods are supported by the web server, allowing attackers to narrow and intensify their efforts.</t>
  </si>
  <si>
    <t>* Disable HTTP OPTIONS method_x000D_
      _x000D_
      Disable HTTP OPTIONS method on your web server. Refer to your web server's instruction manual on how to do this._x000D_
_x000D_
_x000D_
      _x000D_
      Web servers that respond to the OPTIONS HTTP method expose what other methods are supported by the web server, allowing attackers to narrow and intensify their efforts._x000D_
_x000D_
_x000D_
_x000D_
 * Apache HTTPD_x000D_
      Disable HTTP OPTIONS Method for Apache_x000D_
_x000D_
      _x000D_
      Disable the OPTIONS method by including the following in the Apache configuration:_x000D_
_x000D_
       &lt;Limit OPTIONS&gt; Order deny,allow Deny from all &lt;/Limit&gt;_x000D_
_x000D_
_x000D_
_x000D_
 * Microsoft IIS_x000D_
      Disable HTTP OPTIONS Method for IIS_x000D_
_x000D_
      _x000D_
      Disable the OPTIONS method by doing the following in the IIS manager_x000D_
_x000D_
    * Select relevent site_x000D_
_x000D_
    * Select Request filtering and change to HTTP verb tab_x000D_
_x000D_
    * Select Deny Verb from the actions pane_x000D_
_x000D_
    * Type OPTIONS into the provided text box and press OK_x000D_
_x000D_
_x000D_
_x000D_
 * nginx nginx_x000D_
      Disable HTTP OPTIONS Method for nginx_x000D_
_x000D_
      _x000D_
      Disable the OPTIONS method by adding the following line to your server block, you can add other HTTP methods to be allowed to run after POST_x000D_
_x000D_
      limit_except GET POST { deny all; }</t>
  </si>
  <si>
    <t>OPTIONS method returned values including itself</t>
  </si>
  <si>
    <t>https://www.owasp.org/index.php/Test_HTTP_Methods_(OTG-CONFIG-006)</t>
  </si>
  <si>
    <t>ssh-3des-ciphers</t>
  </si>
  <si>
    <t>SSH Server Supports 3DES Cipher Suite</t>
  </si>
  <si>
    <t>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t>
  </si>
  <si>
    <t>Disable SSH support for 3DES cipher suite_x000D_
_x000D_
_x000D_
Remove all 3DES ciphers from the cipher list specified in sshd_config.</t>
  </si>
  <si>
    <t>* Running SSH service_x000D_
_x000D_
 * Insecure 3DES ciphers in use: 3des-cbc</t>
  </si>
  <si>
    <t>http://www.ecrypt.eu.org/ecrypt2/documents/D.SPA.20.pdf,https://bettercrypto.org/static/applied-crypto-hardening.pdf</t>
  </si>
  <si>
    <t>ssh-cbc-ciphers</t>
  </si>
  <si>
    <t>SSH CBC vulnerability</t>
  </si>
  <si>
    <t>SSH contains a vulnerability in the way certain types of errors are handled. Attacks leveraging this vulnerabilty would lead to the loss of the SSH session. According to CPNI Vulnerability Advisory SSH: _x000D_
_x000D_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t>
  </si>
  <si>
    <t>Disable SSH support for CBC cipher suite_x000D_
_x000D_
_x000D_
SSH can be done using Counter (CTR) mode encryption. This mode generates the keystream by encrypting successive values of a "counter" function. In order to mitigate this vulnerabilty SSH can be setup to use CTR mode rather CBC mode.</t>
  </si>
  <si>
    <t>https://www.kb.cert.org/vuls/id/958563</t>
  </si>
  <si>
    <t>ssh-cve-2015-4000</t>
  </si>
  <si>
    <t>SSH Server Supports diffie-hellman-group1-sha1</t>
  </si>
  <si>
    <t>The prime modulus offered when diffie-hellman-group1-sha1 is used only has a size of 1024 bits. This size is considered weak and within theoretical range of the so-called Logjam attack.</t>
  </si>
  <si>
    <t>Disable SSH support for ssh-diffie-hellman-group1-sha1_x000D_
_x000D_
_x000D_
Remove ssh-diffie-hellman-group1-sha1 from the KexAlgorithms list specified in sshd_config.</t>
  </si>
  <si>
    <t>* Running SSH service_x000D_
_x000D_
 * Insecure key exchange in use: diffie-hellman-group1-sha1</t>
  </si>
  <si>
    <t>https://weakdh.org/</t>
  </si>
  <si>
    <t>CVE-2015-4000</t>
  </si>
  <si>
    <t>ssh-cve-2016-2183-sweet32</t>
  </si>
  <si>
    <t>SSH Birthday attacks on 64-bit block ciphers (SWEET32)</t>
  </si>
  <si>
    <t>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t>
  </si>
  <si>
    <t>https://sweet32.info/</t>
  </si>
  <si>
    <t>CVE-2016-2183</t>
  </si>
  <si>
    <t>ssh-weak-kex-algorithms</t>
  </si>
  <si>
    <t>SSH Server Supports Weak Key Exchange Algorithms</t>
  </si>
  <si>
    <t>The server supports one or more weak key exchange algorithms. It is highly adviseable to remove weak key exchange algorithm support from SSH configuration files on hosts to prevent them from being used to establish connections.</t>
  </si>
  <si>
    <t>Disable weak Key Exchange Algorithms_x000D_
_x000D_
_x000D_
Refer to  this guide (https://wiki.mozilla.org/Security/Guidelines/OpenSSH)  on what KEX algorithms to permit in your SSH configuration.</t>
  </si>
  <si>
    <t>https://wiki.mozilla.org/Security/Guidelines/OpenSSH</t>
  </si>
  <si>
    <t>Client</t>
  </si>
  <si>
    <t>generic-tcp-timestamp</t>
  </si>
  <si>
    <t>TCP timestamp response</t>
  </si>
  <si>
    <t>The remote host responded with a TCP timestamp. The TCP timestamp response can be used to approximate the remote host's uptime, potentially aiding in further attacks. Additionally, some operating systems can be fingerprinted based on the behavior of their TCP timestamps.</t>
  </si>
  <si>
    <t>* Cisco_x000D_
      Disable TCP timestamp responses on Cisco_x000D_
_x000D_
      _x000D_
       Run the following command to disable TCP timestamps: _x000D_
_x000D_
       no ip tcp timestamp _x000D_
_x000D_
_x000D_
_x000D_
 * FreeBSD_x000D_
      Disable TCP timestamp responses on FreeBSD_x000D_
_x000D_
      _x000D_
       Set the value of net.inet.tcp.rfc1323 to 0 by running the following command: _x000D_
_x000D_
       sysctl -w net.inet.tcp.rfc1323=0 _x000D_
_x000D_
       Additionally, put the following value in the default sysctl configuration file, generally sysctl.conf: _x000D_
_x000D_
       net.inet.tcp.rfc1323=0 _x000D_
_x000D_
_x000D_
_x000D_
 * Linux_x000D_
      Disable TCP timestamp responses on Linux_x000D_
_x000D_
      _x000D_
       Set the value of net.ipv4.tcp_timestamps to 0 by running the following command: _x000D_
_x000D_
       sysctl -w net.ipv4.tcp_timestamps=0 _x000D_
_x000D_
       Additionally, put the following value in the default sysctl configuration file, generally sysctl.conf: _x000D_
_x000D_
       net.ipv4.tcp_timestamps=0 _x000D_
_x000D_
_x000D_
_x000D_
 * OpenBSD_x000D_
      Disable TCP timestamp responses on OpenBSD_x000D_
_x000D_
      _x000D_
       Set the value of net.inet.tcp.rfc1323 to 0 by running the following command: _x000D_
_x000D_
       sysctl -w net.inet.tcp.rfc1323=0 _x000D_
_x000D_
       Additionally, put the following value in the default sysctl configuration file, generally sysctl.conf: _x000D_
_x000D_
       net.inet.tcp.rfc1323=0 _x000D_
_x000D_
_x000D_
_x000D_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
      Disable TCP timestamp responses on Windows versions before Vista_x000D_
_x000D_
      _x000D_
       Set the Tcp1323Opts value in the following key to 1: _x000D_
_x000D_
       HKEY_LOCAL_MACHINE\System\CurrentControlSet\Services\Tcpip\Parameters _x000D_
_x000D_
_x000D_
_x000D_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
      Disable TCP timestamp responses on Windows versions since Vista_x000D_
_x000D_
      _x000D_
       TCP timestamps cannot be reliably disabled on this OS. If TCP timestamps present enough of a risk, put a firewall capable of blocking TCP timestamp packets in front of the affected assets.</t>
  </si>
  <si>
    <t>Able to determine system boot time.</t>
  </si>
  <si>
    <t>http://uptime.netcraft.com,http://www.forensicswiki.org/wiki/TCP_timestamps,http://www.ietf.org/rfc/rfc1323.txt</t>
  </si>
  <si>
    <t>ssh-rc4-ciphers</t>
  </si>
  <si>
    <t>SSH Server Supports RC4 Cipher Algorithms</t>
  </si>
  <si>
    <t>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t>
  </si>
  <si>
    <t>Disable SSH support for RC4 ciphers_x000D_
_x000D_
_x000D_
Remove arcfour, arcfour128, and arcfour256 from the Ciphers list specified in sshd_config.</t>
  </si>
  <si>
    <t>http://www.openssh.com/txt/release-6.7</t>
  </si>
  <si>
    <t>ssh-weak-message-authentication-code-algorithms</t>
  </si>
  <si>
    <t>SSH Weak Message Authentication Code Algorithms</t>
  </si>
  <si>
    <t>The SSH server supports cryptographically weak Hash-based message authentication codes (HMACs) including MD5 or 96-bit Hash-based algorithms.</t>
  </si>
  <si>
    <t>Disable any MD5 or 96-bit HMAC algorithms within the SSH configuration_x000D_
_x000D_
Consult the product documentation for instructions to disable any insecure MD5 or 96-bit HMAC algorithms within the SSH configuration.</t>
  </si>
  <si>
    <t>http://csrc.nist.gov/archive/ipsec/papers/rfc2403-hmacmd5.txt</t>
  </si>
  <si>
    <t>Network</t>
  </si>
  <si>
    <t>Not Fixed</t>
  </si>
  <si>
    <t>spider-sensitive-form-data-autocomplete-enabled</t>
  </si>
  <si>
    <t>Autocomplete enabled for sensitive HTML form fields</t>
  </si>
  <si>
    <t>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
_x000D_
Sensitive data and passwords can be stolen if the user's system is compromised._x000D_
_x000D_
Note, however, that form auto-complete is a non-standard, browser-side feature that each browser handles differently. Opera, for example, disregards the feature, requiring the user to enter credentials for each Web site visit.</t>
  </si>
  <si>
    <t>Disable autocomplete for all sensitive fields_x000D_
_x000D_
_x000D_
For each sensitive field in the HTML, set the "autocomplete" attribute to "off". For example:_x000D_
_x000D_
 &lt;input type="password" autocomplete="off" name="pw"&gt; _x000D_
_x000D_
If there are many fields, it may be faster to set the "autocomplete" attribute to "off" in the outer &lt;form&gt; tag. For example:_x000D_
_x000D_
 &lt;form action="/login.jsp" autocomplete="off" name="pw"&gt; &lt;input type="password" name="pw"&gt; &lt;/form&gt;</t>
  </si>
  <si>
    <t>ssl-3des-ciphers</t>
  </si>
  <si>
    <t>TLS/SSL Server Supports 3DES Cipher Suite</t>
  </si>
  <si>
    <t>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t>
  </si>
  <si>
    <t>Disable TLS/SSL support for 3DES cipher suite_x000D_
_x000D_
_x000D_
Configure the server to disable support for 3DES suite._x000D_
_x000D_
For Microsoft IIS web servers, see Microsoft Knowledgebase article  245030 (http://support.microsoft.com/kb/245030/)  for instructions on disabling 3DES cipher suite. _x000D_
_x000D_
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
_x000D_
Refer to your server vendor documentation to apply the recommended cipher configuration:_x000D_
_x000D_
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t>
  </si>
  <si>
    <t>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t>
  </si>
  <si>
    <t>ssl-cve-2011-3389-beast</t>
  </si>
  <si>
    <t>TLS/SSL Server is enabling the BEAST attack</t>
  </si>
  <si>
    <t>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"BEAST" attack. By supporting the affected protocols and ciphers, the server is enabling the clients in to being exploited.</t>
  </si>
  <si>
    <t>Disable SSLv2, SSLv3, and TLS 1.0. The best solution is to only have TLS 1.2 enabled_x000D_
_x000D_
_x000D_
 There is no server-side mitigation available against the BEAST attack. The only option is to disable the affected protocols (SSLv3 and TLS 1.0). The only fully safe configuration is to use Authenticated Encryption with Associated Data (AEAD), e.g. AES-GCM, AES-CCM in TLS 1.2.</t>
  </si>
  <si>
    <t>http://vnhacker.blogspot.co.uk/2011/09/beast.html</t>
  </si>
  <si>
    <t>CVE-2011-3389</t>
  </si>
  <si>
    <t>ssl-cve-2016-2183-sweet32</t>
  </si>
  <si>
    <t>TLS/SSL Birthday attacks on 64-bit block ciphers (SWEET32)</t>
  </si>
  <si>
    <t>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t>
  </si>
  <si>
    <t>https://sweet32.info/,https://www.openssl.org/blog/blog/2016/08/24/sweet32,https://access.redhat.com/articles/2548661</t>
  </si>
  <si>
    <t>ssl-self-signed-certificate</t>
  </si>
  <si>
    <t>Self-signed TLS/SSL certificate</t>
  </si>
  <si>
    <t>The server's TLS/SSL certificate is self-signed. Self-signed certificates cannot be trusted by default, especially because TLS/SSL man-in-the-middle attacks typically use self-signed certificates to eavesdrop on TLS/SSL connections.</t>
  </si>
  <si>
    <t>Replace TLS/SSL self-signed certificate_x000D_
_x000D_
_x000D_
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t>
  </si>
  <si>
    <t>TLS/SSL certificate is self-signed.</t>
  </si>
  <si>
    <t>ssl-static-key-ciphers</t>
  </si>
  <si>
    <t>TLS/SSL Server Supports The Use of Static Key Ciphers</t>
  </si>
  <si>
    <t>The server is configured to support ciphers known as static key ciphers. These ciphers don't support "Forward Secrecy". In the new specification for HTTP/2, these ciphers have been blacklisted.</t>
  </si>
  <si>
    <t>Disable TLS/SSL support for static key cipher suites_x000D_
_x000D_
_x000D_
Configure the server to disable support for static key cipher suites._x000D_
_x000D_
For Microsoft IIS web servers, see Microsoft Knowledgebase article  245030 (http://support.microsoft.com/kb/245030/)  for instructions on disabling static key cipher suites. _x000D_
_x000D_
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
_x000D_
Refer to your server vendor documentation to apply the recommended cipher configuration:_x000D_
_x000D_
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t>
  </si>
  <si>
    <t>http://www.nist.gov/manuscript-publication-search.cfm?pub_id=915295,https://wiki.mozilla.org/Security/Server_Side_TLS,https://www.owasp.org/index.php/Transport_Layer_Protection_Cheat_Sheet#Rule_-_Only_Support_Strong_Cryptographic_Ciphers,http://support.microsoft.com/kb/245030/,https://tools.ietf.org/html/rfc7540/</t>
  </si>
  <si>
    <t>tls-dh-primes</t>
  </si>
  <si>
    <t>TLS/SSL Server Is Using Commonly Used Prime Numbers</t>
  </si>
  <si>
    <t>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t>
  </si>
  <si>
    <t>Generate random Diffie-Hellman parameters_x000D_
_x000D_
_x000D_
 Configure the server to use a randomly generated Diffie-Hellman group. It's recommend that you generate a 2048-bit group. The simplest way of generating a new group is to use OpenSSL: _x000D_
_x000D_
 openssl dhparam -out dhparams.pem 2048 _x000D_
_x000D_
 To use the DH parameters in newer versions of Apache (2.4.8 and newer) and OpenSSL 1.0.2 or later, you can directly specify your DH params file as follows: _x000D_
_x000D_
 SSLOpenSSLConfCmd DHParameters "{path to dhparams.pem}" _x000D_
_x000D_
 If you are using Apache with LibreSSL, or Apache 2.4.7 and OpenSSL 0.9.8a or later, you can append the DHparams you generated earlier to the end of your certificate file and reload the configuration. _x000D_
_x000D_
 For other products see  the remediation steps suggested by the original researchers. (https://weakdh.org/sysadmin.html)</t>
  </si>
  <si>
    <t>* _x000D_
      The server is using the following commonly used Diffie-Hellman primes: _x000D_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t>
  </si>
  <si>
    <t>https://weakdh.org/,https://www.openssl.org/docs/man1.1.0/apps/dhparam.html</t>
  </si>
  <si>
    <t>tls-untrusted-ca</t>
  </si>
  <si>
    <t>Untrusted TLS/SSL server X.509 certificate</t>
  </si>
  <si>
    <t>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t>
  </si>
  <si>
    <t>Obtain a new certificate from your CA and ensure the server configuration is correct_x000D_
_x000D_
_x000D_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
_x000D_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t>
  </si>
  <si>
    <t>http://httpd.apache.org/docs/2.2/mod/mod_ssl.html,http://nginx.org/en/docs/http/configuring_https_servers.html,https://support.microsoft.com/en-us/kb/954755</t>
  </si>
  <si>
    <t>tlsv1_0-enabled</t>
  </si>
  <si>
    <t>TLS Server Supports TLS version 1.0</t>
  </si>
  <si>
    <t>The PCI (Payment Card Industry) Data Security Standard requires a minimum of TLS v1.1 and recommends TLS v1.2. In addition, FIPS 140-2 standard requires a minimum of TLS v1.1 and recommends TLS v1.2.</t>
  </si>
  <si>
    <t>Disable insecure TLS/SSL protocol support_x000D_
_x000D_
_x000D_
Configure the server to require clients to use TLS version 1.2 using Authenticated Encryption with Associated Data (AEAD) capable ciphers.</t>
  </si>
  <si>
    <t>Successfully connected over TLSv1.0</t>
  </si>
  <si>
    <t>https://www.pcisecuritystandards.org/documents/Migrating_from_SSL_Early_TLS_Information%20Supplement_v1.pdf,http://nvlpubs.nist.gov/nistpubs/SpecialPublications/NIST.SP.800-52r1.pdf</t>
  </si>
  <si>
    <t>tlsv1_1-enabled</t>
  </si>
  <si>
    <t>TLS Server Supports TLS version 1.1</t>
  </si>
  <si>
    <t>Successfully connected over TLSv1.1</t>
  </si>
  <si>
    <t>* _x000D_
      Negotiated with the following insecure cipher suites: _x000D_
    * TLS 1.0 ciphers: _x000D_
       * TLS_RSA_WITH_3DES_EDE_CBC_SHA_x000D_
_x000D_
_x000D_
    * TLS 1.1 ciphers: _x000D_
       * TLS_RSA_WITH_3DES_EDE_CBC_SHA_x000D_
_x000D_
_x000D_
    * TLS 1.2 ciphers: _x000D_
       * TLS_RSA_WITH_3DES_EDE_CBC_SHA</t>
  </si>
  <si>
    <t>* _x000D_
      Negotiated with the following insecure cipher suites: _x000D_
    * TLS 1.0 ciphers: _x000D_
       * TLS_RSA_WITH_3DES_EDE_CBC_SHA_x000D_
_x000D_
       * TLS_RSA_WITH_AES_128_CBC_SHA_x000D_
_x000D_
       * TLS_RSA_WITH_AES_256_CBC_SHA_x000D_
_x000D_
       * TLS_RSA_WITH_CAMELLIA_128_CBC_SHA_x000D_
_x000D_
       * TLS_RSA_WITH_CAMELLIA_256_CBC_SHA_x000D_
_x000D_
_x000D_
    * TLS 1.1 ciphers: _x000D_
       * TLS_RSA_WITH_3DES_EDE_CBC_SHA_x000D_
_x000D_
       * TLS_RSA_WITH_AES_128_CBC_SHA_x000D_
_x000D_
       * TLS_RSA_WITH_AES_256_CBC_SHA_x000D_
_x000D_
       * TLS_RSA_WITH_CAMELLIA_128_CBC_SHA_x000D_
_x000D_
       * TLS_RSA_WITH_CAMELLIA_256_CBC_SHA_x000D_
_x000D_
_x000D_
    * TLS 1.2 ciphers: _x000D_
       * TLS_RSA_WITH_3DES_EDE_CBC_SHA_x000D_
_x000D_
       * TLS_RSA_WITH_AES_128_CBC_SHA_x000D_
_x000D_
       * TLS_RSA_WITH_AES_128_CBC_SHA256_x000D_
_x000D_
       * TLS_RSA_WITH_AES_128_GCM_SHA256_x000D_
_x000D_
       * TLS_RSA_WITH_AES_256_CBC_SHA_x000D_
_x000D_
       * TLS_RSA_WITH_AES_256_CBC_SHA256_x000D_
_x000D_
       * TLS_RSA_WITH_AES_256_GCM_SHA384_x000D_
_x000D_
       * TLS_RSA_WITH_CAMELLIA_128_CBC_SHA_x000D_
_x000D_
       * TLS_RSA_WITH_CAMELLIA_256_CBC_SHA</t>
  </si>
  <si>
    <t>* Running SSH service_x000D_
_x000D_
 * Insecure CBC ciphers in use: aes256-cbc,aes192-cbc,aes128-cbc</t>
  </si>
  <si>
    <t>certificate-common-name-mismatch</t>
  </si>
  <si>
    <t>X.509 Certificate Subject CN Does Not Match the Entity Name</t>
  </si>
  <si>
    <t>The subject common name (CN) field in the X.509 certificate does not match the name of the entity presenting the certificate._x000D_
_x000D_
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"https://www.example.com/", the CN should be "www.example.com". _x000D_
_x000D_
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
_x000D_
A CN mismatch most often occurs due to a configuration error, though it can also indicate that a man-in-the-middle attack is being conducted. _x000D_
_x000D_
Please note that this check may flag a false positive against servers that are properly configured using SNI.</t>
  </si>
  <si>
    <t>Fix the subject's Common Name (CN) field in the certificate_x000D_
_x000D_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t>
  </si>
  <si>
    <t>rc4-cve-2013-2566</t>
  </si>
  <si>
    <t>TLS/SSL Server Supports RC4 Cipher Algorithms (CVE-2013-2566)</t>
  </si>
  <si>
    <t>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t>
  </si>
  <si>
    <t>Disable TLS/SSL support for RC4 ciphers_x000D_
_x000D_
_x000D_
Configure the server to disable support for RC4 ciphers._x000D_
_x000D_
For Microsoft IIS web servers, see Microsoft Knowledgebase article  245030 (http://support.microsoft.com/kb/245030/)  for instructions on disabling rc4 ciphers. _x000D_
_x000D_
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
_x000D_
Refer to your server vendor documentation to apply the recommended cipher configuration:_x000D_
_x000D_
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t>
  </si>
  <si>
    <t>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t>
  </si>
  <si>
    <t>CVE-2013-2566</t>
  </si>
  <si>
    <t>tls-server-cert-sig-alg-sha1</t>
  </si>
  <si>
    <t>SHA-1-based Signature in TLS/SSL Server X.509 Certificate</t>
  </si>
  <si>
    <t>The SHA-1 hashing algorithm has known weaknesses that expose it to collision attacks, which may allow an attacker to generate additional X.509 digital certificates with the same signature as an original.</t>
  </si>
  <si>
    <t>Stop Using SHA-1_x000D_
_x000D_
_x000D_
 Stop using signature algorithms relying on SHA-1, such as "SHA1withRSA", when signing X.509 certificates. Instead, use the SHA-2 family (SHA-224, SHA-256, SHA-384, and SHA-512).</t>
  </si>
  <si>
    <t>SSL certificate is signed with SHA1withRSA</t>
  </si>
  <si>
    <t>https://technet.microsoft.com/en-us/library/security/2880823.aspx,https://blog.mozilla.org/security/2014/09/23/phasing-out-certificates-with-sha-1-based-signature-algorithms/,http://googleonlinesecurity.blogspot.co.uk/2014/09/gradually-sunsetting-sha-1.html,https://www.schneier.com/blog/archives/2005/02/cryptanalysis_o.html</t>
  </si>
  <si>
    <t>Critique</t>
  </si>
  <si>
    <t>* Running SSH service_x000D_
_x000D_
 * Insecure key exchange algorithms in use: diffie-hellman-group1-sha1</t>
  </si>
  <si>
    <t>tls-dh-prime-under-2048-bits</t>
  </si>
  <si>
    <t>Diffie-Hellman group smaller than 2048 bits</t>
  </si>
  <si>
    <t>The TLS server uses a Diffie-Hellman group with a prime modulus of less than 2048 bits in length. Current estimates are that that an academic team can break a 768-bit prime and that a state-level actor can break a 1024-bit prime.</t>
  </si>
  <si>
    <t>Use a Stronger Diffie-Hellman Group_x000D_
_x000D_
 Please refer to this  guide to deploying Diffie-Hellman for TLS (https://weakdh.org/sysadmin.html)  for instructions on how to configure the server to use 2048-bit or stronger Diffie-Hellman groups with safe primes.</t>
  </si>
  <si>
    <t>* _x000D_
      Negotiated with the following insecure cipher suites: _x000D_
    * TLS 1.0 ciphers: _x000D_
       * TLS_DHE_RSA_WITH_AES_128_CBC_SHA_x000D_
_x000D_
       * TLS_DHE_RSA_WITH_AES_256_CBC_SHA_x000D_
_x000D_
       * TLS_ECDHE_RSA_WITH_AES_128_CBC_SHA_x000D_
_x000D_
       * TLS_ECDHE_RSA_WITH_AES_256_CBC_SHA_x000D_
_x000D_
       * TLS_RSA_WITH_AES_128_CBC_SHA_x000D_
_x000D_
       * TLS_RSA_WITH_AES_256_CBC_SHA</t>
  </si>
  <si>
    <t>* _x000D_
      Negotiated with the following insecure cipher suites: _x000D_
    * TLS 1.0 ciphers: _x000D_
       * TLS_RSA_WITH_AES_128_CBC_SHA_x000D_
_x000D_
       * TLS_RSA_WITH_AES_256_CBC_SHA_x000D_
_x000D_
_x000D_
    * TLS 1.1 ciphers: _x000D_
       * TLS_RSA_WITH_AES_128_CBC_SHA_x000D_
_x000D_
       * TLS_RSA_WITH_AES_256_CBC_SHA_x000D_
_x000D_
_x000D_
    * TLS 1.2 ciphers: _x000D_
       * TLS_RSA_WITH_AES_128_CBC_SHA_x000D_
_x000D_
       * TLS_RSA_WITH_AES_128_CBC_SHA256_x000D_
_x000D_
       * TLS_RSA_WITH_AES_128_GCM_SHA256_x000D_
_x000D_
       * TLS_RSA_WITH_AES_256_CBC_SHA_x000D_
_x000D_
       * TLS_RSA_WITH_AES_256_CBC_SHA256_x000D_
_x000D_
       * TLS_RSA_WITH_AES_256_GCM_SHA384</t>
  </si>
  <si>
    <t>* _x000D_
      The server is using the following commonly used Diffie-Hellman primes: _x000D_
    * ffffffffffffffffc90fdaa22168c234c4c6628b80dc1cd129024e088a67cc74020bbea63b139b22514a08798e3404ddef9519b3cd3a431b302b0a6df25f14374fe1356d6d51c245e485b576625e7ec6f44c42e9a637ed6b0bff5cb6f406b7edee386bfb5a899fa5ae9f24117c4b1fe649286651ece45b3dc2007cb8a163bf0598da48361c55d39a69163fa8fd24cf5f83655d23dca3ad961c62f356208552bb9ed529077096966d670c354e4abc9804f1746c08ca18217c32905e462e36ce3be39e772c180e86039b2783a2ec07a28fb5c55df06f4c52c9de2bcbf6955817183995497cea956ae515d2261898fa051015728e5a8aacaa68ffffffffffffffff</t>
  </si>
  <si>
    <t>* _x000D_
      Negotiated with the following insecure cipher suites: _x000D_
    * TLS 1.0 ciphers: _x000D_
       * TLS_DHE_RSA_WITH_3DES_EDE_CBC_SHA_x000D_
_x000D_
       * TLS_ECDHE_RSA_WITH_3DES_EDE_CBC_SHA_x000D_
_x000D_
       * TLS_RSA_WITH_3DES_EDE_CBC_SHA_x000D_
_x000D_
_x000D_
    * TLS 1.1 ciphers: _x000D_
       * TLS_DHE_RSA_WITH_3DES_EDE_CBC_SHA_x000D_
_x000D_
       * TLS_ECDHE_RSA_WITH_3DES_EDE_CBC_SHA_x000D_
_x000D_
       * TLS_RSA_WITH_3DES_EDE_CBC_SHA_x000D_
_x000D_
_x000D_
    * TLS 1.2 ciphers: _x000D_
       * TLS_DHE_RSA_WITH_3DES_EDE_CBC_SHA_x000D_
_x000D_
       * TLS_ECDHE_RSA_WITH_3DES_EDE_CBC_SHA_x000D_
_x000D_
       * TLS_RSA_WITH_3DES_EDE_CBC_SHA</t>
  </si>
  <si>
    <t>* _x000D_
      Negotiated with the following insecure cipher suites: _x000D_
    * TLS 1.0 ciphers: _x000D_
       * TLS_DHE_RSA_WITH_3DES_EDE_CBC_SHA_x000D_
_x000D_
       * TLS_DHE_RSA_WITH_AES_128_CBC_SHA_x000D_
_x000D_
       * TLS_DHE_RSA_WITH_AES_256_CBC_SHA_x000D_
_x000D_
       * TLS_ECDHE_RSA_WITH_3DES_EDE_CBC_SHA_x000D_
_x000D_
       * TLS_ECDHE_RSA_WITH_AES_128_CBC_SHA_x000D_
_x000D_
       * TLS_ECDHE_RSA_WITH_AES_256_CBC_SHA_x000D_
_x000D_
       * TLS_RSA_WITH_3DES_EDE_CBC_SHA_x000D_
_x000D_
       * TLS_RSA_WITH_AES_128_CBC_SHA_x000D_
_x000D_
       * TLS_RSA_WITH_AES_256_CBC_SHA</t>
  </si>
  <si>
    <t>* _x000D_
      Negotiated with the following insecure cipher suites: _x000D_
    * TLS 1.0 ciphers: _x000D_
       * TLS_RSA_WITH_3DES_EDE_CBC_SHA_x000D_
_x000D_
       * TLS_RSA_WITH_AES_128_CBC_SHA_x000D_
_x000D_
       * TLS_RSA_WITH_AES_256_CBC_SHA_x000D_
_x000D_
_x000D_
    * TLS 1.1 ciphers: _x000D_
       * TLS_RSA_WITH_3DES_EDE_CBC_SHA_x000D_
_x000D_
       * TLS_RSA_WITH_AES_128_CBC_SHA_x000D_
_x000D_
       * TLS_RSA_WITH_AES_256_CBC_SHA_x000D_
_x000D_
_x000D_
    * TLS 1.2 ciphers: _x000D_
       * TLS_RSA_WITH_3DES_EDE_CBC_SHA_x000D_
_x000D_
       * TLS_RSA_WITH_AES_128_CBC_SHA_x000D_
_x000D_
       * TLS_RSA_WITH_AES_128_CBC_SHA256_x000D_
_x000D_
       * TLS_RSA_WITH_AES_128_GCM_SHA256_x000D_
_x000D_
       * TLS_RSA_WITH_AES_256_CBC_SHA_x000D_
_x000D_
       * TLS_RSA_WITH_AES_256_CBC_SHA256_x000D_
_x000D_
       * TLS_RSA_WITH_AES_256_GCM_SHA384</t>
  </si>
  <si>
    <t>* _x000D_
      The following SSL/TLS cipher suites use Diffie-Hellman a prime modulus smaller than 2048 bits:_x000D_
    * TLS 1.0 ciphers: _x000D_
       * TLS_DHE_RSA_WITH_AES_256_CBC_SHA with a Diffie-Hellman prime modulus of 1024 bits_x000D_
_x000D_
       * TLS_DHE_RSA_WITH_AES_128_CBC_SHA with a Diffie-Hellman prime modulus of 1024 bits_x000D_
_x000D_
       * TLS_DHE_RSA_WITH_3DES_EDE_CBC_SHA with a Diffie-Hellman prime modulus of 1024 bits_x000D_
_x000D_
_x000D_
    * TLS 1.1 ciphers: _x000D_
       * TLS_DHE_RSA_WITH_AES_256_CBC_SHA with a Diffie-Hellman prime modulus of 1024 bits_x000D_
_x000D_
       * TLS_DHE_RSA_WITH_AES_128_CBC_SHA with a Diffie-Hellman prime modulus of 1024 bits_x000D_
_x000D_
       * TLS_DHE_RSA_WITH_3DES_EDE_CBC_SHA with a Diffie-Hellman prime modulus of 1024 bits</t>
  </si>
  <si>
    <t>SI en arrêt</t>
  </si>
  <si>
    <t>http-basic-auth-cleartext</t>
  </si>
  <si>
    <t>HTTP Basic Authentication Enabled</t>
  </si>
  <si>
    <t>The HTTP Basic Authentication scheme is not considered to be a secure method of user authentication (unless used in conjunction with some external secure system such as TLS/SSL), as the user name and password are passed over the network as cleartext.</t>
  </si>
  <si>
    <t>* Use Basic Authentication over TLS/SSL (HTTPS)_x000D_
      _x000D_
       Enable HTTPS on the Web server. The TLS/SSL protocol will protect cleartext Basic Authentication credentials. _x000D_
_x000D_
_x000D_
_x000D_
 * Use Digest Authentication_x000D_
      _x000D_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t>
  </si>
  <si>
    <t>http://tools.ietf.org/html/rfc2617</t>
  </si>
  <si>
    <t>tls-server-cert-expired</t>
  </si>
  <si>
    <t>X.509 Server Certificate Is Invalid/Expired</t>
  </si>
  <si>
    <t>The TLS/SSL server's X.509 certificate either contains a start date in the future or is expired. Please refer to the proof for more details.</t>
  </si>
  <si>
    <t>Replace TLS/SSL server X.509 certificate_x000D_
_x000D_
_x000D_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
_x000D_
 Your organization may have its own internal Certificate Authority. If not, you may have to pay for a certificate from a trusted external Certificate Authority. _x000D_
_x000D_
 After you have received a new certificate file from the Certificate Authority, you will have to install it on the TLS/SSL server. The exact instructions for installing a certificate differ for each product. Please follow their documentation.</t>
  </si>
  <si>
    <t>http-trace-method-enabled</t>
  </si>
  <si>
    <t>HTTP TRACE Method Enabled</t>
  </si>
  <si>
    <t>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t>
  </si>
  <si>
    <t>http://www.apacheweek.com/issues/03-01-24#news,http://www.kb.cert.org/vuls/id/867593</t>
  </si>
  <si>
    <t>CVE-2010-0386,CVE-2009-2823,CVE-2008-7253,CVE-2007-3008,CVE-2006-4683,CVE-2005-3398,CVE-2004-2763,CVE-2004-2320</t>
  </si>
  <si>
    <t>jquery-cve-2012-6708</t>
  </si>
  <si>
    <t>jQuery Vulnerability: CVE-2012-6708</t>
  </si>
  <si>
    <t>jQuery before 1.9.0 is vulnerable to Cross-site Scripting (XSS) attacks. 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t>
  </si>
  <si>
    <t>&lt; 1.9.0_x000D_
_x000D_
Upgrade to jQuery version 1.9.0_x000D_
_x000D_
Download and apply the upgrade from:  https://jquery.com/download/</t>
  </si>
  <si>
    <t>https://bugs.jquery.com/ticket/11290</t>
  </si>
  <si>
    <t>CVE-2012-6708</t>
  </si>
  <si>
    <t>jquery-cve-2014-6071</t>
  </si>
  <si>
    <t>jQuery Vulnerability: CVE-2014-6071</t>
  </si>
  <si>
    <t>jQuery 1.4.2 allows remote attackers to conduct cross-site scripting (XSS) attacks via vectors related to use of the text method inside after.</t>
  </si>
  <si>
    <t>&lt; 1.11.1_x000D_
_x000D_
Upgrade to jQuery version 1.11.1_x000D_
_x000D_
Download and apply the upgrade from:  https://jquery.com/download/</t>
  </si>
  <si>
    <t>CVE-2014-6071</t>
  </si>
  <si>
    <t>http-cookie-http-only-flag</t>
  </si>
  <si>
    <t>Missing HttpOnly Flag From Cookie</t>
  </si>
  <si>
    <t>HttpOnly is an additional flag included in a Set-Cookie HTTP response header. If supported by the browser, using the HttpOnly flag when generating a cookie helps mitigate the risk of client side script accessing the protected cookie. If a browser that supports HttpOnly detects a cookie containing the HttpOnly flag, and client side script code attempts to read the cookie, the browser returns an empty string as the result. This causes the attack to fail by preventing the malicious (usually XSS) code from sending the data to an attacker's website.</t>
  </si>
  <si>
    <t>Add the HttpOnly to all cookies_x000D_
_x000D_
_x000D_
For each cookie generated by your web-site, add the "HttpOnly" flag to the cookie. For example:_x000D_
_x000D_
_x000D_
 Set-Cookie: &lt;name&gt;=&lt;value&gt;[; &lt;Max-Age&gt;=&lt;age&gt;] [; expires=&lt;date&gt;][; domain=&lt;domain_name&gt;] [; path=&lt;some_path&gt;][; secure][; HttpOnly]</t>
  </si>
  <si>
    <t>http://msdn.microsoft.com/en-us/library/ms533046.aspx,https://www.owasp.org/index.php/HttpOnly</t>
  </si>
  <si>
    <t>* _x000D_
      Negotiated with the following insecure cipher suites: _x000D_
    * TLS 1.2 ciphers: _x000D_
       * TLS_ECDHE_RSA_WITH_3DES_EDE_CBC_SHA</t>
  </si>
  <si>
    <t>* _x000D_
      Negotiated with the following insecure cipher suites: _x000D_
    * TLS 1.2 ciphers: _x000D_
       * TLS_RSA_WITH_AES_128_CBC_SHA_x000D_
_x000D_
       * TLS_RSA_WITH_AES_128_CBC_SHA256_x000D_
_x000D_
       * TLS_RSA_WITH_AES_256_CBC_SHA_x000D_
_x000D_
       * TLS_RSA_WITH_AES_256_CBC_SHA256</t>
  </si>
  <si>
    <t>tls-server-cert-to-expire</t>
  </si>
  <si>
    <t>X.509 Server Certificate Will Expire Within 30 Days</t>
  </si>
  <si>
    <t>The TLS/SSL server's X.509 certificate will expire within 30 days. Please refer to the proof for more details.</t>
  </si>
  <si>
    <t>TLS/SSL certificate signed by unknown, untrusted CA: CN=www.fondationcdg.ma, OU=CDG, O=Fondation CDG, L=Rabat, ST=Rabat, C=MA -- [Path does not chain with any of the trust anchors].</t>
  </si>
  <si>
    <t>ssl-des-ciphers</t>
  </si>
  <si>
    <t>TLS/SSL Server Supports DES and IDEA Cipher Suites</t>
  </si>
  <si>
    <t>Transport Layer Security (TLS) versions 1.0 (RFC 2246) and 1.1 (RFC 4346) include cipher suites based on the DES (Data Encryption Standard) and IDEA (International Data Encryption Algorithm) algorithms. DES and IDEA algorithms are no longer recommended for general use in TLS, and have been removed from TLS version 1.2.</t>
  </si>
  <si>
    <t>Disable TLS/SSL support for DES and IDEA cipher suites_x000D_
_x000D_
_x000D_
Configure the server to disable support for DES and IDEA cipher suites._x000D_
_x000D_
For Microsoft IIS web servers, see Microsoft Knowledgebase article  245030 (http://support.microsoft.com/kb/245030/)  for instructions on disabling DES and IDEA cipher suites. _x000D_
_x000D_
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
_x000D_
Refer to your server vendor documentation to apply the recommended cipher configuration:_x000D_
_x000D_
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t>
  </si>
  <si>
    <t>http://www.nist.gov/manuscript-publication-search.cfm?pub_id=915295,https://wiki.mozilla.org/Security/Server_Side_TLS,https://www.owasp.org/index.php/Transport_Layer_Protection_Cheat_Sheet#Rule_-_Only_Support_Strong_Cryptographic_Ciphers,http://support.microsoft.com/kb/245030/,https://tools.ietf.org/html/rfc5469</t>
  </si>
  <si>
    <t>* _x000D_
      Negotiated with the following insecure cipher suites: _x000D_
    * TLS 1.2 ciphers: _x000D_
       * TLS_ECDHE_RSA_WITH_RC4_128_SHA_x000D_
_x000D_
       * TLS_RSA_WITH_RC4_128_MD5_x000D_
_x000D_
       * TLS_RSA_WITH_RC4_128_SHA</t>
  </si>
  <si>
    <t>* _x000D_
      Negotiated with the following insecure cipher suites: _x000D_
    * TLS 1.2 ciphers: _x000D_
       * TLS_DHE_RSA_WITH_3DES_EDE_CBC_SHA_x000D_
_x000D_
       * TLS_ECDHE_RSA_WITH_3DES_EDE_CBC_SHA_x000D_
_x000D_
       * TLS_RSA_WITH_3DES_EDE_CBC_SHA</t>
  </si>
  <si>
    <t>* _x000D_
      Negotiated with the following insecure cipher suites: _x000D_
    * TLS 1.2 ciphers: _x000D_
       * TLS_RSA_WITH_IDEA_CBC_SHA</t>
  </si>
  <si>
    <t>* _x000D_
      Negotiated with the following insecure cipher suites: _x000D_
    * TLS 1.2 ciphers: _x000D_
       * TLS_RSA_WITH_3DES_EDE_CBC_SHA_x000D_
_x000D_
       * TLS_RSA_WITH_AES_128_CBC_SHA_x000D_
_x000D_
       * TLS_RSA_WITH_AES_128_CBC_SHA256_x000D_
_x000D_
       * TLS_RSA_WITH_AES_128_GCM_SHA256_x000D_
_x000D_
       * TLS_RSA_WITH_AES_256_CBC_SHA_x000D_
_x000D_
       * TLS_RSA_WITH_AES_256_CBC_SHA256_x000D_
_x000D_
       * TLS_RSA_WITH_AES_256_GCM_SHA384_x000D_
_x000D_
       * TLS_RSA_WITH_CAMELLIA_128_CBC_SHA_x000D_
_x000D_
       * TLS_RSA_WITH_CAMELLIA_256_CBC_SHA_x000D_
_x000D_
       * TLS_RSA_WITH_IDEA_CBC_SHA_x000D_
_x000D_
       * TLS_RSA_WITH_RC4_128_MD5_x000D_
_x000D_
       * TLS_RSA_WITH_RC4_128_SHA_x000D_
_x000D_
       * TLS_RSA_WITH_SEED_CBC_SHA</t>
  </si>
  <si>
    <t>The certificate is not valid after Fri, 25 Mar 2016 17:46:30 WET</t>
  </si>
  <si>
    <t>TLS/SSL certificate signed by unknown, untrusted CA: EMAILADDRESS=root@PCDG-RECLAS, CN=PCDG-RECLAS, OU=SomeOrganizationalUnit, O=SomeOrganization, L=SomeCity, ST=SomeState, C=-- -- [Path does not chain with any of the trust anchors].</t>
  </si>
  <si>
    <t>Not fixed</t>
  </si>
  <si>
    <t>http-cookie-secure-flag</t>
  </si>
  <si>
    <t>Missing Secure Flag From SSL Cookie</t>
  </si>
  <si>
    <t>The Secure attribute tells the browser to only send the cookie if the request is being sent over a secure channel such as HTTPS. This will help protect the cookie from being passed over unencrypted requests. If the application can be accessed over both HTTP and HTTPS, then there is the potential that the cookie can be sent in clear text.</t>
  </si>
  <si>
    <t>Add the Secure flag to cookies sent over SSL_x000D_
_x000D_
_x000D_
For each cookie sent over SSL in your web-site, add the "Secure" flag to the cookie. For example:_x000D_
_x000D_
_x000D_
Set-Cookie: &lt;name&gt;=&lt;value&gt;[; &lt;Max-Age&gt;=&lt;age&gt;] [; expires=&lt;date&gt;][; domain=&lt;domain_name&gt;] [; path=&lt;some_path&gt;][; secure][; HttpOnly]</t>
  </si>
  <si>
    <t>http://www.ietf.org/rfc/rfc2965.txt,https://www.owasp.org/index.php/Testing_for_cookies_attributes_%28OWASP-SM-002%29</t>
  </si>
  <si>
    <t>jquery-cve-2011-4969</t>
  </si>
  <si>
    <t>jQuery Vulnerability: CVE-2011-4969</t>
  </si>
  <si>
    <t>Cross-site scripting (XSS) vulnerability in jQuery before 1.6.3, when using location.hash to select elements, allows remote attackers to inject arbitrary web script or HTML via a crafted tag.</t>
  </si>
  <si>
    <t>&lt; 1.6.3_x000D_
_x000D_
Upgrade to jQuery version 1.6.3_x000D_
_x000D_
Download and apply the upgrade from:  https://jquery.com/download/</t>
  </si>
  <si>
    <t>CVE-2011-4969</t>
  </si>
  <si>
    <t>http-generic-sensitive-form-data-unencrypted</t>
  </si>
  <si>
    <t>Form action submits sensitive data in the clear</t>
  </si>
  <si>
    <t>A web form contains fields with data that is probably sensitive in nature. This form data is submitted over an unencrypted connection, which could allow hackers to sniff the network and view the data in plaintext.</t>
  </si>
  <si>
    <t>Use the HTTPS (HTTP over SSL) protocol to submit sensitive form data_x000D_
_x000D_
_x000D_
Enable the HTTPS protocol on the server. Change the "action" URL of the form tag to use the HTTPS protocol ("https://...") instead of just the HTTP protocol ("http://..."). All sensitive data should be sent over HTTPS instead of over HTTP.</t>
  </si>
  <si>
    <t>Wintel</t>
  </si>
  <si>
    <t>Intermediate</t>
  </si>
  <si>
    <t>http://www.rapid7.com/db/modules/auxiliary/scanner/http/options,http://www.rapid7.com/db/modules/auxiliary/scanner/http/trace</t>
  </si>
  <si>
    <t>The subject common name found in the X.509 certificate does not seem to match the scan target:_x000D_
 * Subject CN *.cdg.ma does not match target name specified in the site._x000D_
_x000D_
 * Subject CN *.cdg.ma does not match DNS name specified in the site._x000D_
_x000D_
 * Subject CN *.cdg.ma could not be resolved to an IP address via DNS lookup_x000D_
_x000D_
 * Subject Alternative Name *.cdg.ma does not match target name specified in the site._x000D_
_x000D_
 * Subject Alternative Name cdg.ma does not match target name specified in the site._x000D_
_x000D_
 * Subject Alternative Name *.cdg.ma does not match DNS name specified in the site._x000D_
_x000D_
 * Subject Alternative Name cdg.ma does not match DNS name specified in the site.</t>
  </si>
  <si>
    <t>* Running SSH service_x000D_
_x000D_
 * Insecure key exchange algorithms in use: diffie-hellman-group-exchange-sha1,diffie-hellman-group1-sha1</t>
  </si>
  <si>
    <t>TLS/SSL certificate signed by unknown, untrusted CA: CN=Entrust Certification Authority - L1K, OU="(c) 2012 Entrust, Inc. - for authorized use only", OU=See www.entrust.net/legal-terms, O="Entrust, Inc.", C=US -- [Path does not chain with any of the trust anchors].</t>
  </si>
  <si>
    <t>Private IP</t>
  </si>
  <si>
    <t>Commentaire</t>
  </si>
  <si>
    <t xml:space="preserve">Commentaire </t>
  </si>
  <si>
    <t xml:space="preserve">Date execution du change </t>
  </si>
  <si>
    <t xml:space="preserve">Date Clos </t>
  </si>
  <si>
    <t xml:space="preserve">Date prévisionelle Planifié Pour Traitement  </t>
  </si>
  <si>
    <t>Capabilité</t>
  </si>
  <si>
    <t>Open</t>
  </si>
  <si>
    <t xml:space="preserve">Relance envoyé à khalid pour contacter le prestataire </t>
  </si>
  <si>
    <t>cdgmail.cdgcapital.ma,cdgmail.medz.ma,mail.cdgnet.ma</t>
  </si>
  <si>
    <t>Linux</t>
  </si>
  <si>
    <t>4.0</t>
  </si>
  <si>
    <t>System</t>
  </si>
  <si>
    <t>* Cisco
      Disable TCP timestamp responses on Cisco
       Run the following command to disable TCP timestamps: 
       no ip tcp timestamp 
 * FreeBSD
      Disable TCP timestamp responses on FreeBSD
       Set the value of net.inet.tcp.rfc1323 to 0 by running the following command: 
       sysctl -w net.inet.tcp.rfc1323=0 
       Additionally, put the following value in the default sysctl configuration file, generally sysctl.conf: 
       net.inet.tcp.rfc1323=0 
 * Linux
      Disable TCP timestamp responses on Linux
       Set the value of net.ipv4.tcp_timestamps to 0 by running the following command: 
       sysctl -w net.ipv4.tcp_timestamps=0 
       Additionally, put the following value in the default sysctl configuration file, generally sysctl.conf: 
       net.ipv4.tcp_timestamps=0 
 * OpenBSD
      Disable TCP timestamp responses on OpenBSD
       Set the value of net.inet.tcp.rfc1323 to 0 by running the following command: 
       sysctl -w net.inet.tcp.rfc1323=0 
       Additionally, put the following value in the default sysctl configuration file, generally sysctl.conf: 
       net.inet.tcp.rfc1323=0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
      Disable TCP timestamp responses on Windows versions before Vista
       Set the Tcp1323Opts value in the following key to 1: 
       HKEY_LOCAL_MACHINE\System\CurrentControlSet\Services\Tcpip\Parameters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
      Disable TCP timestamp responses on Windows versions since Vista
       TCP timestamps cannot be reliably disabled on this OS. If TCP timestamps present enough of a risk, put a firewall capable of blocking TCP timestamp packets in front of the affected assets.</t>
  </si>
  <si>
    <t>168 Days</t>
  </si>
  <si>
    <t>Point escaladé à La CDG pour intervention de l'éditeur (Relais Mail)</t>
  </si>
  <si>
    <t>Windows</t>
  </si>
  <si>
    <t>SMTP</t>
  </si>
  <si>
    <t>81.192.11.140 / RelayMail / Wintel</t>
  </si>
  <si>
    <t>N/A</t>
  </si>
  <si>
    <t>SI en arrêt, serveur doit être décommissionner</t>
  </si>
  <si>
    <t>ll81-2-129-11-192-81.ll81-2.iam.net.ma</t>
  </si>
  <si>
    <t>SSH</t>
  </si>
  <si>
    <t>OpenSSH 5.3</t>
  </si>
  <si>
    <t>NA</t>
  </si>
  <si>
    <t>* Running SSH service_x000D_
_x000D_
 * Insecure CBC ciphers in use: aes128-cbc,3des-cbc,blowfish-cbc,cast128-cbc,aes192-cbc,aes256-cbc</t>
  </si>
  <si>
    <t>* Running SSH service_x000D_
_x000D_
 * Insecure arcfour (RC4) ciphers in use: arcfour256,arcfour128,arcfour</t>
  </si>
  <si>
    <t>http://nvd.nist.gov/vuln/detail/CVE-2015-4000</t>
  </si>
  <si>
    <t>* Running SSH service_x000D_
_x000D_
 * Insecure MAC algorithms in use: hmac-md5,hmac-sha1-96,hmac-md5-96</t>
  </si>
  <si>
    <t>HTTP</t>
  </si>
  <si>
    <t>HTTPD</t>
  </si>
  <si>
    <t>* Running HTTP service_x000D_
_x000D_
_x000D_
_x000D_
HTTP request to  http://81.192.11.129/icons/small/?P=+ADw-script+AD4-alert(42)+ADw-/script+AD4- _x000D_
HTTP response code was an expected 200_x000D_
1: text/html;charset=UTF-8_x000D_
_x000D_
HTTP header 'Content-Type' was present and matched expectation_x000D_
_x000D_
HTTP header 'Content-Security-Policy' not present_x000D_
_x000D_
HTTP header 'X-Frame-Options' not present</t>
  </si>
  <si>
    <t>http://nvd.nist.gov/vuln/detail/CVE-2016-2183</t>
  </si>
  <si>
    <t>Expert</t>
  </si>
  <si>
    <t>http://www.exploit-db.com/exploits/42091</t>
  </si>
  <si>
    <t>HTTP request to  http://81.192.11.129/icons/small/?P=+ADw-script+AD4-alert(42)+ADw-/script+AD4- _x000D_
HTTP response code was an expected 200_x000D_
5: &lt;/head&gt; 6: &lt;body&gt; 7: &lt;h1&gt;Index of /icons/small&lt;/h1&gt; 8: &lt;table&gt;&lt;tr&gt;&lt;th&gt;&lt;img src="/icons/blank.gif" alt="[ICO]"&gt;&lt;/th&gt;&lt;th&gt;&lt;a ... 9: ...IR]"&gt;&lt;/td&gt;&lt;td&gt;&lt;a href="/icons/"&gt;Parent Directory&lt;/a&gt;&lt;/td&gt;&lt;td&gt;&amp;nbsp;...</t>
  </si>
  <si>
    <t>* Apache HTTPD, Apache Tomcat_x000D_
      Disable HTTP TRACE Method for Apache_x000D_
_x000D_
      _x000D_
      Newer versions of Apache (1.3.34 and 2.0.55 and later) provide a configuration directive called TraceEnable. To deny TRACE requests, add the following line to the server configuration:_x000D_
_x000D_
      TraceEnable off_x000D_
_x000D_
      For older versions of the Apache webserver, use the mod_rewrite module to deny the TRACE requests:_x000D_
_x000D_
      RewriteEngine On RewriteCond %{REQUEST_METHOD} ^TRACE RewriteRule .* - [F]_x000D_
_x000D_
_x000D_
_x000D_
 * IIS, PWS, Microsoft-IIS, Internet Information Services, Internet Information Services, Microsoft-PWS_x000D_
      Disable HTTP TRACE Method for Microsoft IIS_x000D_
_x000D_
      _x000D_
      For Microsoft Internet Information Services (IIS), you may use the URLScan tool, freely available at  http://www.microsoft.com/technet/security/tools/urlscan.mspx _x000D_
_x000D_
_x000D_
_x000D_
 * Java System Web Server, SunONE WebServer, Sun-ONE-Web-Server, iPlanet_x000D_
      Disable HTTP TRACE Method for SunONE/iPlanet_x000D_
_x000D_
      _x000D_
    * _x000D_
            For Sun ONE/iPlanet Web Server v6.0 SP2 and later, add the following configuration to the top of the default object in the 'obj.conf' file:_x000D_
_x000D_
            &lt;Client method="TRACE"&gt; AuthTrans fn="set-variable" remove-headers="transfer-encoding" set-headers="content-length: -1" error="501" &lt;/Client&gt;_x000D_
_x000D_
            You must then restart the server for the changes to take effect._x000D_
_x000D_
_x000D_
    * _x000D_
            For Sun ONE/iPlanet Web Server prior to v6.0 SP2, follow the instructions provided the 'Relief/Workaround' section of Sun's official advisory:  http://sunsolve.sun.com/pub-cgi/retrieve.pl?doc=fsalert%2F50603 _x000D_
_x000D_
_x000D_
_x000D_
_x000D_
 * Lotus Domino_x000D_
      Disable HTTP TRACE Method for Domino_x000D_
_x000D_
      _x000D_
      Follow  IBM's instructions (http://www-1.ibm.com/support/docview.wss?&amp;uid=swg21201202)  for disabling HTTP methods on the Domino server by adding the following line to the server's NOTES.INI file:_x000D_
_x000D_
      HTTPDisableMethods=TRACE_x000D_
_x000D_
      After saving NOTES.INI, restart the Notes web server by issuing the console command "tell http restart".</t>
  </si>
  <si>
    <t>* Running HTTP service_x000D_
_x000D_
_x000D_
_x000D_
_x000D_
HTTP TRACE request to  http://81.192.11.129/ _x000D_
_x000D_
1: TRACE / HTTP/1.1 2: Host: 81.192.11.129 3: Cookie: vulnerable=yes</t>
  </si>
  <si>
    <t>http://nvd.nist.gov/vuln/detail/CVE-2010-0386,http://nvd.nist.gov/vuln/detail/CVE-2009-2823,http://nvd.nist.gov/vuln/detail/CVE-2008-7253,http://nvd.nist.gov/vuln/detail/CVE-2007-3008,http://nvd.nist.gov/vuln/detail/CVE-2006-4683,http://nvd.nist.gov/vuln/detail/CVE-2005-3398,http://nvd.nist.gov/vuln/detail/CVE-2004-2763,http://nvd.nist.gov/vuln/detail/CVE-2004-2320</t>
  </si>
  <si>
    <t>* Running HTTP service_x000D_
_x000D_
_x000D_
_x000D_
_x000D_
HTTP GET request to  http://81.192.11.129/ _x000D_
HTTP response code was an expected 401_x000D_
1: Basic realm="CDG INSTITUT"_x000D_
_x000D_
HTTP header 'WWW-Authenticate' was present and matched expectation</t>
  </si>
  <si>
    <t>81.192.11.133 / CDPRW-SIRHAPP /Wintel</t>
  </si>
  <si>
    <t xml:space="preserve">On hold </t>
  </si>
  <si>
    <t xml:space="preserve">Change N°: C2019-176: Disable SSL V2,3
Env. Test non concluant, rollaback effectué
DB hors scope du DXC
Prevoir une intervention de l'editeur - à plannifier par le client </t>
  </si>
  <si>
    <t>ll81-2-133-11-192-81.ll81-2.iam.net.ma</t>
  </si>
  <si>
    <t>HTTPS</t>
  </si>
  <si>
    <t>CDGWS</t>
  </si>
  <si>
    <t>* _x000D_
      Negotiated with the following insecure cipher suites: _x000D_
    * TLS 1.0 ciphers: _x000D_
       * TLS_ECDHE_RSA_WITH_3DES_EDE_CBC_SHA_x000D_
_x000D_
_x000D_
    * TLS 1.1 ciphers: _x000D_
       * TLS_ECDHE_RSA_WITH_3DES_EDE_CBC_SHA_x000D_
_x000D_
_x000D_
    * TLS 1.2 ciphers: _x000D_
       * TLS_ECDHE_RSA_WITH_3DES_EDE_CBC_SHA</t>
  </si>
  <si>
    <t>Date à difinir avec l'éditeur</t>
  </si>
  <si>
    <t xml:space="preserve">Créer demande de support auprés de Microsoft </t>
  </si>
  <si>
    <t>* _x000D_
      Negotiated with the following insecure cipher suites: _x000D_
    * TLS 1.0 ciphers: _x000D_
       * TLS_RSA_WITH_AES_128_CBC_SHA_x000D_
_x000D_
       * TLS_RSA_WITH_AES_256_CBC_SHA_x000D_
_x000D_
_x000D_
    * TLS 1.1 ciphers: _x000D_
       * TLS_RSA_WITH_AES_128_CBC_SHA_x000D_
_x000D_
       * TLS_RSA_WITH_AES_256_CBC_SHA_x000D_
_x000D_
_x000D_
    * TLS 1.2 ciphers: _x000D_
       * TLS_RSA_WITH_AES_128_CBC_SHA_x000D_
_x000D_
       * TLS_RSA_WITH_AES_128_CBC_SHA256_x000D_
_x000D_
       * TLS_RSA_WITH_AES_256_CBC_SHA_x000D_
_x000D_
       * TLS_RSA_WITH_AES_256_CBC_SHA256</t>
  </si>
  <si>
    <t>* _x000D_
      Negotiated with the following insecure cipher suites: _x000D_
    * TLS 1.0 ciphers: _x000D_
       * TLS_ECDHE_RSA_WITH_3DES_EDE_CBC_SHA_x000D_
_x000D_
       * TLS_ECDHE_RSA_WITH_AES_128_CBC_SHA_x000D_
_x000D_
       * TLS_ECDHE_RSA_WITH_AES_256_CBC_SHA_x000D_
_x000D_
       * TLS_RSA_WITH_AES_128_CBC_SHA_x000D_
_x000D_
       * TLS_RSA_WITH_AES_256_CBC_SHA</t>
  </si>
  <si>
    <t>http://nvd.nist.gov/vuln/detail/CVE-2011-3389</t>
  </si>
  <si>
    <t>* Running HTTPS service_x000D_
_x000D_
_x000D_
_x000D_
HTTP request to  https://81.192.11.133/&lt;script&gt;xss&lt;/script&gt;.shtml/&lt;script&gt;xss&lt;/script&gt; _x000D_
HTTP response code was an expected 200_x000D_
1: text/html_x000D_
_x000D_
HTTP header 'Content-Type' was present and matched expectation_x000D_
_x000D_
HTTP header 'Content-Security-Policy' not present_x000D_
_x000D_
HTTP header 'X-Frame-Options' not present</t>
  </si>
  <si>
    <t>Faux Positive</t>
  </si>
  <si>
    <t xml:space="preserve">Faux Positive  il faut lancer le scan par le Hostname </t>
  </si>
  <si>
    <t>ll81-2-137-11-192-81.ll81-2.iam.net.ma</t>
  </si>
  <si>
    <t>81.192.11.137 / OWA / Wintel</t>
  </si>
  <si>
    <t xml:space="preserve">change ouvert  impact important à planifier lors d'un week end n bécessité d'avoir les Arl dans la planif </t>
  </si>
  <si>
    <t>* Running HTTPS service_x000D_
_x000D_
_x000D_
_x000D_
HTTP request to  https://81.192.11.137/login.jsp _x000D_
HTTP response code was an expected 200_x000D_
1: text/html_x000D_
_x000D_
HTTP header 'Content-Type' was present and matched expectation_x000D_
_x000D_
HTTP header 'Content-Security-Policy' not present_x000D_
_x000D_
HTTP header 'X-Frame-Options' not present</t>
  </si>
  <si>
    <t>147 Days</t>
  </si>
  <si>
    <t>81.192.11.143 / WEB VOID/Test / Unix</t>
  </si>
  <si>
    <t>WIP</t>
  </si>
  <si>
    <t>21/10/2020: 
Un redémarrage est nécessaire, et il est planifié le weekend. 
En raison de l’arrêt de service un change sera initié.</t>
  </si>
  <si>
    <t>ll81-2-143-11-192-81.ll81-2.iam.net.ma</t>
  </si>
  <si>
    <t>2.6.32</t>
  </si>
  <si>
    <t>Clos</t>
  </si>
  <si>
    <t>81.192.11.146 / SAFAKAT / Unix</t>
  </si>
  <si>
    <t>ll81-2-146-11-192-81.ll81-2.iam.net.ma</t>
  </si>
  <si>
    <t>PHP</t>
  </si>
  <si>
    <t>Cookie is not marked as HttpOnly: 'selectedorg=backups; path=/; domain=81.192.11.146'_x000D_
_x000D_
URL:  https://81.192.11.146/backups/</t>
  </si>
  <si>
    <t>Cookie is not marked as secure: 'selectedorg=backups; path=/; domain=81.192.11.146'_x000D_
_x000D_
URL:  https://81.192.11.146/backups/</t>
  </si>
  <si>
    <t>* Running HTTPS service_x000D_
_x000D_
_x000D_
_x000D_
_x000D_
HTTP TRACE request to  https://81.192.11.146/ _x000D_
_x000D_
2: Host: 172.20.0.41 3: X-Forwarded-For: 172.20.66.77, 10.9.0.27 4: X-Forwarded-Host: 81.192.11.146, 81.192.11.146 5: X-Forwarded-Server: 10.9.0.25, safakat.cdg.ma 6: Cookie: vulnerable=yes</t>
  </si>
  <si>
    <t>38 Days</t>
  </si>
  <si>
    <t>Le bon certificat est en place; Merci de donner plus de détails</t>
  </si>
  <si>
    <t>81.192.11.148 / HFM -- Wintel</t>
  </si>
  <si>
    <t>ll81-2-148-11-192-81.ll81-2.iam.net.ma</t>
  </si>
  <si>
    <t>Microsoft Windows</t>
  </si>
  <si>
    <t xml:space="preserve">change ID 91438 </t>
  </si>
  <si>
    <t>* Running HTTPS service_x000D_
_x000D_
_x000D_
_x000D_
HTTP request to  https://81.192.11.148/cgi-bin/test-cgi _x000D_
HTTP response code was an expected 200_x000D_
1: text/html_x000D_
_x000D_
HTTP header 'Content-Type' was present and matched expectation_x000D_
_x000D_
HTTP header 'Content-Security-Policy' not present_x000D_
_x000D_
HTTP header 'X-Frame-Options' not present</t>
  </si>
  <si>
    <t>partager avec khalid  appache Applicati
11/11 l'équipe qui traitera le point n'est toujours identifie (Midware Non identifié )</t>
  </si>
  <si>
    <t>* Running HTTPS service
HTTP TRACE request to  https://81.192.11.148/ 
2: Host: 81.192.11.148 3: X-Forwarded-For: 172.20.66.77 4: X-Forwarded-Host: 81.192.11.148 5: X-Forwarded-Server: 10.9.0.56 6: Cookie: vulnerable=yes</t>
  </si>
  <si>
    <t>change à initié pour tls 1,2
Tls 1.0 &amp; Tls 1,1 sont corrigés dans le change ID91438</t>
  </si>
  <si>
    <t>81.192.11.151 / Site web CDG</t>
  </si>
  <si>
    <t>21/10/2020: 
Un redémarrage est nécessaire, et il est planifié le weekend. 
En raison de l’arrêt de service un change sera initié.
Projet de refonte est encours</t>
  </si>
  <si>
    <t>ll81-2-151-11-192-81.ll81-2.iam.net.ma</t>
  </si>
  <si>
    <t>Refonte encours (website CDG)</t>
  </si>
  <si>
    <t>drupal-cve-2020-13666</t>
  </si>
  <si>
    <t>Drupal: CVE-2020-13666: Drupal core - Moderately critical - Cross-site scripting - SA-CORE-2020-007</t>
  </si>
  <si>
    <t>The Drupal AJAX API does not disable JSONP by default, which can lead to cross-site scripting.</t>
  </si>
  <si>
    <t>* Upgrade to drupal version 7.73_x000D_
      Download and apply the upgrade from:  https://www.drupal.org/project/drupal/releases _x000D_
_x000D_
_x000D_
 * Upgrade to drupal version 8.8.1_x000D_
      Download and apply the upgrade from:  https://www.drupal.org/project/drupal/releases _x000D_
_x000D_
_x000D_
 * Upgrade to drupal version 8.9.6_x000D_
      Download and apply the upgrade from:  https://www.drupal.org/project/drupal/releases _x000D_
_x000D_
_x000D_
 * Upgrade to drupal version 9.0.6_x000D_
      Download and apply the upgrade from:  https://www.drupal.org/project/drupal/releases</t>
  </si>
  <si>
    <t>Vulnerable software installed: Drupal 7.69</t>
  </si>
  <si>
    <t>https://www.drupal.org/sa-core-2020-007</t>
  </si>
  <si>
    <t>CVE-2020-13666</t>
  </si>
  <si>
    <t>http://nvd.nist.gov/vuln/detail/CVE-2020-13666</t>
  </si>
  <si>
    <t>2 Days</t>
  </si>
  <si>
    <t>drupal-cve-2020-13663</t>
  </si>
  <si>
    <t>Drupal: CVE-2020-13663: Drupal core - Critical - Cross Site Request Forgery - SA-CORE-2020-004</t>
  </si>
  <si>
    <t>The Drupal core Form API does not properly handle certain form input from cross-site requests, which can lead to other vulnerabilities.</t>
  </si>
  <si>
    <t>* Upgrade to drupal version 7.72_x000D_
      Download and apply the upgrade from:  https://www.drupal.org/project/drupal/releases _x000D_
_x000D_
_x000D_
 * Upgrade to drupal version 8.8.8_x000D_
      Download and apply the upgrade from:  https://www.drupal.org/project/drupal/releases _x000D_
_x000D_
_x000D_
 * Upgrade to drupal version 8.9.1_x000D_
      Download and apply the upgrade from:  https://www.drupal.org/project/drupal/releases _x000D_
_x000D_
_x000D_
 * Upgrade to drupal version 9.0.1_x000D_
      Download and apply the upgrade from:  https://www.drupal.org/project/drupal/releases</t>
  </si>
  <si>
    <t>https://www.drupal.org/sa-core-2020-004</t>
  </si>
  <si>
    <t>CVE-2020-13663</t>
  </si>
  <si>
    <t>http://nvd.nist.gov/vuln/detail/CVE-2020-13663</t>
  </si>
  <si>
    <t>101 Days</t>
  </si>
  <si>
    <t>drupal-cve-2020-11022</t>
  </si>
  <si>
    <t>Drupal: CVE-2020-11022: Drupal core - Moderately critical - Cross Site Scripting - SA-CORE-2020-002</t>
  </si>
  <si>
    <t>In jQuery versions greater than or equal to 1.2 and before 3.5.0, passing HTML from untrusted sources - even after sanitizing it - to one of jQuery's DOM manipulation methods (i.e. .html(), .append(), and others) may execute untrusted code. This problem is patched in jQuery 3.5.0.</t>
  </si>
  <si>
    <t>* Upgrade to drupal version 7.70_x000D_
      Download and apply the upgrade from:  https://www.drupal.org/project/drupal/releases _x000D_
_x000D_
_x000D_
 * Upgrade to drupal version 8.7.1_x000D_
      Download and apply the upgrade from:  https://www.drupal.org/project/drupal/releases _x000D_
_x000D_
_x000D_
 * Upgrade to drupal version 8.8.6_x000D_
      Download and apply the upgrade from:  https://www.drupal.org/project/drupal/releases</t>
  </si>
  <si>
    <t>https://www.drupal.org/sa-core-2020-002</t>
  </si>
  <si>
    <t>CVE-2020-11022</t>
  </si>
  <si>
    <t>http://nvd.nist.gov/vuln/detail/CVE-2020-11022</t>
  </si>
  <si>
    <t>drupal-cve-2020-11023</t>
  </si>
  <si>
    <t>Drupal: CVE-2020-11023: Drupal core - Moderately critical - Cross Site Scripting - SA-CORE-2020-002</t>
  </si>
  <si>
    <t>In jQuery versions greater than or equal to 1.0.3 and before 3.5.0, passing HTML containing &lt;option&gt; elements from untrusted sources - even after sanitizing it - to one of jQuery's DOM manipulation methods (i.e. .html(), .append(), and others) may execute untrusted code. This problem is patched in jQuery 3.5.0.</t>
  </si>
  <si>
    <t>CVE-2020-11023</t>
  </si>
  <si>
    <t>http://nvd.nist.gov/vuln/detail/CVE-2020-11023</t>
  </si>
  <si>
    <t>81.192.11.154 / Site Web Fondation</t>
  </si>
  <si>
    <t xml:space="preserve">Si en Arrét </t>
  </si>
  <si>
    <t>ll81-2-154-11-192-81.ll81-2.iam.net.ma</t>
  </si>
  <si>
    <t>167 Days</t>
  </si>
  <si>
    <t>100 Days</t>
  </si>
  <si>
    <t>127 Days</t>
  </si>
  <si>
    <t>* Running HTTP service_x000D_
_x000D_
_x000D_
_x000D_
HTTP request to  http://81.192.11.154/login.jsp _x000D_
HTTP response code was an expected 200_x000D_
1: text/html_x000D_
_x000D_
HTTP header 'Content-Type' was present and matched expectation_x000D_
_x000D_
HTTP header 'Content-Security-Policy' not present_x000D_
_x000D_
HTTP header 'X-Frame-Options' not present</t>
  </si>
  <si>
    <t>66 Days</t>
  </si>
  <si>
    <t>Cookie is not marked as HttpOnly: 'DRUPAL_UID=0; path=/; secure; domain=81.192.11.154'_x000D_
_x000D_
URL:  https://81.192.11.154/01-exposition-carte-blanche-mahi-binebine/</t>
  </si>
  <si>
    <t>ll81-2-155-11-192-81.ll81-2.iam.net.ma</t>
  </si>
  <si>
    <t>* Running HTTP service_x000D_
_x000D_
_x000D_
_x000D_
HTTP request to  http://81.192.11.155/login.jsp _x000D_
HTTP response code was an expected 200_x000D_
1: text/html_x000D_
_x000D_
HTTP header 'Content-Type' was present and matched expectation_x000D_
_x000D_
HTTP header 'Content-Security-Policy' not present_x000D_
_x000D_
HTTP header 'X-Frame-Options' not present</t>
  </si>
  <si>
    <t>81.192.11.157 / E-Hakama / Unix</t>
  </si>
  <si>
    <t>ll81-2-157-11-192-81.ll81-2.iam.net.ma</t>
  </si>
  <si>
    <t>161 Days</t>
  </si>
  <si>
    <t>* Running HTTPS service_x000D_
_x000D_
_x000D_
_x000D_
HTTP request to  https://81.192.11.157/login.jsp _x000D_
HTTP response code was an expected 200_x000D_
1: text/html_x000D_
_x000D_
HTTP header 'Content-Type' was present and matched expectation_x000D_
_x000D_
HTTP header 'Content-Security-Policy' not present_x000D_
_x000D_
HTTP header 'X-Frame-Options' not present</t>
  </si>
  <si>
    <t xml:space="preserve">WIP: Regénerer un nouveau certificat </t>
  </si>
  <si>
    <t>128 Days</t>
  </si>
  <si>
    <t xml:space="preserve">09/11 Work in Progress avec  LMPS </t>
  </si>
  <si>
    <t>ll81-2-158-11-192-81.ll81-2.iam.net.ma</t>
  </si>
  <si>
    <t>81.192.11.160 / Olyweb / unix</t>
  </si>
  <si>
    <t>ll81-2-160-11-192-81.ll81-2.iam.net.ma</t>
  </si>
  <si>
    <t>81.192.11.161 / Club Wifak</t>
  </si>
  <si>
    <t>ll81-2-161-11-192-81.ll81-2.iam.net.ma</t>
  </si>
  <si>
    <t>http://nvd.nist.gov/vuln/detail/CVE-2013-2566</t>
  </si>
  <si>
    <t>HTTP request to  https://81.192.11.161/icons/small/?P=+ADw-script+AD4-alert(42)+ADw-/script+AD4- _x000D_
HTTP response code was an expected 200_x000D_
5: &lt;/head&gt; 6: &lt;body&gt; 7: &lt;h1&gt;Index of /icons/small&lt;/h1&gt; 8: &lt;table&gt;&lt;tr&gt;&lt;th&gt;&lt;img src="/icons/blank.gif" alt="[ICO]"&gt;&lt;/th&gt;&lt;th&gt;&lt;a ... 9: ...IR]"&gt;&lt;/td&gt;&lt;td&gt;&lt;a href="/icons/"&gt;Parent Directory&lt;/a&gt;&lt;/td&gt;&lt;td&gt;&amp;nbsp;...</t>
  </si>
  <si>
    <t>HTTP request to  http://81.192.11.161/icons/small/?P=+ADw-script+AD4-alert(42)+ADw-/script+AD4- _x000D_
HTTP response code was an expected 200_x000D_
5: &lt;/head&gt; 6: &lt;body&gt; 7: &lt;h1&gt;Index of /icons/small&lt;/h1&gt; 8: &lt;table&gt;&lt;tr&gt;&lt;th&gt;&lt;img src="/icons/blank.gif" alt="[ICO]"&gt;&lt;/th&gt;&lt;th&gt;&lt;a ... 9: ...IR]"&gt;&lt;/td&gt;&lt;td&gt;&lt;a href="/icons/"&gt;Parent Directory&lt;/a&gt;&lt;/td&gt;&lt;td&gt;&amp;nbsp;...</t>
  </si>
  <si>
    <t>The subject common name found in the X.509 certificate does not seem to match the scan target:_x000D_
 * Subject CN PCDG-RECLAS does not match target name specified in the site._x000D_
_x000D_
 * Subject CN PCDG-RECLAS does not match DNS name specified in the site._x000D_
_x000D_
 * Subject CN PCDG-RECLAS could not be resolved to an IP address via DNS lookup</t>
  </si>
  <si>
    <t>81.192.11.162 / Site Web CGI -- Email to Ayoub</t>
  </si>
  <si>
    <t>ll81-2-162-11-192-81.ll81-2.iam.net.ma</t>
  </si>
  <si>
    <t>4.4</t>
  </si>
  <si>
    <t>OpenSSH 7.4</t>
  </si>
  <si>
    <t>* Running SSH service_x000D_
_x000D_
 * Insecure CBC ciphers in use: aes128-cbc,aes192-cbc,aes256-cbc,blowfish-cbc,cast128-cbc,3des-cbc</t>
  </si>
  <si>
    <t>* Running HTTP service_x000D_
_x000D_
_x000D_
_x000D_
HTTP request to  http://81.192.11.162/en/user/login _x000D_
HTTP response code was an expected 200_x000D_
188: &lt;/div&gt; 189: &lt;/div&gt; 190: &lt;div class="js-form-item form-item js-form-type-password form-item-... 191: &lt;label for="edit-pass" class="js-form-required form-required"... 192: &lt;input data-drupal-selector="edit-pass" aria-describedby="edit...</t>
  </si>
  <si>
    <t>* Running HTTP service_x000D_
_x000D_
_x000D_
_x000D_
HTTP request to  http://81.192.11.162/icons/small/?P=+ADw-script+AD4-alert(42)+ADw-/script+AD4- _x000D_
HTTP response code was an expected 200_x000D_
1: text/html;charset=ISO-8859-1_x000D_
_x000D_
HTTP header 'Content-Type' was present and matched expectation_x000D_
_x000D_
HTTP header 'Content-Security-Policy' not present_x000D_
_x000D_
HTTP header 'X-Frame-Options' not present</t>
  </si>
  <si>
    <t>Cookie is not marked as HttpOnly: 'big_pipe_nojs=1; path=/; domain=81.192.11.162'_x000D_
_x000D_
URL:  http://81.192.11.162/en/big_pipe/no-js?destination=/en/home-page/home-page</t>
  </si>
  <si>
    <t>HTTP request to  http://81.192.11.162/icons/small/?P=+ADw-script+AD4-alert(42)+ADw-/script+AD4- _x000D_
HTTP response code was an expected 200_x000D_
7: &lt;h1&gt;Index of /icons/small&lt;/h1&gt; 8: &lt;table&gt; 9: &lt;tr&gt;&lt;th valign="top"&gt;&lt;img src="/icons/blank.gif" alt="[ICO]"&gt;&lt;/t... 10: &lt;tr&gt;&lt;th colspan="5"&gt;&lt;hr&gt;&lt;/th&gt;&lt;/tr&gt; 11: ...IR]"&gt;&lt;/td&gt;&lt;td&gt;&lt;a href="/icons/"&gt;Parent Directory&lt;/a&gt;&lt;/td&gt;&lt;td...</t>
  </si>
  <si>
    <t>81.192.11.164 / CGI -- Email to Ayoub</t>
  </si>
  <si>
    <t>ll81-2-164-11-192-81.ll81-2.iam.net.ma</t>
  </si>
  <si>
    <t>* Running HTTPS service_x000D_
_x000D_
_x000D_
_x000D_
HTTP request to  https://81.192.11.164/icons/small/ _x000D_
HTTP response code was an expected 200_x000D_
1: text/html;charset=ISO-8859-1_x000D_
_x000D_
HTTP header 'Content-Type' was present and matched expectation_x000D_
_x000D_
HTTP header 'Content-Security-Policy' not present_x000D_
_x000D_
HTTP header 'X-Frame-Options' not present</t>
  </si>
  <si>
    <t>HTTP request to  https://81.192.11.164/icons/small/ _x000D_
HTTP response code was an expected 200_x000D_
5: &lt;/head&gt; 6: &lt;body&gt; 7: &lt;h1&gt;Index of /icons/small&lt;/h1&gt; 8: &lt;table&gt; 9: ...CO]"&gt;&lt;/th&gt;&lt;th&gt;&lt;a href="?C=N;O=D"&gt;Name&lt;/a&gt;&lt;/th&gt;&lt;th&gt;&lt;a href="?C=M;O=A...</t>
  </si>
  <si>
    <t>81.192.11.165 / FIPAR -- Email to Ayoub</t>
  </si>
  <si>
    <t>ll81-2-165-11-192-81.ll81-2.iam.net.ma</t>
  </si>
  <si>
    <t>The certificate is not valid after Fri, 13 Nov 2020 13:00:00 WEST</t>
  </si>
  <si>
    <t>HTTP request to  https://81.192.11.165/icons/small/ _x000D_
HTTP response code was an expected 200_x000D_
4: &lt;title&gt;Index of /icons/small&lt;/title&gt; 5: &lt;/head&gt; 6: &lt;body&gt; 7: &lt;h1&gt;Index of /icons/small&lt;/h1&gt; 8: ...CO]"&gt;&lt;/th&gt;&lt;th&gt;&lt;a href="?C=N;O=D"&gt;Name&lt;/a&gt;&lt;/th&gt;&lt;th&gt;&lt;a href="?C=M;O=A...</t>
  </si>
  <si>
    <t>The subject common name found in the X.509 certificate does not seem to match the scan target:_x000D_
 * Subject CN fipar.ma does not match target name specified in the site._x000D_
_x000D_
 * Subject CN fipar.ma does not match DNS name specified in the site._x000D_
_x000D_
 * Subject CN resolved IP address differs from node IP address specified in the site._x000D_
_x000D_
 * Subject Alternative Name fipar.ma does not match target name specified in the site._x000D_
_x000D_
 * Subject Alternative Name www.fipar.ma does not match target name specified in the site._x000D_
_x000D_
 * Subject Alternative Name fipar.ma does not match DNS name specified in the site._x000D_
_x000D_
 * Subject Alternative Name www.fipar.ma does not match DNS name specified in the site.</t>
  </si>
  <si>
    <t>81.192.11.174 SIPTF Mobile Prod - Ossol / Unix</t>
  </si>
  <si>
    <t>ll81-2-174-11-192-81.ll81-2.iam.net.ma</t>
  </si>
  <si>
    <t>Voir avec l'éditeur pour la mise à jour du module Jquery</t>
  </si>
  <si>
    <t>jquery-cve-2019-11358</t>
  </si>
  <si>
    <t>jQuery Vulnerability: CVE-2019-11358</t>
  </si>
  <si>
    <t>jQuery before 3.4.0, as used in Drupal, Backdrop CMS, and other products, mishandles jQuery.extend(true, {}, ...) because of Object.prototype pollution. If an unsanitized source object contained an enumerable __proto__ property, it could extend the native Object.prototype.</t>
  </si>
  <si>
    <t>&lt; 3.4.0_x000D_
_x000D_
Upgrade to jQuery version 3.4.0_x000D_
_x000D_
Download and apply the upgrade from:  https://jquery.com/download/</t>
  </si>
  <si>
    <t>* Running HTTPS service_x000D_
_x000D_
 * Vulnerable version of component jQuery found -- jQuery 3.3.1</t>
  </si>
  <si>
    <t>https://blog.jquery.com/2019/04/10/jquery-3-4-0-released/</t>
  </si>
  <si>
    <t>CVE-2019-11358</t>
  </si>
  <si>
    <t>http://nvd.nist.gov/vuln/detail/CVE-2019-11358</t>
  </si>
  <si>
    <t>jquery-cve-2020-11023</t>
  </si>
  <si>
    <t>jQuery Vulnerability: CVE-2020-11023</t>
  </si>
  <si>
    <t>&lt; 3.5.0_x000D_
_x000D_
Upgrade to jQuery version 3.5.0_x000D_
_x000D_
Download and apply the upgrade from:  https://jquery.com/download/</t>
  </si>
  <si>
    <t>https://blog.jquery.com/2020/04/10/jquery-3-5-0-released,https://jquery.com/upgrade-guide/3.5/</t>
  </si>
  <si>
    <t>jquery-cve-2020-11022</t>
  </si>
  <si>
    <t>jQuery Vulnerability: CVE-2020-11022</t>
  </si>
  <si>
    <t>https://blog.jquery.com/2020/04/10/jquery-3-5-0-released/,https://jquery.com/upgrade-guide/3.5/</t>
  </si>
  <si>
    <t>81.192.11.181 / MyOneCDG / Wintel</t>
  </si>
  <si>
    <t>26/10/2020:
Change id: 93722
Statu: effectuer avec success</t>
  </si>
  <si>
    <t>ll81-2-181-11-192-81.ll81-2.iam.net.ma</t>
  </si>
  <si>
    <t>Microsoft-HTTPAPI 2.0</t>
  </si>
  <si>
    <t>ll81-2-182-11-192-81.ll81-2.iam.net.ma</t>
  </si>
  <si>
    <t>ll81-2-183-11-192-81.ll81-2.iam.net.ma</t>
  </si>
  <si>
    <t>HTTP request to  https://81.192.11.183/icons/small/ _x000D_
HTTP response code was an expected 200_x000D_
5: &lt;/head&gt; 6: &lt;body&gt; 7: &lt;h1&gt;Index of /icons/small&lt;/h1&gt; 8: &lt;table&gt; 9: ...CO]"&gt;&lt;/th&gt;&lt;th&gt;&lt;a href="?C=N;O=D"&gt;Name&lt;/a&gt;&lt;/th&gt;&lt;th&gt;&lt;a href="?C=M;O=A...</t>
  </si>
  <si>
    <t>81.192.11.184 / Bureau d'Ordre Electronique</t>
  </si>
  <si>
    <t>ll81-2-184-11-192-81.ll81-2.iam.net.ma</t>
  </si>
  <si>
    <t>81.192.11.187 / Sophos MDM / Wintel</t>
  </si>
  <si>
    <t>ll81-2-187-11-192-81.ll81-2.iam.net.ma</t>
  </si>
  <si>
    <t>* Disable HTTP OPTIONS method
      Disable HTTP OPTIONS method on your web server. Refer to your web server's instruction manual on how to do this.
      Web servers that respond to the OPTIONS HTTP method expose what other methods are supported by the web server, allowing attackers to narrow and intensify their efforts.
 * Apache HTTPD
      Disable HTTP OPTIONS Method for Apache
      Disable the OPTIONS method by including the following in the Apache configuration:
       &lt;Limit OPTIONS&gt; Order deny,allow Deny from all &lt;/Limit&gt;
 * Microsoft IIS
      Disable HTTP OPTIONS Method for IIS
      Disable the OPTIONS method by doing the following in the IIS manager
    * Select relevent site
    * Select Request filtering and change to HTTP verb tab
    * Select Deny Verb from the actions pane
    * Type OPTIONS into the provided text box and press OK
 * nginx nginx
      Disable HTTP OPTIONS Method for nginx
      Disable the OPTIONS method by adding the following line to your server block, you can add other HTTP methods to be allowed to run after POST
      limit_except GET POST { deny all; }</t>
  </si>
  <si>
    <t>change à initier lundi 02/11</t>
  </si>
  <si>
    <t>* 
      Negotiated with the following insecure cipher suites: 
    * TLS 1.0 ciphers: 
       * TLS_ECDHE_RSA_WITH_3DES_EDE_CBC_SHA
       * TLS_ECDHE_RSA_WITH_AES_128_CBC_SHA
       * TLS_ECDHE_RSA_WITH_AES_256_CBC_SHA
       * TLS_RSA_WITH_AES_128_CBC_SHA
       * TLS_RSA_WITH_AES_256_CBC_SHA</t>
  </si>
  <si>
    <t>Asset</t>
  </si>
  <si>
    <t>1 Day</t>
  </si>
  <si>
    <t>Novice</t>
  </si>
  <si>
    <t>Microarchitectural Fill Buffer Data Sampling (MFBDS): Fill buffers on some microprocessors utilizing speculative execution may allow an authenticated user to potentially enable information disclosure via a side channel with local access. A list of impacted products can be found here: https://www.intel.com/content/dam/www/public/us/en/documents/corporate-information/SA00233-microcode-update-guidance_05132019.pdf</t>
  </si>
  <si>
    <t>CVE-2018-12130</t>
  </si>
  <si>
    <t>http://nvd.nist.gov/vuln/detail/CVE-2018-12130</t>
  </si>
  <si>
    <t>Improper invalidation for page table updates by a virtual guest operating system for multiple Intel(R) Processors may allow an authenticated user to potentially enable denial of service of the host system via local access.</t>
  </si>
  <si>
    <t>CVE-2018-12207</t>
  </si>
  <si>
    <t>http://nvd.nist.gov/vuln/detail/CVE-2018-12207</t>
  </si>
  <si>
    <t>CVE-2017-5754</t>
  </si>
  <si>
    <t>http://nvd.nist.gov/vuln/detail/CVE-2017-5754</t>
  </si>
  <si>
    <t>Systems with microprocessors utilizing speculative execution and address translations may allow unauthorized disclosure of information residing in the L1 data cache to an attacker with local user access with guest OS privilege via a terminal page fault and a side-channel analysis.</t>
  </si>
  <si>
    <t>CVE-2018-3646</t>
  </si>
  <si>
    <t>http://nvd.nist.gov/vuln/detail/CVE-2018-3646</t>
  </si>
  <si>
    <t>Systems with microprocessors utilizing speculative execution and branch prediction may allow unauthorized disclosure of information to an attacker with local user access via a side-channel analysis.</t>
  </si>
  <si>
    <t>CVE-2017-5753</t>
  </si>
  <si>
    <t>http://nvd.nist.gov/vuln/detail/CVE-2017-5753</t>
  </si>
  <si>
    <t>Microarchitectural Load Port Data Sampling (MLPDS): Load ports on some microprocessors utilizing speculative execution may allow an authenticated user to potentially enable information disclosure via a side channel with local access. A list of impacted products can be found here: https://www.intel.com/content/dam/www/public/us/en/documents/corporate-information/SA00233-microcode-update-guidance_05132019.pdf</t>
  </si>
  <si>
    <t>CVE-2018-12127</t>
  </si>
  <si>
    <t>http://nvd.nist.gov/vuln/detail/CVE-2018-12127</t>
  </si>
  <si>
    <t>CVE-2017-5715</t>
  </si>
  <si>
    <t>http://nvd.nist.gov/vuln/detail/CVE-2017-5715</t>
  </si>
  <si>
    <t>Systems with microprocessors utilizing speculative execution and speculative execution of memory reads before the addresses of all prior memory writes are known may allow unauthorized disclosure of information to an attacker with local user access via a side-channel analysis, aka Speculative Store Bypass (SSB), Variant 4.</t>
  </si>
  <si>
    <t>CVE-2018-3639</t>
  </si>
  <si>
    <t>http://nvd.nist.gov/vuln/detail/CVE-2018-3639</t>
  </si>
  <si>
    <t>http://www.exploit-db.com/exploits/44695</t>
  </si>
  <si>
    <t>Systems with microprocessors utilizing speculative execution and indirect branch prediction may allow unauthorized disclosure of information to an attacker with local user access via a side-channel analysis.</t>
  </si>
  <si>
    <t>Microarchitectural Data Sampling Uncacheable Memory (MDSUM): Uncacheable memory on some microprocessors utilizing speculative execution may allow an authenticated user to potentially enable information disclosure via a side channel with local access. A list of impacted products can be found here: https://www.intel.com/content/dam/www/public/us/en/documents/corporate-information/SA00233-microcode-update-guidance_05132019.pdf</t>
  </si>
  <si>
    <t>CVE-2019-11091</t>
  </si>
  <si>
    <t>http://nvd.nist.gov/vuln/detail/CVE-2019-11091</t>
  </si>
  <si>
    <t>Microarchitectural Store Buffer Data Sampling (MSBDS): Store buffers on some microprocessors utilizing speculative execution may allow an authenticated user to potentially enable information disclosure via a side channel with local access. A list of impacted products can be found here: https://www.intel.com/content/dam/www/public/us/en/documents/corporate-information/SA00233-microcode-update-guidance_05132019.pdf</t>
  </si>
  <si>
    <t>CVE-2018-12126</t>
  </si>
  <si>
    <t>http://nvd.nist.gov/vuln/detail/CVE-2018-12126</t>
  </si>
  <si>
    <t>jquery-cve-2020-7656</t>
  </si>
  <si>
    <t>jQuery Vulnerability: CVE-2020-7656</t>
  </si>
  <si>
    <t>jquery prior to 1.9.0 allows Cross-site Scripting attacks via the load method. The load method fails to recognize and remove "&lt;script&gt;" HTML tags that contain a whitespace character, i.e: "&lt;/script &gt;", which results in the enclosed script logic to be executed.</t>
  </si>
  <si>
    <t>CVE-2020-7656</t>
  </si>
  <si>
    <t>http://nvd.nist.gov/vuln/detail/CVE-2014-6071</t>
  </si>
  <si>
    <t>TSX Asynchronous Abort condition on some CPUs utilizing speculative execution may allow an authenticated user to potentially enable information disclosure via a side channel with local access.</t>
  </si>
  <si>
    <t>CVE-2019-11135</t>
  </si>
  <si>
    <t>http://nvd.nist.gov/vuln/detail/CVE-2019-11135</t>
  </si>
  <si>
    <t>Row Labels</t>
  </si>
  <si>
    <t>Grand Total</t>
  </si>
  <si>
    <t>(All)</t>
  </si>
  <si>
    <t>Count of Vulnerability ID</t>
  </si>
  <si>
    <t>(Multiple Items)</t>
  </si>
  <si>
    <t>Column Labels</t>
  </si>
  <si>
    <t>UNIX</t>
  </si>
  <si>
    <t>point escaladé à la CDG pour intevention de l'editeur  (SIRHAPP)</t>
  </si>
  <si>
    <t>Yes</t>
  </si>
  <si>
    <t>Serveur  à décommisioner (Site Web Institut CDG)</t>
  </si>
  <si>
    <t>Checkpoint</t>
  </si>
  <si>
    <t>* 
      Negotiated with the following insecure cipher suites: 
    * TLS 1.2 ciphers: 
       * TLS_ECDHE_RSA_WITH_3DES_EDE_CBC_SHA</t>
  </si>
  <si>
    <t>SI à arrêter (web site Wifak)</t>
  </si>
  <si>
    <t>C</t>
  </si>
  <si>
    <t>In Progress</t>
  </si>
  <si>
    <t>New</t>
  </si>
  <si>
    <t>ll81-2-130-11-192-81.ll81-2.iam.net.ma</t>
  </si>
  <si>
    <t>95 Days</t>
  </si>
  <si>
    <t>135 Days</t>
  </si>
  <si>
    <t>The remote host responded with a TCP timestamp. The TCP timestamp response can be used to approximate the remote host's
uptime, potentially aiding in further attacks. Additionally, some operating systems can be fingerprinted based on the behavior of their
TCP timestamps.</t>
  </si>
  <si>
    <t>Linux : 
Disable TCP timestamp responses on Linux
Set the value of net.ipv4.tcp_timestamps to 0 by running the following command:
sysctl -w net.ipv4.tcp_timestamps=0
Windows : détail en PDF (changement au niveau de la base de registre)</t>
  </si>
  <si>
    <t>http-generic-script-blind-sql-injection</t>
  </si>
  <si>
    <t>Blind SQL Injection</t>
  </si>
  <si>
    <t>Web applications usually store information in a SQL server in order to, for example, show them to other users. When the application developer uses unvalidated user controlled variables as part of a SQL query; a SQL injection or Blind SQL injection vulnerability is being introduced into the application._x000D_
_x000D_
When an attacker executes SQL Injection attacks, sometimes the server responds with error messages from the database server complaining that the SQL Query's syntax is incorrect. Blind SQL injection is identical to normal SQL Injections except that when an attacker attempts to exploit an application, rather then getting a potentially useful error message, they get a generic page specified by the developer instead. This makes exploiting a potential Blind SQL Injection attack more difficult but not impossible. An attacker can still retrieve valuable information and potentially execute operating system commands by asking a series of True and False questions through SQL statements.</t>
  </si>
  <si>
    <t>Fix Blind SQL Injection_x000D_
_x000D_
_x000D_
Ensure that the Web application validates and encodes user input before using it in a SQL query.</t>
  </si>
  <si>
    <t>Found blind SQL injection on  http://81.192.11.162/fr/  using method POST_x000D_
_x000D_
Parameter field_confirm behaves differently with the following payloads:_x000D_
_x000D_
 * 1 OR 29812=29812_x000D_
_x000D_
 * 1 AND 29812=29813</t>
  </si>
  <si>
    <t>http://en.wikipedia.org/wiki/SQL_injection,http://www.owasp.org/index.php/Blind_SQL_Injection</t>
  </si>
  <si>
    <t>drupal-cve-2020-13671</t>
  </si>
  <si>
    <t>Drupal: CVE-2020-13671: Drupal core - Critical - Remote code execution - SA-CORE-2020-012</t>
  </si>
  <si>
    <t>Update November 18: Documented longer list of dangerous file extensions Drupal core does not properly sanitize certain filenames on uploaded files, which can lead to files being interpreted as the incorrect extension and served as the wrong MIME type or executed as PHP for certain hosting configurations.</t>
  </si>
  <si>
    <t>* Upgrade to drupal version 7.74_x000D_
      Download and apply the upgrade from:  https://www.drupal.org/project/drupal/releases _x000D_
_x000D_
_x000D_
 * Upgrade to drupal version 8.8.1_x000D_
      Download and apply the upgrade from:  https://www.drupal.org/project/drupal/releases _x000D_
_x000D_
_x000D_
 * Upgrade to drupal version 8.9.9_x000D_
      Download and apply the upgrade from:  https://www.drupal.org/project/drupal/releases _x000D_
_x000D_
_x000D_
 * Upgrade to drupal version 9.0.8_x000D_
      Download and apply the upgrade from:  https://www.drupal.org/project/drupal/releases</t>
  </si>
  <si>
    <t>https://www.drupal.org/sa-core-2020-012</t>
  </si>
  <si>
    <t>CVE-2020-13671</t>
  </si>
  <si>
    <t>http://nvd.nist.gov/vuln/detail/CVE-2020-13671</t>
  </si>
  <si>
    <t>3 Days</t>
  </si>
  <si>
    <t>The certificate is not valid after Sat, 28 Nov 2020 12:20:27 WEST</t>
  </si>
  <si>
    <t>The certificate is not valid after Mon, 30 Nov 2020 18:11:44 WEST</t>
  </si>
  <si>
    <t>TLS/SSL certificate signed by unknown, untrusted CA: EMAILADDRESS=support@forcepoint.com, CN=Email, O=Forcepoint, L=Austin, ST=TX, C=US -- [Path does not chain with any of the trust anchors].</t>
  </si>
  <si>
    <t>TLS/SSL certificate signed by unknown, untrusted CA: CN=DigiCert SHA2 Extended Validation Server CA, OU=www.digicert.com, O=DigiCert Inc, C=US -- [validity check failed, Path does not chain with any of the trust anchors].</t>
  </si>
  <si>
    <t>The subject common name (CN) field in the X.509 certificate does not match the name of the entity presenting the certificate.
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"https://www.example.com/", the CN should be "www.example.com". 
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
A CN mismatch most often occurs due to a configuration error, though it can also indicate that a man-in-the-middle attack is being conducted. 
Please note that this check may flag a false positive against servers that are properly configured using SNI.</t>
  </si>
  <si>
    <t>The subject common name found in the X.509 certificate does not seem to match the scan target:
 * Subject CN Email does not match target name specified in the site.
 * Subject CN Email does not match DNS name specified in the site.
 * Subject CN Email does not match DNS name specified in the site.
 * Subject CN Email does not match DNS name specified in the site.
 * Subject CN Email could not be resolved to an IP address via DNS lookup</t>
  </si>
  <si>
    <t xml:space="preserve">Not Fixed New </t>
  </si>
  <si>
    <t>81.192.11.130 / 	PCDG-WFOND	 / UNIX</t>
  </si>
  <si>
    <t>Point escaladé à la CDG (Site Web - Fondation)</t>
  </si>
  <si>
    <t>Point escaldé à La CDG ( Web site CGI)</t>
  </si>
  <si>
    <t>SI à arrêter (Webvoid)</t>
  </si>
  <si>
    <t>Vulnérabilité traité Voir avec Nabiil ibrahimi  à vérifier coté WAF</t>
  </si>
  <si>
    <t>Point escaladé à La CDG pour intervention de l'éditeur (HFM)</t>
  </si>
  <si>
    <t>Date Scan</t>
  </si>
  <si>
    <t>81.192.11.141 / PCDG-SFTPDMZ / Unix</t>
  </si>
  <si>
    <t>Apparu dans le scan de decembre
21/12/2020 : Remédiation éffectué par l'équipe Unix
22/12/2020 : Confirmation de résolution par un rescan</t>
  </si>
  <si>
    <t>PCDG-SFTPDMZ,ll81-2-141-11-192-81.ll81-2.iam.net.ma,www.colloques-institut-cdg.ma</t>
  </si>
  <si>
    <t>Oracle Linux</t>
  </si>
  <si>
    <t>7.9</t>
  </si>
  <si>
    <t>oracle_linux-cve-2015-5327</t>
  </si>
  <si>
    <t>Oracle Linux: (CVE-2015-5327) ELSA-2019-4642: Unbreakable Enterprise kernel security update</t>
  </si>
  <si>
    <t>Out-of-bounds memory read in the x509_decode_time function in x509_cert_parser.c in Linux kernels 4.3-rc1 and after.</t>
  </si>
  <si>
    <t>*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</si>
  <si>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[CVE-2015-5327] is not installed, no patches discovered._x000D_
_x000D_
_x000D_
 * _x000D_
      kernel-uek-firmware - version 4.1.12-94.3.9.el7uek is installed</t>
  </si>
  <si>
    <t>CVE-2015-5327</t>
  </si>
  <si>
    <t>http://nvd.nist.gov/vuln/detail/CVE-2015-5327</t>
  </si>
  <si>
    <t>oracle_linux-cve-2016-10200</t>
  </si>
  <si>
    <t>Oracle Linux: (CVE-2016-10200) (Multiple Advisories): Unbreakable Enterprise kernel security update</t>
  </si>
  <si>
    <t>Race condition in the L2TPv3 IP Encapsulation feature in the Linux kernel before 4.8.14 allows local users to gain privileges or cause a denial of service (use-after-free) by making multiple bind system calls without properly ascertaining whether a socket has the SOCK_ZAPPED status, related to net/l2tp/l2tp_ip.c and net/l2tp/l2tp_ip6.c.</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</si>
  <si>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dtrace-modules-provider-headers on Oracle Linux_x000D_
      Upgrade dtrace-modules-provider-headers_x000D_
_x000D_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
_x000D_
_x000D_
 * dtrace-modules-shared-headers on Oracle Linux_x000D_
      Upgrade dtrace-modules-shared-headers_x000D_
_x000D_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</si>
  <si>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[CVE-2016-10200] is not installed, no patches discovered._x000D_
_x000D_
_x000D_
 * _x000D_
      kernel-uek-firmware - version 4.1.12-94.3.9.el7uek is installed</t>
  </si>
  <si>
    <t>CVE-2016-10200</t>
  </si>
  <si>
    <t>http://nvd.nist.gov/vuln/detail/CVE-2016-10200</t>
  </si>
  <si>
    <t>oracle_linux-cve-2016-10318</t>
  </si>
  <si>
    <t>Oracle Linux: (CVE-2016-10318) ELSA-2017-3659: Unbreakable Enterprise kernel security and bugfix update</t>
  </si>
  <si>
    <t>A missing authorization check in the fscrypt_process_policy function in fs/crypto/policy.c in the ext4 and f2fs filesystem encryption support in the Linux kernel before 4.7.4 allows a user to assign an encryption policy to a directory owned by a different user, potentially creating a denial of service.</t>
  </si>
  <si>
    <t>Vulnerable OS: Oracle Linux 7.9_x000D_
_x000D_
_x000D_
Vulnerable software installed: Linux kernel-uek 4.1.12-94.3.9.el7uek_x000D_
_x000D_
 * Required patch [CVE-2016-10318] is not installed, no patches discovered._x000D_
_x000D_
_x000D_
 * _x000D_
      kernel-uek-firmware - version 4.1.12-94.3.9.el7uek is installed</t>
  </si>
  <si>
    <t>CVE-2016-10318</t>
  </si>
  <si>
    <t>http://nvd.nist.gov/vuln/detail/CVE-2016-10318</t>
  </si>
  <si>
    <t>oracle_linux-cve-2016-10905</t>
  </si>
  <si>
    <t>Oracle Linux: (CVE-2016-10905) (Multiple Advisories): Unbreakable Enterprise kernel security update</t>
  </si>
  <si>
    <t>An issue was discovered in fs/gfs2/rgrp.c in the Linux kernel before 4.8. A use-after-free is caused by the functions gfs2_clear_rgrpd and read_rindex_entry.</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</si>
  <si>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</si>
  <si>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[CVE-2016-10905] is not installed, no patches discovered._x000D_
_x000D_
_x000D_
 * _x000D_
      kernel-uek-firmware - version 4.1.12-94.3.9.el7uek is installed</t>
  </si>
  <si>
    <t>CVE-2016-10905</t>
  </si>
  <si>
    <t>http://nvd.nist.gov/vuln/detail/CVE-2016-10905</t>
  </si>
  <si>
    <t>oracle_linux-cve-2016-10906</t>
  </si>
  <si>
    <t>Oracle Linux: (CVE-2016-10906) ELSA-2020-5866: Unbreakable Enterprise kernel security update</t>
  </si>
  <si>
    <t>An issue was discovered in drivers/net/ethernet/arc/emac_main.c in the Linux kernel before 4.5. A use-after-free is caused by a race condition between the functions arc_emac_tx and arc_emac_tx_clean.</t>
  </si>
  <si>
    <t>Vulnerable OS: Oracle Linux 7.9_x000D_
_x000D_
_x000D_
Vulnerable software installed: Linux kernel-uek 4.1.12-94.3.9.el7uek_x000D_
_x000D_
 * Required patch [CVE-2016-10906] is not installed, no patches discovered._x000D_
_x000D_
_x000D_
 * _x000D_
      kernel-uek-firmware - version 4.1.12-94.3.9.el7uek is installed</t>
  </si>
  <si>
    <t>CVE-2016-10906</t>
  </si>
  <si>
    <t>http://nvd.nist.gov/vuln/detail/CVE-2016-10906</t>
  </si>
  <si>
    <t>oracle_linux-cve-2016-5244</t>
  </si>
  <si>
    <t>Oracle Linux: (CVE-2016-5244) ELSA-2020-5670: Unbreakable Enterprise kernel security update</t>
  </si>
  <si>
    <t>The rds_inc_info_copy function in net/rds/recv.c in the Linux kernel through 4.6.3 does not initialize a certain structure member, which allows remote attackers to obtain sensitive information from kernel stack memory by reading an RDS message.</t>
  </si>
  <si>
    <t>Vulnerable OS: Oracle Linux 7.9_x000D_
_x000D_
_x000D_
Vulnerable software installed: Linux kernel-uek 4.1.12-94.3.9.el7uek_x000D_
_x000D_
 * Required patch [CVE-2016-5244] is not installed, no patches discovered._x000D_
_x000D_
_x000D_
 * _x000D_
      kernel-uek-firmware - version 4.1.12-94.3.9.el7uek is installed</t>
  </si>
  <si>
    <t>CVE-2016-5244</t>
  </si>
  <si>
    <t>http://nvd.nist.gov/vuln/detail/CVE-2016-5244</t>
  </si>
  <si>
    <t>oracle_linux-cve-2016-6213</t>
  </si>
  <si>
    <t>Oracle Linux: (CVE-2016-6213) (Multiple Advisories): Unbreakable Enterprise kernel security update</t>
  </si>
  <si>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</si>
  <si>
    <t>Vulnerable OS: Oracle Linux 7.9_x000D_
_x000D_
_x000D_
Vulnerable software installed: Linux kernel-uek 4.1.12-94.3.9.el7uek_x000D_
_x000D_
 * Required patch [CVE-2016-6213] is not installed, no patches discovered._x000D_
_x000D_
_x000D_
 * _x000D_
      kernel-uek-firmware - version 4.1.12-94.3.9.el7uek is installed</t>
  </si>
  <si>
    <t>CVE-2016-6213</t>
  </si>
  <si>
    <t>http://nvd.nist.gov/vuln/detail/CVE-2016-6213</t>
  </si>
  <si>
    <t>oracle_linux-cve-2016-7913</t>
  </si>
  <si>
    <t>Oracle Linux: (CVE-2016-7913) (Multiple Advisories): Unbreakable Enterprise kernel security update</t>
  </si>
  <si>
    <t>The xc2028_set_config function in drivers/media/tuners/tuner-xc2028.c in the Linux kernel before 4.6 allows local users to gain privileges or cause a denial of service (use-after-free) via vectors involving omission of the firmware name from a certain data structure.</t>
  </si>
  <si>
    <t>*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</si>
  <si>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[CVE-2016-7913] is not installed, no patches discovered._x000D_
_x000D_
_x000D_
 * _x000D_
      kernel-uek-firmware - version 4.1.12-94.3.9.el7uek is installed</t>
  </si>
  <si>
    <t>CVE-2016-7913</t>
  </si>
  <si>
    <t>http://nvd.nist.gov/vuln/detail/CVE-2016-7913</t>
  </si>
  <si>
    <t>oracle_linux-cve-2016-7917</t>
  </si>
  <si>
    <t>Oracle Linux: (CVE-2016-7917) ELSA-2020-5912: Unbreakable Enterprise kernel security update</t>
  </si>
  <si>
    <t>The nfnetlink_rcv_batch function in net/netfilter/nfnetlink.c in the Linux kernel before 4.5 does not check whether a batch message's length field is large enough, which allows local users to obtain sensitive information from kernel memory or cause a denial of service (infinite loop or out-of-bounds read) by leveraging the CAP_NET_ADMIN capability.</t>
  </si>
  <si>
    <t>Vulnerable OS: Oracle Linux 7.9_x000D_
_x000D_
_x000D_
Vulnerable software installed: Linux kernel-uek 4.1.12-94.3.9.el7uek_x000D_
_x000D_
 * Required patch [CVE-2016-7917] is not installed, no patches discovered._x000D_
_x000D_
_x000D_
 * _x000D_
      kernel-uek-firmware - version 4.1.12-94.3.9.el7uek is installed</t>
  </si>
  <si>
    <t>CVE-2016-7917</t>
  </si>
  <si>
    <t>http://nvd.nist.gov/vuln/detail/CVE-2016-7917</t>
  </si>
  <si>
    <t>oracle_linux-cve-2016-9191</t>
  </si>
  <si>
    <t>Oracle Linux: (CVE-2016-9191) (Multiple Advisories): Unbreakable Enterprise kernel security update</t>
  </si>
  <si>
    <t>The cgroup offline implementation in the Linux kernel through 4.8.11 mishandles certain drain operations, which allows local users to cause a denial of service (system hang) by leveraging access to a container environment for executing a crafted application, as demonstrated by trinity.</t>
  </si>
  <si>
    <t>Vulnerable OS: Oracle Linux 7.9_x000D_
_x000D_
_x000D_
Vulnerable software installed: Linux kernel-uek 4.1.12-94.3.9.el7uek_x000D_
_x000D_
 * Required patch [CVE-2016-9191] is not installed, no patches discovered._x000D_
_x000D_
_x000D_
 * _x000D_
      kernel-uek-firmware - version 4.1.12-94.3.9.el7uek is installed</t>
  </si>
  <si>
    <t>CVE-2016-9191</t>
  </si>
  <si>
    <t>http://nvd.nist.gov/vuln/detail/CVE-2016-9191</t>
  </si>
  <si>
    <t>oracle_linux-cve-2016-9604</t>
  </si>
  <si>
    <t>Oracle Linux: (CVE-2016-9604) (Multiple Advisories): Unbreakable Enterprise kernel security update</t>
  </si>
  <si>
    <t>It was discovered in the Linux kernel before 4.11-rc8 that root can gain direct access to an internal keyring, such as '.dns_resolver' in RHEL-7 or '.builtin_trusted_keys' upstream, by joining it as its session keyring. This allows root to bypass module signature verification by adding a new public key of its own devising to the keyring.</t>
  </si>
  <si>
    <t>Vulnerable OS: Oracle Linux 7.9_x000D_
_x000D_
_x000D_
Vulnerable software installed: Linux kernel-uek 4.1.12-94.3.9.el7uek_x000D_
_x000D_
 * Required patch [CVE-2016-9604] is not installed, no patches discovered._x000D_
_x000D_
_x000D_
 * _x000D_
      kernel-uek-firmware - version 4.1.12-94.3.9.el7uek is installed</t>
  </si>
  <si>
    <t>CVE-2016-9604</t>
  </si>
  <si>
    <t>http://nvd.nist.gov/vuln/detail/CVE-2016-9604</t>
  </si>
  <si>
    <t>oracle_linux-cve-2017-0861</t>
  </si>
  <si>
    <t>Oracle Linux: (CVE-2017-0861) (Multiple Advisories): kernel security, bug fix, and enhancement update</t>
  </si>
  <si>
    <t>Use-after-free vulnerability in the snd_pcm_info function in the ALSA subsystem in the Linux kernel allows attackers to gain privileges via unspecified vectors.</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</si>
  <si>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</si>
  <si>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[CVE-2017-0861] is not installed, no patches discovered._x000D_
_x000D_
_x000D_
 * _x000D_
      kernel-uek-firmware - version 4.1.12-94.3.9.el7uek is installed</t>
  </si>
  <si>
    <t>CVE-2017-0861</t>
  </si>
  <si>
    <t>http://nvd.nist.gov/vuln/detail/CVE-2017-0861</t>
  </si>
  <si>
    <t>oracle_linux-cve-2017-1000112</t>
  </si>
  <si>
    <t>Oracle Linux: (CVE-2017-1000112) (Multiple Advisories): kernel security and bug fix update</t>
  </si>
  <si>
    <t>Linux kernel: Exploitable memory corruption due to UFO to non-UFO path switch. When building a UFO packet with MSG_MORE __ip_append_data() calls ip_ufo_append_data() to append. However in between two send() calls, the append path can be switched from UFO to non-UFO one, which leads to a memory corruption. In case UFO packet lengths exceeds MTU, copy = maxfraglen - skb-&gt;len becomes negative on the non-UFO path and the branch to allocate new skb is taken. This triggers fragmentation and computation of fraggap = skb_prev-&gt;len - maxfraglen. Fraggap can exceed MTU, causing copy = datalen - transhdrlen - fraggap to become negative. Subsequently skb_copy_and_csum_bits() writes out-of-bounds. A similar issue is present in IPv6 code. The bug was introduced in e89e9cf539a2 ("[IPv4/IPv6]: UFO Scatter-gather approach") on Oct 18 2005.</t>
  </si>
  <si>
    <t>*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kernel-abi-whitelists on Oracle Linux_x000D_
      Upgrade kernel-abi-whitelists_x000D_
_x000D_
       Update kernel-abi-whitelists using yum or up2date. Please note that customers with support can use the  Unbreakable Linux Network (ULN) (https://linux.oracle.com) , and customers without support can use the  publicly available Oracle Linux yum repositories (http://public-yum.oracle.com) . _x000D_
_x000D_
_x000D_
 * kernel-debug on Oracle Linux_x000D_
      Upgrade kernel-debug_x000D_
_x000D_
       Update kernel-debug using yum or up2date. Please note that customers with support can use the  Unbreakable Linux Network (ULN) (https://linux.oracle.com) , and customers without support can use the  publicly available Oracle Linux yum repositories (http://public-yum.oracle.com) . _x000D_
_x000D_
_x000D_
 * kernel-debug-devel on Oracle Linux_x000D_
      Upgrade kernel-debug-devel_x000D_
_x000D_
       Update kernel-debug-devel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kernel-devel on Oracle Linux_x000D_
      Upgrade kernel-devel_x000D_
_x000D_
       Update kernel-devel using yum or up2date. Please note that customers with support can use the  Unbreakable Linux Network (ULN) (https://linux.oracle.com) , and customers without support can use the  publicly available Oracle Linux yum repositories (http://public-yum.oracle.com) . _x000D_
_x000D_
_x000D_
 * kernel-doc on Oracle Linux_x000D_
      Upgrade kernel-doc_x000D_
_x000D_
       Update kernel-doc using yum or up2date. Please note that customers with support can use the  Unbreakable Linux Network (ULN) (https://linux.oracle.com) , and customers without support can use the  publicly available Oracle Linux yum repositories (http://public-yum.oracle.com) . _x000D_
_x000D_
_x000D_
 * kernel-firmware on Oracle Linux_x000D_
      Upgrade kernel-firmware_x000D_
_x000D_
       Update kernel-firmware using yum or up2date. Please note that customers with support can use the  Unbreakable Linux Network (ULN) (https://linux.oracle.com) , and customers without support can use the  publicly available Oracle Linux yum repositories (http://public-yum.oracle.com) . _x000D_
_x000D_
_x000D_
 * kernel-headers on Oracle Linux_x000D_
      Upgrade kernel-headers_x000D_
_x000D_
       Update kernel-headers using yum or up2date. Please note that customers with support can use the  Unbreakable Linux Network (ULN) (https://linux.oracle.com) , and customers without support can use the  publicly available Oracle Linux yum repositories (http://public-yum.oracle.com) . _x000D_
_x000D_
_x000D_
 * kernel-tools on Oracle Linux_x000D_
      Upgrade kernel-tools_x000D_
_x000D_
       Update kernel-tools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 on Oracle Linux_x000D_
      Upgrade kernel-tools-libs_x000D_
_x000D_
       Update kernel-tools-libs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kernel-tools-libs-devel on Oracle Linux_x000D_
      Upgrade kernel-tools-libs-devel_x000D_
_x000D_
       Update kernel-tools-libs-devel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</si>
  <si>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[CVE-2017-1000112] is not installed, no patches discovered._x000D_
_x000D_
_x000D_
 * _x000D_
      kernel-uek-firmware - version 4.1.12-94.3.9.el7uek is installed</t>
  </si>
  <si>
    <t>CVE-2017-1000112</t>
  </si>
  <si>
    <t>http://nvd.nist.gov/vuln/detail/CVE-2017-1000112</t>
  </si>
  <si>
    <t>http://www.rapid7.com/db/modules/exploit/linux/local/ufo_privilege_escalation,http://www.exploit-db.com/exploits/47169,http://www.exploit-db.com/exploits/43418</t>
  </si>
  <si>
    <t>oracle_linux-cve-2017-1000251</t>
  </si>
  <si>
    <t>Oracle Linux: (CVE-2017-1000251) (Multiple Advisories): kernel security and bug fix update</t>
  </si>
  <si>
    <t>The native Bluetooth stack in the Linux Kernel (BlueZ), starting at the Linux kernel version 2.6.32 and up to and including 4.13.1, are vulnerable to a stack overflow vulnerability in the processing of L2CAP configuration responses resulting in Remote code execution in kernel space.</t>
  </si>
  <si>
    <t>Vulnerable OS: Oracle Linux 7.9_x000D_
_x000D_
_x000D_
Vulnerable software installed: Linux kernel-uek 4.1.12-94.3.9.el7uek_x000D_
_x000D_
 * Required patch [CVE-2017-1000251] is not installed, no patches discovered._x000D_
_x000D_
_x000D_
 * _x000D_
      kernel-uek-firmware - version 4.1.12-94.3.9.el7uek is installed</t>
  </si>
  <si>
    <t>CVE-2017-1000251</t>
  </si>
  <si>
    <t>http://nvd.nist.gov/vuln/detail/CVE-2017-1000251</t>
  </si>
  <si>
    <t>http://www.exploit-db.com/exploits/42762</t>
  </si>
  <si>
    <t>oracle_linux-cve-2017-1000363</t>
  </si>
  <si>
    <t>Oracle Linux: (CVE-2017-1000363) (Multiple Advisories): Unbreakable Enterprise kernel security update</t>
  </si>
  <si>
    <t>Linux drivers/char/lp.c Out-of-Bounds Write. Due to a missing bounds check, and the fact that parport_ptr integer is static, a 'secure boot' kernel command line adversary (can happen due to bootloader vulns, e.g. Google Nexus 6's CVE-2016-10277, where due to a vulnerability the adversary has partial control over the command line) can overflow the parport_nr array in the following code, by appending many (&gt;LP_NO) 'lp=none' arguments to the command line.</t>
  </si>
  <si>
    <t>Vulnerable OS: Oracle Linux 7.9_x000D_
_x000D_
_x000D_
Vulnerable software installed: Linux kernel-uek 4.1.12-94.3.9.el7uek_x000D_
_x000D_
 * Required patch [CVE-2017-1000363] is not installed, no patches discovered._x000D_
_x000D_
_x000D_
 * _x000D_
      kernel-uek-firmware - version 4.1.12-94.3.9.el7uek is installed</t>
  </si>
  <si>
    <t>CVE-2017-1000363</t>
  </si>
  <si>
    <t>http://nvd.nist.gov/vuln/detail/CVE-2017-1000363</t>
  </si>
  <si>
    <t>oracle_linux-cve-2017-1000365</t>
  </si>
  <si>
    <t>Oracle Linux: (CVE-2017-1000365) (Multiple Advisories): Unbreakable Enterprise kernel security update</t>
  </si>
  <si>
    <t>The Linux Kernel imposes a size restriction on the arguments and environmental strings passed through RLIMIT_STACK/RLIM_INFINITY (1/4 of the size), but does not take the argument and environment pointers into account, which allows attackers to bypass this limitation. This affects Linux Kernel versions 4.11.5 and earlier. It appears that this feature was introduced in the Linux Kernel version 2.6.23.</t>
  </si>
  <si>
    <t>Vulnerable OS: Oracle Linux 7.9_x000D_
_x000D_
_x000D_
Vulnerable software installed: Linux kernel-uek 4.1.12-94.3.9.el7uek_x000D_
_x000D_
 * Required patch [CVE-2017-1000365] is not installed, no patches discovered._x000D_
_x000D_
_x000D_
 * _x000D_
      kernel-uek-firmware - version 4.1.12-94.3.9.el7uek is installed</t>
  </si>
  <si>
    <t>CVE-2017-1000365</t>
  </si>
  <si>
    <t>http://nvd.nist.gov/vuln/detail/CVE-2017-1000365</t>
  </si>
  <si>
    <t>oracle_linux-cve-2017-1000370</t>
  </si>
  <si>
    <t>Oracle Linux: (CVE-2017-1000370) ELSA-2020-5708: Unbreakable Enterprise kernel security update</t>
  </si>
  <si>
    <t>The offset2lib patch as used in the Linux Kernel contains a vulnerability that allows a PIE binary to be execve()'ed with 1GB of arguments or environmental strings then the stack occupies the address 0x80000000 and the PIE binary is mapped above 0x40000000 nullifying the protection of the offset2lib patch. This affects Linux Kernel version 4.11.5 and earlier. This is a different issue than CVE-2017-1000371. This issue appears to be limited to i386 based systems.</t>
  </si>
  <si>
    <t>Vulnerable OS: Oracle Linux 7.9_x000D_
_x000D_
_x000D_
Vulnerable software installed: Linux kernel-uek 4.1.12-94.3.9.el7uek_x000D_
_x000D_
 * Required patch [CVE-2017-1000370] is not installed, no patches discovered._x000D_
_x000D_
_x000D_
 * _x000D_
      kernel-uek-firmware - version 4.1.12-94.3.9.el7uek is installed</t>
  </si>
  <si>
    <t>CVE-2017-1000370</t>
  </si>
  <si>
    <t>http://nvd.nist.gov/vuln/detail/CVE-2017-1000370</t>
  </si>
  <si>
    <t>http://www.exploit-db.com/exploits/42273,http://www.exploit-db.com/exploits/42274</t>
  </si>
  <si>
    <t>oracle_linux-cve-2017-1000380</t>
  </si>
  <si>
    <t>Oracle Linux: (CVE-2017-1000380) (Multiple Advisories): Unbreakable Enterprise kernel security update</t>
  </si>
  <si>
    <t>sound/core/timer.c in the Linux kernel before 4.11.5 is vulnerable to a data race in the ALSA /dev/snd/timer driver resulting in local users being able to read information belonging to other users, i.e., uninitialized memory contents may be disclosed when a read and an ioctl happen at the same time.</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</si>
  <si>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dtrace-modules-provider-headers on Oracle Linux_x000D_
      Upgrade dtrace-modules-provider-headers_x000D_
_x000D_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
_x000D_
_x000D_
 * dtrace-modules-shared-headers on Oracle Linux_x000D_
      Upgrade dtrace-modules-shared-headers_x000D_
_x000D_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kernel-abi-whitelists on Oracle Linux_x000D_
      Upgrade kernel-abi-whitelists_x000D_
_x000D_
       Update kernel-abi-whitelists using yum or up2date. Please note that customers with support can use the  Unbreakable Linux Network (ULN) (https://linux.oracle.com) , and customers without support can use the  publicly available Oracle Linux yum repositories (http://public-yum.oracle.com) . _x000D_
_x000D_
_x000D_
 * kernel-debug on Oracle Linux_x000D_
      Upgrade kernel-debug_x000D_
_x000D_
       Update kernel-debug using yum or up2date. Please note that customers with support can use the  Unbreakable Linux Network (ULN) (https://linux.oracle.com) , and customers without support can use the  publicly available Oracle Linux yum repositories (http://public-yum.oracle.com) . _x000D_
_x000D_
_x000D_
 * kernel-debug-devel on Oracle Linux_x000D_
      Upgrade kernel-debug-devel_x000D_
_x000D_
       Update kernel-debug-devel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kernel-devel on Oracle Linux_x000D_
      Upgrade kernel-devel_x000D_
_x000D_
       Update kernel-devel using yum or up2date. Please note that customers with support can use the  Unbreakable Linux Network (ULN) (https://linux.oracle.com) , and customers without support can use the  publicly available Oracle Linux yum repositories (http://public-yum.oracle.com) . _x000D_
_x000D_
_x000D_
 * kernel-doc on Oracle Linux_x000D_
      Upgrade kernel-doc_x000D_
_x000D_
       Update kernel-doc using yum or up2date. Please note that customers with support can use the  Unbreakable Linux Network (ULN) (https://linux.oracle.com) , and customers without support can use the  publicly available Oracle Linux yum repositories (http://public-yum.oracle.com) . _x000D_
_x000D_
_x000D_
 * kernel-headers on Oracle Linux_x000D_
      Upgrade kernel-headers_x000D_
_x000D_
       Update kernel-headers using yum or up2date. Please note that customers with support can use the  Unbreakable Linux Network (ULN) (https://linux.oracle.com) , and customers without support can use the  publicly available Oracle Linux yum repositories (http://public-yum.oracle.com) . _x000D_
_x000D_
_x000D_
 * kernel-tools on Oracle Linux_x000D_
      Upgrade kernel-tools_x000D_
_x000D_
       Update kernel-tools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 on Oracle Linux_x000D_
      Upgrade kernel-tools-libs_x000D_
_x000D_
       Update kernel-tools-libs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kernel-tools-libs-devel on Oracle Linux_x000D_
      Upgrade kernel-tools-libs-devel_x000D_
_x000D_
       Update kernel-tools-libs-devel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</si>
  <si>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[CVE-2017-1000380] is not installed, no patches discovered._x000D_
_x000D_
_x000D_
 * _x000D_
      kernel-uek-firmware - version 4.1.12-94.3.9.el7uek is installed</t>
  </si>
  <si>
    <t>CVE-2017-1000380</t>
  </si>
  <si>
    <t>http://nvd.nist.gov/vuln/detail/CVE-2017-1000380</t>
  </si>
  <si>
    <t>oracle_linux-cve-2017-1000405</t>
  </si>
  <si>
    <t>Oracle Linux: (CVE-2017-1000405) (Multiple Advisories): Unbreakable Enterprise kernel security and bugfix update</t>
  </si>
  <si>
    <t>The Linux Kernel versions 2.6.38 through 4.14 have a problematic use of pmd_mkdirty() in the touch_pmd() function inside the THP implementation. touch_pmd() can be reached by get_user_pages(). In such case, the pmd will become dirty. This scenario breaks the new can_follow_write_pmd()'s logic - pmd can become dirty without going through a COW cycle. This bug is not as severe as the original "Dirty cow" because an ext4 file (or any other regular file) cannot be mapped using THP. Nevertheless, it does allow us to overwrite read-only huge pages. For example, the zero huge page and sealed shmem files can be overwritten (since their mapping can be populated using THP). Note that after the first write page-fault to the zero page, it will be replaced with a new fresh (and zeroed) thp.</t>
  </si>
  <si>
    <t>Vulnerable OS: Oracle Linux 7.9_x000D_
_x000D_
_x000D_
Vulnerable software installed: Linux kernel-uek 4.1.12-94.3.9.el7uek_x000D_
_x000D_
 * Required patch [CVE-2017-1000405] is not installed, no patches discovered._x000D_
_x000D_
_x000D_
 * _x000D_
      kernel-uek-firmware - version 4.1.12-94.3.9.el7uek is installed</t>
  </si>
  <si>
    <t>CVE-2017-1000405</t>
  </si>
  <si>
    <t>http://nvd.nist.gov/vuln/detail/CVE-2017-1000405</t>
  </si>
  <si>
    <t>http://www.exploit-db.com/exploits/43199</t>
  </si>
  <si>
    <t>oracle_linux-cve-2017-1000407</t>
  </si>
  <si>
    <t>Oracle Linux: (CVE-2017-1000407) (Multiple Advisories): Unbreakable Enterprise kernel security update</t>
  </si>
  <si>
    <t>The Linux Kernel 2.6.32 and later are affected by a denial of service, by flooding the diagnostic port 0x80 an exception can be triggered leading to a kernel panic.</t>
  </si>
  <si>
    <t>*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kernel-abi-whitelists on Oracle Linux_x000D_
      Upgrade kernel-abi-whitelists_x000D_
_x000D_
       Update kernel-abi-whitelists using yum or up2date. Please note that customers with support can use the  Unbreakable Linux Network (ULN) (https://linux.oracle.com) , and customers without support can use the  publicly available Oracle Linux yum repositories (http://public-yum.oracle.com) . _x000D_
_x000D_
_x000D_
 * kernel-debug on Oracle Linux_x000D_
      Upgrade kernel-debug_x000D_
_x000D_
       Update kernel-debug using yum or up2date. Please note that customers with support can use the  Unbreakable Linux Network (ULN) (https://linux.oracle.com) , and customers without support can use the  publicly available Oracle Linux yum repositories (http://public-yum.oracle.com) . _x000D_
_x000D_
_x000D_
 * kernel-debug-devel on Oracle Linux_x000D_
      Upgrade kernel-debug-devel_x000D_
_x000D_
       Update kernel-debug-devel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kernel-devel on Oracle Linux_x000D_
      Upgrade kernel-devel_x000D_
_x000D_
       Update kernel-devel using yum or up2date. Please note that customers with support can use the  Unbreakable Linux Network (ULN) (https://linux.oracle.com) , and customers without support can use the  publicly available Oracle Linux yum repositories (http://public-yum.oracle.com) . _x000D_
_x000D_
_x000D_
 * kernel-doc on Oracle Linux_x000D_
      Upgrade kernel-doc_x000D_
_x000D_
       Update kernel-doc using yum or up2date. Please note that customers with support can use the  Unbreakable Linux Network (ULN) (https://linux.oracle.com) , and customers without support can use the  publicly available Oracle Linux yum repositories (http://public-yum.oracle.com) . _x000D_
_x000D_
_x000D_
 * kernel-headers on Oracle Linux_x000D_
      Upgrade kernel-headers_x000D_
_x000D_
       Update kernel-headers using yum or up2date. Please note that customers with support can use the  Unbreakable Linux Network (ULN) (https://linux.oracle.com) , and customers without support can use the  publicly available Oracle Linux yum repositories (http://public-yum.oracle.com) . _x000D_
_x000D_
_x000D_
 * kernel-tools on Oracle Linux_x000D_
      Upgrade kernel-tools_x000D_
_x000D_
       Update kernel-tools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 on Oracle Linux_x000D_
      Upgrade kernel-tools-libs_x000D_
_x000D_
       Update kernel-tools-libs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kernel-tools-libs-devel on Oracle Linux_x000D_
      Upgrade kernel-tools-libs-devel_x000D_
_x000D_
       Update kernel-tools-libs-devel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</si>
  <si>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[CVE-2017-1000407] is not installed, no patches discovered._x000D_
_x000D_
_x000D_
 * _x000D_
      kernel-uek-firmware - version 4.1.12-94.3.9.el7uek is installed</t>
  </si>
  <si>
    <t>CVE-2017-1000407</t>
  </si>
  <si>
    <t>http://nvd.nist.gov/vuln/detail/CVE-2017-1000407</t>
  </si>
  <si>
    <t>oracle_linux-cve-2017-1000410</t>
  </si>
  <si>
    <t>Oracle Linux: (CVE-2017-1000410) (Multiple Advisories): Unbreakable Enterprise kernel security update</t>
  </si>
  <si>
    <t>The Linux kernel version 3.3-rc1 and later is affected by a vulnerability lies in the processing of incoming L2CAP commands - ConfigRequest, and ConfigResponse messages. This info leak is a result of uninitialized stack variables that may be returned to an attacker in their uninitialized state. By manipulating the code flows that precede the handling of these configuration messages, an attacker can also gain some control over which data will be held in the uninitialized stack variables. This can allow him to bypass KASLR, and stack canaries protection - as both pointers and stack canaries may be leaked in this manner. Combining this vulnerability (for example) with the previously disclosed RCE vulnerability in L2CAP configuration parsing (CVE-2017-1000251) may allow an attacker to exploit the RCE against kernels which were built with the above mitigations. These are the specifics of this vulnerability: In the function l2cap_parse_conf_rsp and in the function l2cap_parse_conf_req the following variable is declared without initialization: struct l2cap_conf_efs efs; In addition, when parsing input configuration parameters in both of these functions, the switch case for handling EFS elements may skip the memcpy call that will write to the efs variable: ... case L2CAP_CONF_EFS: if (olen == sizeof(efs)) memcpy(&amp;efs, (void *)val, olen); ... The olen in the above if is attacker controlled, and regardless of that if, in both of these functions the efs variable would eventually be added to the outgoing configuration request that is being built: l2cap_add_conf_opt(&amp;ptr, L2CAP_CONF_EFS, sizeof(efs), (unsigned long) &amp;efs); So by sending a configuration request, or response, that contains an L2CAP_CONF_EFS element, but with an element length that is not sizeof(efs) - the memcpy to the uninitialized efs variable can be avoided, and the uninitialized variable would be returned to the attacker (16 bytes).</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</si>
  <si>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kernel-abi-whitelists on Oracle Linux_x000D_
      Upgrade kernel-abi-whitelists_x000D_
_x000D_
       Update kernel-abi-whitelists using yum or up2date. Please note that customers with support can use the  Unbreakable Linux Network (ULN) (https://linux.oracle.com) , and customers without support can use the  publicly available Oracle Linux yum repositories (http://public-yum.oracle.com) . _x000D_
_x000D_
_x000D_
 * kernel-debug on Oracle Linux_x000D_
      Upgrade kernel-debug_x000D_
_x000D_
       Update kernel-debug using yum or up2date. Please note that customers with support can use the  Unbreakable Linux Network (ULN) (https://linux.oracle.com) , and customers without support can use the  publicly available Oracle Linux yum repositories (http://public-yum.oracle.com) . _x000D_
_x000D_
_x000D_
 * kernel-debug-devel on Oracle Linux_x000D_
      Upgrade kernel-debug-devel_x000D_
_x000D_
       Update kernel-debug-devel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kernel-devel on Oracle Linux_x000D_
      Upgrade kernel-devel_x000D_
_x000D_
       Update kernel-devel using yum or up2date. Please note that customers with support can use the  Unbreakable Linux Network (ULN) (https://linux.oracle.com) , and customers without support can use the  publicly available Oracle Linux yum repositories (http://public-yum.oracle.com) . _x000D_
_x000D_
_x000D_
 * kernel-doc on Oracle Linux_x000D_
      Upgrade kernel-doc_x000D_
_x000D_
       Update kernel-doc using yum or up2date. Please note that customers with support can use the  Unbreakable Linux Network (ULN) (https://linux.oracle.com) , and customers without support can use the  publicly available Oracle Linux yum repositories (http://public-yum.oracle.com) . _x000D_
_x000D_
_x000D_
 * kernel-headers on Oracle Linux_x000D_
      Upgrade kernel-headers_x000D_
_x000D_
       Update kernel-headers using yum or up2date. Please note that customers with support can use the  Unbreakable Linux Network (ULN) (https://linux.oracle.com) , and customers without support can use the  publicly available Oracle Linux yum repositories (http://public-yum.oracle.com) . _x000D_
_x000D_
_x000D_
 * kernel-tools on Oracle Linux_x000D_
      Upgrade kernel-tools_x000D_
_x000D_
       Update kernel-tools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 on Oracle Linux_x000D_
      Upgrade kernel-tools-libs_x000D_
_x000D_
       Update kernel-tools-libs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kernel-tools-libs-devel on Oracle Linux_x000D_
      Upgrade kernel-tools-libs-devel_x000D_
_x000D_
       Update kernel-tools-libs-devel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</si>
  <si>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[CVE-2017-1000410] is not installed, no patches discovered._x000D_
_x000D_
_x000D_
 * _x000D_
      kernel-uek-firmware - version 4.1.12-94.3.9.el7uek is installed</t>
  </si>
  <si>
    <t>CVE-2017-1000410</t>
  </si>
  <si>
    <t>http://nvd.nist.gov/vuln/detail/CVE-2017-1000410</t>
  </si>
  <si>
    <t>oracle_linux-cve-2017-11600</t>
  </si>
  <si>
    <t>Oracle Linux: (CVE-2017-11600) (Multiple Advisories): Unbreakable Enterprise kernel security update</t>
  </si>
  <si>
    <t>net/xfrm/xfrm_policy.c in the Linux kernel through 4.12.3, when CONFIG_XFRM_MIGRATE is enabled, does not ensure that the dir value of xfrm_userpolicy_id is XFRM_POLICY_MAX or less, which allows local users to cause a denial of service (out-of-bounds access) or possibly have unspecified other impact via an XFRM_MSG_MIGRATE xfrm Netlink message.</t>
  </si>
  <si>
    <t>Vulnerable OS: Oracle Linux 7.9_x000D_
_x000D_
_x000D_
Vulnerable software installed: Linux kernel-uek 4.1.12-94.3.9.el7uek_x000D_
_x000D_
 * Required patch [CVE-2017-11600] is not installed, no patches discovered._x000D_
_x000D_
_x000D_
 * _x000D_
      kernel-uek-firmware - version 4.1.12-94.3.9.el7uek is installed</t>
  </si>
  <si>
    <t>CVE-2017-11600</t>
  </si>
  <si>
    <t>http://nvd.nist.gov/vuln/detail/CVE-2017-11600</t>
  </si>
  <si>
    <t>oracle_linux-cve-2017-12134</t>
  </si>
  <si>
    <t>Oracle Linux: (CVE-2017-12134) (Multiple Advisories): Unbreakable Enterprise kernel security update</t>
  </si>
  <si>
    <t>The xen_biovec_phys_mergeable function in drivers/xen/biomerge.c in Xen might allow local OS guest users to corrupt block device data streams and consequently obtain sensitive memory information, cause a denial of service, or gain host OS privileges by leveraging incorrect block IO merge-ability calculation.</t>
  </si>
  <si>
    <t>Vulnerable OS: Oracle Linux 7.9_x000D_
_x000D_
_x000D_
Vulnerable software installed: Linux kernel-uek 4.1.12-94.3.9.el7uek_x000D_
_x000D_
 * Required patch [CVE-2017-12134] is not installed, no patches discovered._x000D_
_x000D_
_x000D_
 * _x000D_
      kernel-uek-firmware - version 4.1.12-94.3.9.el7uek is installed</t>
  </si>
  <si>
    <t>CVE-2017-12134</t>
  </si>
  <si>
    <t>http://nvd.nist.gov/vuln/detail/CVE-2017-12134</t>
  </si>
  <si>
    <t>oracle_linux-cve-2017-12146</t>
  </si>
  <si>
    <t>Oracle Linux: (CVE-2017-12146) ELSA-2018-4084: Unbreakable Enterprise kernel security update</t>
  </si>
  <si>
    <t>The driver_override implementation in drivers/base/platform.c in the Linux kernel before 4.12.1 allows local users to gain privileges by leveraging a race condition between a read operation and a store operation that involve different overrides.</t>
  </si>
  <si>
    <t>Vulnerable OS: Oracle Linux 7.9_x000D_
_x000D_
_x000D_
Vulnerable software installed: Linux kernel-uek 4.1.12-94.3.9.el7uek_x000D_
_x000D_
 * Required patch [CVE-2017-12146] is not installed, no patches discovered._x000D_
_x000D_
_x000D_
 * _x000D_
      kernel-uek-firmware - version 4.1.12-94.3.9.el7uek is installed</t>
  </si>
  <si>
    <t>CVE-2017-12146</t>
  </si>
  <si>
    <t>http://nvd.nist.gov/vuln/detail/CVE-2017-12146</t>
  </si>
  <si>
    <t>oracle_linux-cve-2017-12153</t>
  </si>
  <si>
    <t>Oracle Linux: (CVE-2017-12153) ELSA-2019-4531: Unbreakable Enterprise kernel security update</t>
  </si>
  <si>
    <t>A security flaw was discovered in the nl80211_set_rekey_data() function in net/wireless/nl80211.c in the Linux kernel through 4.13.3. This function does not check whether the required attributes are present in a Netlink request. This request can be issued by a user with the CAP_NET_ADMIN capability and may result in a NULL pointer dereference and system crash.</t>
  </si>
  <si>
    <t>Vulnerable OS: Oracle Linux 7.9_x000D_
_x000D_
_x000D_
Vulnerable software installed: Linux kernel-uek 4.1.12-94.3.9.el7uek_x000D_
_x000D_
 * Required patch [CVE-2017-12153] is not installed, no patches discovered._x000D_
_x000D_
_x000D_
 * _x000D_
      kernel-uek-firmware - version 4.1.12-94.3.9.el7uek is installed</t>
  </si>
  <si>
    <t>CVE-2017-12153</t>
  </si>
  <si>
    <t>http://nvd.nist.gov/vuln/detail/CVE-2017-12153</t>
  </si>
  <si>
    <t>oracle_linux-cve-2017-12154</t>
  </si>
  <si>
    <t>Oracle Linux: (CVE-2017-12154) (Multiple Advisories): kernel security, bug fix, and enhancement update</t>
  </si>
  <si>
    <t>The prepare_vmcs02 function in arch/x86/kvm/vmx.c in the Linux kernel through 4.13.3 does not ensure that the "CR8-load exiting" and "CR8-store exiting" L0 vmcs02 controls exist in cases where L1 omits the "use TPR shadow" vmcs12 control, which allows KVM L2 guest OS users to obtain read and write access to the hardware CR8 register.</t>
  </si>
  <si>
    <t>Vulnerable OS: Oracle Linux 7.9_x000D_
_x000D_
_x000D_
Vulnerable software installed: Linux kernel-uek 4.1.12-94.3.9.el7uek_x000D_
_x000D_
 * Required patch [CVE-2017-12154] is not installed, no patches discovered._x000D_
_x000D_
_x000D_
 * _x000D_
      kernel-uek-firmware - version 4.1.12-94.3.9.el7uek is installed</t>
  </si>
  <si>
    <t>CVE-2017-12154</t>
  </si>
  <si>
    <t>http://nvd.nist.gov/vuln/detail/CVE-2017-12154</t>
  </si>
  <si>
    <t>oracle_linux-cve-2017-12190</t>
  </si>
  <si>
    <t>Oracle Linux: (CVE-2017-12190) (Multiple Advisories): kernel security and bug fix update</t>
  </si>
  <si>
    <t>The bio_map_user_iov and bio_unmap_user functions in block/bio.c in the Linux kernel before 4.13.8 do unbalanced refcounting when a SCSI I/O vector has small consecutive buffers belonging to the same page. The bio_add_pc_page function merges them into one, but the page reference is never dropped. This causes a memory leak and possible system lockup (exploitable against the host OS by a guest OS user, if a SCSI disk is passed through to a virtual machine) due to an out-of-memory condition.</t>
  </si>
  <si>
    <t>Vulnerable OS: Oracle Linux 7.9_x000D_
_x000D_
_x000D_
Vulnerable software installed: Linux kernel-uek 4.1.12-94.3.9.el7uek_x000D_
_x000D_
 * Required patch [CVE-2017-12190] is not installed, no patches discovered._x000D_
_x000D_
_x000D_
 * _x000D_
      kernel-uek-firmware - version 4.1.12-94.3.9.el7uek is installed</t>
  </si>
  <si>
    <t>CVE-2017-12190</t>
  </si>
  <si>
    <t>http://nvd.nist.gov/vuln/detail/CVE-2017-12190</t>
  </si>
  <si>
    <t>oracle_linux-cve-2017-12192</t>
  </si>
  <si>
    <t>Oracle Linux: (CVE-2017-12192) (Multiple Advisories): kernel security and bug fix update</t>
  </si>
  <si>
    <t>The keyctl_read_key function in security/keys/keyctl.c in the Key Management subcomponent in the Linux kernel before 4.13.5 does not properly consider that a key may be possessed but negatively instantiated, which allows local users to cause a denial of service (OOPS and system crash) via a crafted KEYCTL_READ operation.</t>
  </si>
  <si>
    <t>Vulnerable OS: Oracle Linux 7.9_x000D_
_x000D_
_x000D_
Vulnerable software installed: Linux kernel-uek 4.1.12-94.3.9.el7uek_x000D_
_x000D_
 * Required patch [CVE-2017-12192] is not installed, no patches discovered._x000D_
_x000D_
_x000D_
 * _x000D_
      kernel-uek-firmware - version 4.1.12-94.3.9.el7uek is installed</t>
  </si>
  <si>
    <t>CVE-2017-12192</t>
  </si>
  <si>
    <t>http://nvd.nist.gov/vuln/detail/CVE-2017-12192</t>
  </si>
  <si>
    <t>oracle_linux-cve-2017-12193</t>
  </si>
  <si>
    <t>Oracle Linux: (CVE-2017-12193) (Multiple Advisories): Unbreakable Enterprise kernel security update</t>
  </si>
  <si>
    <t>The assoc_array_insert_into_terminal_node function in lib/assoc_array.c in the Linux kernel before 4.13.11 mishandles node splitting, which allows local users to cause a denial of service (NULL pointer dereference and panic) via a crafted application, as demonstrated by the keyring key type, and key addition and link creation operations.</t>
  </si>
  <si>
    <t>Vulnerable OS: Oracle Linux 7.9_x000D_
_x000D_
_x000D_
Vulnerable software installed: Linux kernel-uek 4.1.12-94.3.9.el7uek_x000D_
_x000D_
 * Required patch [CVE-2017-12193] is not installed, no patches discovered._x000D_
_x000D_
_x000D_
 * _x000D_
      kernel-uek-firmware - version 4.1.12-94.3.9.el7uek is installed</t>
  </si>
  <si>
    <t>CVE-2017-12193</t>
  </si>
  <si>
    <t>http://nvd.nist.gov/vuln/detail/CVE-2017-12193</t>
  </si>
  <si>
    <t>oracle_linux-cve-2017-13168</t>
  </si>
  <si>
    <t>Oracle Linux: (CVE-2017-13168) (Multiple Advisories): Unbreakable Enterprise kernel security update</t>
  </si>
  <si>
    <t>An elevation of privilege vulnerability in the kernel scsi driver. Product: Android. Versions: Android kernel. Android ID A-65023233.</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</si>
  <si>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kernel-uek-headers on Oracle Linux_x000D_
      Upgrade kernel-uek-headers_x000D_
_x000D_
       Update kernel-uek-headers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 on Oracle Linux_x000D_
      Upgrade kernel-uek-tools_x000D_
_x000D_
       Update kernel-uek-tools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 on Oracle Linux_x000D_
      Upgrade kernel-uek-tools-libs_x000D_
_x000D_
       Update kernel-uek-tools-libs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kernel-uek-tools-libs-devel on Oracle Linux_x000D_
      Upgrade kernel-uek-tools-libs-devel_x000D_
_x000D_
       Update kernel-uek-tools-libs-devel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</si>
  <si>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[CVE-2017-13168] is not installed, no patches discovered._x000D_
_x000D_
_x000D_
 * _x000D_
      kernel-uek-firmware - version 4.1.12-94.3.9.el7uek is installed</t>
  </si>
  <si>
    <t>CVE-2017-13168</t>
  </si>
  <si>
    <t>http://nvd.nist.gov/vuln/detail/CVE-2017-13168</t>
  </si>
  <si>
    <t>oracle_linux-cve-2017-13305</t>
  </si>
  <si>
    <t>Oracle Linux: (CVE-2017-13305) (Multiple Advisories): Unbreakable Enterprise kernel security update</t>
  </si>
  <si>
    <t>A information disclosure vulnerability in the Upstream kernel encrypted-keys. Product: Android. Versions: Android kernel. Android ID: A-70526974.</t>
  </si>
  <si>
    <t>Vulnerable OS: Oracle Linux 7.9_x000D_
_x000D_
_x000D_
Vulnerable software installed: Linux kernel-uek 4.1.12-94.3.9.el7uek_x000D_
_x000D_
 * Required patch [CVE-2017-13305] is not installed, no patches discovered._x000D_
_x000D_
_x000D_
 * _x000D_
      kernel-uek-firmware - version 4.1.12-94.3.9.el7uek is installed</t>
  </si>
  <si>
    <t>CVE-2017-13305</t>
  </si>
  <si>
    <t>http://nvd.nist.gov/vuln/detail/CVE-2017-13305</t>
  </si>
  <si>
    <t>oracle_linux-cve-2017-13695</t>
  </si>
  <si>
    <t>Oracle Linux: (CVE-2017-13695) (Multiple Advisories): Unbreakable Enterprise kernel security update</t>
  </si>
  <si>
    <t>The acpi_ns_evaluate() function in drivers/acpi/acpica/nseval.c in the Linux kernel through 4.12.9 does not flush the operand cache and causes a kernel stack dump, which allows local users to obtain sensitive information from kernel memory and bypass the KASLR protection mechanism (in the kernel through 4.9) via a crafted ACPI table.</t>
  </si>
  <si>
    <t>Vulnerable OS: Oracle Linux 7.9_x000D_
_x000D_
_x000D_
Vulnerable software installed: Linux kernel-uek 4.1.12-94.3.9.el7uek_x000D_
_x000D_
 * Required patch [CVE-2017-13695] is not installed, no patches discovered._x000D_
_x000D_
_x000D_
 * _x000D_
      kernel-uek-firmware - version 4.1.12-94.3.9.el7uek is installed</t>
  </si>
  <si>
    <t>CVE-2017-13695</t>
  </si>
  <si>
    <t>http://nvd.nist.gov/vuln/detail/CVE-2017-13695</t>
  </si>
  <si>
    <t>oracle_linux-cve-2017-14106</t>
  </si>
  <si>
    <t>Oracle Linux: (CVE-2017-14106) (Multiple Advisories): kernel security update</t>
  </si>
  <si>
    <t>The tcp_disconnect function in net/ipv4/tcp.c in the Linux kernel before 4.12 allows local users to cause a denial of service (__tcp_select_window divide-by-zero error and system crash) by triggering a disconnect within a certain tcp_recvmsg code path.</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</si>
  <si>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kernel-abi-whitelists on Oracle Linux_x000D_
      Upgrade kernel-abi-whitelists_x000D_
_x000D_
       Update kernel-abi-whitelists using yum or up2date. Please note that customers with support can use the  Unbreakable Linux Network (ULN) (https://linux.oracle.com) , and customers without support can use the  publicly available Oracle Linux yum repositories (http://public-yum.oracle.com) . _x000D_
_x000D_
_x000D_
 * kernel-debug on Oracle Linux_x000D_
      Upgrade kernel-debug_x000D_
_x000D_
       Update kernel-debug using yum or up2date. Please note that customers with support can use the  Unbreakable Linux Network (ULN) (https://linux.oracle.com) , and customers without support can use the  publicly available Oracle Linux yum repositories (http://public-yum.oracle.com) . _x000D_
_x000D_
_x000D_
 * kernel-debug-devel on Oracle Linux_x000D_
      Upgrade kernel-debug-devel_x000D_
_x000D_
       Update kernel-debug-devel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kernel-devel on Oracle Linux_x000D_
      Upgrade kernel-devel_x000D_
_x000D_
       Update kernel-devel using yum or up2date. Please note that customers with support can use the  Unbreakable Linux Network (ULN) (https://linux.oracle.com) , and customers without support can use the  publicly available Oracle Linux yum repositories (http://public-yum.oracle.com) . _x000D_
_x000D_
_x000D_
 * kernel-doc on Oracle Linux_x000D_
      Upgrade kernel-doc_x000D_
_x000D_
       Update kernel-doc using yum or up2date. Please note that customers with support can use the  Unbreakable Linux Network (ULN) (https://linux.oracle.com) , and customers without support can use the  publicly available Oracle Linux yum repositories (http://public-yum.oracle.com) . _x000D_
_x000D_
_x000D_
 * kernel-firmware on Oracle Linux_x000D_
      Upgrade kernel-firmware_x000D_
_x000D_
       Update kernel-firmware using yum or up2date. Please note that customers with support can use the  Unbreakable Linux Network (ULN) (https://linux.oracle.com) , and customers without support can use the  publicly available Oracle Linux yum repositories (http://public-yum.oracle.com) . _x000D_
_x000D_
_x000D_
 * kernel-headers on Oracle Linux_x000D_
      Upgrade kernel-headers_x000D_
_x000D_
       Update kernel-headers using yum or up2date. Please note that customers with support can use the  Unbreakable Linux Network (ULN) (https://linux.oracle.com) , and customers without support can use the  publicly available Oracle Linux yum repositories (http://public-yum.oracle.com) . _x000D_
_x000D_
_x000D_
 * kernel-tools on Oracle Linux_x000D_
      Upgrade kernel-tools_x000D_
_x000D_
       Update kernel-tools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 on Oracle Linux_x000D_
      Upgrade kernel-tools-libs_x000D_
_x000D_
       Update kernel-tools-libs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kernel-tools-libs-devel on Oracle Linux_x000D_
      Upgrade kernel-tools-libs-devel_x000D_
_x000D_
       Update kernel-tools-libs-devel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</si>
  <si>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[CVE-2017-14106] is not installed, no patches discovered._x000D_
_x000D_
_x000D_
 * _x000D_
      kernel-uek-firmware - version 4.1.12-94.3.9.el7uek is installed</t>
  </si>
  <si>
    <t>CVE-2017-14106</t>
  </si>
  <si>
    <t>http://nvd.nist.gov/vuln/detail/CVE-2017-14106</t>
  </si>
  <si>
    <t>oracle_linux-cve-2017-14140</t>
  </si>
  <si>
    <t>Oracle Linux: (CVE-2017-14140) (Multiple Advisories): Unbreakable Enterprise kernel security update</t>
  </si>
  <si>
    <t>The move_pages system call in mm/migrate.c in the Linux kernel before 4.12.9 doesn't check the effective uid of the target process, enabling a local attacker to learn the memory layout of a setuid executable despite ASLR.</t>
  </si>
  <si>
    <t>Vulnerable OS: Oracle Linux 7.9_x000D_
_x000D_
_x000D_
Vulnerable software installed: Linux kernel-uek 4.1.12-94.3.9.el7uek_x000D_
_x000D_
 * Required patch [CVE-2017-14140] is not installed, no patches discovered._x000D_
_x000D_
_x000D_
 * _x000D_
      kernel-uek-firmware - version 4.1.12-94.3.9.el7uek is installed</t>
  </si>
  <si>
    <t>CVE-2017-14140</t>
  </si>
  <si>
    <t>http://nvd.nist.gov/vuln/detail/CVE-2017-14140</t>
  </si>
  <si>
    <t>oracle_linux-cve-2017-14489</t>
  </si>
  <si>
    <t>Oracle Linux: (CVE-2017-14489) (Multiple Advisories): Unbreakable Enterprise kernel security and bugfix update</t>
  </si>
  <si>
    <t>The iscsi_if_rx function in drivers/scsi/scsi_transport_iscsi.c in the Linux kernel through 4.13.2 allows local users to cause a denial of service (panic) by leveraging incorrect length validation.</t>
  </si>
  <si>
    <t>Vulnerable OS: Oracle Linux 7.9_x000D_
_x000D_
_x000D_
Vulnerable software installed: Linux kernel-uek 4.1.12-94.3.9.el7uek_x000D_
_x000D_
 * Required patch [CVE-2017-14489] is not installed, no patches discovered._x000D_
_x000D_
_x000D_
 * _x000D_
      kernel-uek-firmware - version 4.1.12-94.3.9.el7uek is installed</t>
  </si>
  <si>
    <t>CVE-2017-14489</t>
  </si>
  <si>
    <t>http://nvd.nist.gov/vuln/detail/CVE-2017-14489</t>
  </si>
  <si>
    <t>http://www.exploit-db.com/exploits/42932</t>
  </si>
  <si>
    <t>oracle_linux-cve-2017-14991</t>
  </si>
  <si>
    <t>Oracle Linux: (CVE-2017-14991) (Multiple Advisories): Unbreakable Enterprise kernel security update</t>
  </si>
  <si>
    <t>The sg_ioctl function in drivers/scsi/sg.c in the Linux kernel before 4.13.4 allows local users to obtain sensitive information from uninitialized kernel heap-memory locations via an SG_GET_REQUEST_TABLE ioctl call for /dev/sg0.</t>
  </si>
  <si>
    <t>Vulnerable OS: Oracle Linux 7.9_x000D_
_x000D_
_x000D_
Vulnerable software installed: Linux kernel-uek 4.1.12-94.3.9.el7uek_x000D_
_x000D_
 * Required patch [CVE-2017-14991] is not installed, no patches discovered._x000D_
_x000D_
_x000D_
 * _x000D_
      kernel-uek-firmware - version 4.1.12-94.3.9.el7uek is installed</t>
  </si>
  <si>
    <t>CVE-2017-14991</t>
  </si>
  <si>
    <t>http://nvd.nist.gov/vuln/detail/CVE-2017-14991</t>
  </si>
  <si>
    <t>oracle_linux-cve-2017-15102</t>
  </si>
  <si>
    <t>Oracle Linux: (CVE-2017-15102) (Multiple Advisories): Unbreakable Enterprise kernel security update</t>
  </si>
  <si>
    <t>The tower_probe function in drivers/usb/misc/legousbtower.c in the Linux kernel before 4.8.1 allows local users (who are physically proximate for inserting a crafted USB device) to gain privileges by leveraging a write-what-where condition that occurs after a race condition and a NULL pointer dereference.</t>
  </si>
  <si>
    <t>Vulnerable OS: Oracle Linux 7.9_x000D_
_x000D_
_x000D_
Vulnerable software installed: Linux kernel-uek 4.1.12-94.3.9.el7uek_x000D_
_x000D_
 * Required patch [CVE-2017-15102] is not installed, no patches discovered._x000D_
_x000D_
_x000D_
 * _x000D_
      kernel-uek-firmware - version 4.1.12-94.3.9.el7uek is installed</t>
  </si>
  <si>
    <t>CVE-2017-15102</t>
  </si>
  <si>
    <t>http://nvd.nist.gov/vuln/detail/CVE-2017-15102</t>
  </si>
  <si>
    <t>oracle_linux-cve-2017-15115</t>
  </si>
  <si>
    <t>Oracle Linux: (CVE-2017-15115) (Multiple Advisories): Unbreakable Enterprise kernel security update</t>
  </si>
  <si>
    <t>The sctp_do_peeloff function in net/sctp/socket.c in the Linux kernel before 4.14 does not check whether the intended netns is used in a peel-off action, which allows local users to cause a denial of service (use-after-free and system crash) or possibly have unspecified other impact via crafted system calls.</t>
  </si>
  <si>
    <t>Vulnerable OS: Oracle Linux 7.9_x000D_
_x000D_
_x000D_
Vulnerable software installed: Linux kernel-uek 4.1.12-94.3.9.el7uek_x000D_
_x000D_
 * Required patch [CVE-2017-15115] is not installed, no patches discovered._x000D_
_x000D_
_x000D_
 * _x000D_
      kernel-uek-firmware - version 4.1.12-94.3.9.el7uek is installed</t>
  </si>
  <si>
    <t>CVE-2017-15115</t>
  </si>
  <si>
    <t>http://nvd.nist.gov/vuln/detail/CVE-2017-15115</t>
  </si>
  <si>
    <t>oracle_linux-cve-2017-15116</t>
  </si>
  <si>
    <t>Oracle Linux: (CVE-2017-15116) (Multiple Advisories): Unbreakable Enterprise kernel security update</t>
  </si>
  <si>
    <t>The rngapi_reset function in crypto/rng.c in the Linux kernel before 4.2 allows attackers to cause a denial of service (NULL pointer dereference).</t>
  </si>
  <si>
    <t>Vulnerable OS: Oracle Linux 7.9_x000D_
_x000D_
_x000D_
Vulnerable software installed: Linux kernel-uek 4.1.12-94.3.9.el7uek_x000D_
_x000D_
 * Required patch [CVE-2017-15116] is not installed, no patches discovered._x000D_
_x000D_
_x000D_
 * _x000D_
      kernel-uek-firmware - version 4.1.12-94.3.9.el7uek is installed</t>
  </si>
  <si>
    <t>CVE-2017-15116</t>
  </si>
  <si>
    <t>http://nvd.nist.gov/vuln/detail/CVE-2017-15116</t>
  </si>
  <si>
    <t>oracle_linux-cve-2017-15128</t>
  </si>
  <si>
    <t>Oracle Linux: (CVE-2017-15128) ELSA-2019-4850: Unbreakable Enterprise kernel security update</t>
  </si>
  <si>
    <t>A flaw was found in the hugetlb_mcopy_atomic_pte function in mm/hugetlb.c in the Linux kernel before 4.13.12. A lack of size check could cause a denial of service (BUG).</t>
  </si>
  <si>
    <t>Vulnerable OS: Oracle Linux 7.9_x000D_
_x000D_
_x000D_
Vulnerable software installed: Linux kernel-uek 4.1.12-94.3.9.el7uek_x000D_
_x000D_
 * Required patch [CVE-2017-15128] is not installed, no patches discovered._x000D_
_x000D_
_x000D_
 * _x000D_
      kernel-uek-firmware - version 4.1.12-94.3.9.el7uek is installed</t>
  </si>
  <si>
    <t>CVE-2017-15128</t>
  </si>
  <si>
    <t>http://nvd.nist.gov/vuln/detail/CVE-2017-15128</t>
  </si>
  <si>
    <t>oracle_linux-cve-2017-15129</t>
  </si>
  <si>
    <t>Oracle Linux: (CVE-2017-15129) (Multiple Advisories): Unbreakable Enterprise kernel security update</t>
  </si>
  <si>
    <t>A use-after-free vulnerability was found in network namespaces code affecting the Linux kernel before 4.14.11. The function get_net_ns_by_id() in net/core/net_namespace.c does not check for the net::count value after it has found a peer network in netns_ids idr, which could lead to double free and memory corruption. This vulnerability could allow an unprivileged local user to induce kernel memory corruption on the system, leading to a crash. Due to the nature of the flaw, privilege escalation cannot be fully ruled out, although it is thought to be unlikely.</t>
  </si>
  <si>
    <t>Vulnerable OS: Oracle Linux 7.9_x000D_
_x000D_
_x000D_
Vulnerable software installed: Linux kernel-uek 4.1.12-94.3.9.el7uek_x000D_
_x000D_
 * Required patch [CVE-2017-15129] is not installed, no patches discovered._x000D_
_x000D_
_x000D_
 * _x000D_
      kernel-uek-firmware - version 4.1.12-94.3.9.el7uek is installed</t>
  </si>
  <si>
    <t>CVE-2017-15129</t>
  </si>
  <si>
    <t>http://nvd.nist.gov/vuln/detail/CVE-2017-15129</t>
  </si>
  <si>
    <t>oracle_linux-cve-2017-15299</t>
  </si>
  <si>
    <t>Oracle Linux: (CVE-2017-15299) (Multiple Advisories): Unbreakable Enterprise kernel security update</t>
  </si>
  <si>
    <t>The KEYS subsystem in the Linux kernel through 4.13.7 mishandles use of add_key for a key that already exists but is uninstantiated, which allows local users to cause a denial of service (NULL pointer dereference and system crash) or possibly have unspecified other impact via a crafted system call.</t>
  </si>
  <si>
    <t>Vulnerable OS: Oracle Linux 7.9_x000D_
_x000D_
_x000D_
Vulnerable software installed: Linux kernel-uek 4.1.12-94.3.9.el7uek_x000D_
_x000D_
 * Required patch [CVE-2017-15299] is not installed, no patches discovered._x000D_
_x000D_
_x000D_
 * _x000D_
      kernel-uek-firmware - version 4.1.12-94.3.9.el7uek is installed</t>
  </si>
  <si>
    <t>CVE-2017-15299</t>
  </si>
  <si>
    <t>http://nvd.nist.gov/vuln/detail/CVE-2017-15299</t>
  </si>
  <si>
    <t>oracle_linux-cve-2017-15537</t>
  </si>
  <si>
    <t>Oracle Linux: (CVE-2017-15537) ELSA-2018-4071: Unbreakable Enterprise kernel security update</t>
  </si>
  <si>
    <t>The x86/fpu (Floating Point Unit) subsystem in the Linux kernel before 4.13.5, when a processor supports the xsave feature but not the xsaves feature, does not correctly handle attempts to set reserved bits in the xstate header via the ptrace() or rt_sigreturn() system call, allowing local users to read the FPU registers of other processes on the system, related to arch/x86/kernel/fpu/regset.c and arch/x86/kernel/fpu/signal.c.</t>
  </si>
  <si>
    <t>Vulnerable OS: Oracle Linux 7.9_x000D_
_x000D_
_x000D_
Vulnerable software installed: Linux kernel-uek 4.1.12-94.3.9.el7uek_x000D_
_x000D_
 * Required patch [CVE-2017-15537] is not installed, no patches discovered._x000D_
_x000D_
_x000D_
 * _x000D_
      kernel-uek-firmware - version 4.1.12-94.3.9.el7uek is installed</t>
  </si>
  <si>
    <t>CVE-2017-15537</t>
  </si>
  <si>
    <t>http://nvd.nist.gov/vuln/detail/CVE-2017-15537</t>
  </si>
  <si>
    <t>oracle_linux-cve-2017-15649</t>
  </si>
  <si>
    <t>Oracle Linux: (CVE-2017-15649) (Multiple Advisories): kernel security and bug fix update</t>
  </si>
  <si>
    <t>net/packet/af_packet.c in the Linux kernel before 4.13.6 allows local users to gain privileges via crafted system calls that trigger mishandling of packet_fanout data structures, because of a race condition (involving fanout_add and packet_do_bind) that leads to a use-after-free, a different vulnerability than CVE-2017-6346.</t>
  </si>
  <si>
    <t>Vulnerable OS: Oracle Linux 7.9_x000D_
_x000D_
_x000D_
Vulnerable software installed: Linux kernel-uek 4.1.12-94.3.9.el7uek_x000D_
_x000D_
 * Required patch [CVE-2017-15649] is not installed, no patches discovered._x000D_
_x000D_
_x000D_
 * _x000D_
      kernel-uek-firmware - version 4.1.12-94.3.9.el7uek is installed</t>
  </si>
  <si>
    <t>CVE-2017-15649</t>
  </si>
  <si>
    <t>http://nvd.nist.gov/vuln/detail/CVE-2017-15649</t>
  </si>
  <si>
    <t>http://www.exploit-db.com/exploits/44053</t>
  </si>
  <si>
    <t>oracle_linux-cve-2017-16525</t>
  </si>
  <si>
    <t>Oracle Linux: (CVE-2017-16525) (Multiple Advisories): Unbreakable Enterprise kernel security update</t>
  </si>
  <si>
    <t>The usb_serial_console_disconnect function in drivers/usb/serial/console.c in the Linux kernel before 4.13.8 allows local users to cause a denial of service (use-after-free and system crash) or possibly have unspecified other impact via a crafted USB device, related to disconnection and failed setup.</t>
  </si>
  <si>
    <t>Vulnerable OS: Oracle Linux 7.9_x000D_
_x000D_
_x000D_
Vulnerable software installed: Linux kernel-uek 4.1.12-94.3.9.el7uek_x000D_
_x000D_
 * Required patch [CVE-2017-16525] is not installed, no patches discovered._x000D_
_x000D_
_x000D_
 * _x000D_
      kernel-uek-firmware - version 4.1.12-94.3.9.el7uek is installed</t>
  </si>
  <si>
    <t>CVE-2017-16525</t>
  </si>
  <si>
    <t>http://nvd.nist.gov/vuln/detail/CVE-2017-16525</t>
  </si>
  <si>
    <t>oracle_linux-cve-2017-16526</t>
  </si>
  <si>
    <t>Oracle Linux: (CVE-2017-16526) (Multiple Advisories): Unbreakable Enterprise kernel security update</t>
  </si>
  <si>
    <t>drivers/uwb/uwbd.c in the Linux kernel before 4.13.6 allows local users to cause a denial of service (general protection fault and system crash) or possibly have unspecified other impact via a crafted USB device.</t>
  </si>
  <si>
    <t>Vulnerable OS: Oracle Linux 7.9_x000D_
_x000D_
_x000D_
Vulnerable software installed: Linux kernel-uek 4.1.12-94.3.9.el7uek_x000D_
_x000D_
 * Required patch [CVE-2017-16526] is not installed, no patches discovered._x000D_
_x000D_
_x000D_
 * _x000D_
      kernel-uek-firmware - version 4.1.12-94.3.9.el7uek is installed</t>
  </si>
  <si>
    <t>CVE-2017-16526</t>
  </si>
  <si>
    <t>http://nvd.nist.gov/vuln/detail/CVE-2017-16526</t>
  </si>
  <si>
    <t>oracle_linux-cve-2017-16527</t>
  </si>
  <si>
    <t>Oracle Linux: (CVE-2017-16527) (Multiple Advisories): Unbreakable Enterprise kernel security update</t>
  </si>
  <si>
    <t>sound/usb/mixer.c in the Linux kernel before 4.13.8 allows local users to cause a denial of service (snd_usb_mixer_interrupt use-after-free and system crash) or possibly have unspecified other impact via a crafted USB device.</t>
  </si>
  <si>
    <t>Vulnerable OS: Oracle Linux 7.9_x000D_
_x000D_
_x000D_
Vulnerable software installed: Linux kernel-uek 4.1.12-94.3.9.el7uek_x000D_
_x000D_
 * Required patch [CVE-2017-16527] is not installed, no patches discovered._x000D_
_x000D_
_x000D_
 * _x000D_
      kernel-uek-firmware - version 4.1.12-94.3.9.el7uek is installed</t>
  </si>
  <si>
    <t>CVE-2017-16527</t>
  </si>
  <si>
    <t>http://nvd.nist.gov/vuln/detail/CVE-2017-16527</t>
  </si>
  <si>
    <t>oracle_linux-cve-2017-16528</t>
  </si>
  <si>
    <t>Oracle Linux: (CVE-2017-16528) ELSA-2020-5866: Unbreakable Enterprise kernel security update</t>
  </si>
  <si>
    <t>sound/core/seq_device.c in the Linux kernel before 4.13.4 allows local users to cause a denial of service (snd_rawmidi_dev_seq_free use-after-free and system crash) or possibly have unspecified other impact via a crafted USB device.</t>
  </si>
  <si>
    <t>Vulnerable OS: Oracle Linux 7.9_x000D_
_x000D_
_x000D_
Vulnerable software installed: Linux kernel-uek 4.1.12-94.3.9.el7uek_x000D_
_x000D_
 * Required patch [CVE-2017-16528] is not installed, no patches discovered._x000D_
_x000D_
_x000D_
 * _x000D_
      kernel-uek-firmware - version 4.1.12-94.3.9.el7uek is installed</t>
  </si>
  <si>
    <t>CVE-2017-16528</t>
  </si>
  <si>
    <t>http://nvd.nist.gov/vuln/detail/CVE-2017-16528</t>
  </si>
  <si>
    <t>oracle_linux-cve-2017-16529</t>
  </si>
  <si>
    <t>Oracle Linux: (CVE-2017-16529) (Multiple Advisories): Unbreakable Enterprise kernel security update</t>
  </si>
  <si>
    <t>The snd_usb_create_streams function in sound/usb/card.c in the Linux kernel before 4.13.6 allows local users to cause a denial of service (out-of-bounds read and system crash) or possibly have unspecified other impact via a crafted USB device.</t>
  </si>
  <si>
    <t>Vulnerable OS: Oracle Linux 7.9_x000D_
_x000D_
_x000D_
Vulnerable software installed: Linux kernel-uek 4.1.12-94.3.9.el7uek_x000D_
_x000D_
 * Required patch [CVE-2017-16529] is not installed, no patches discovered._x000D_
_x000D_
_x000D_
 * _x000D_
      kernel-uek-firmware - version 4.1.12-94.3.9.el7uek is installed</t>
  </si>
  <si>
    <t>CVE-2017-16529</t>
  </si>
  <si>
    <t>http://nvd.nist.gov/vuln/detail/CVE-2017-16529</t>
  </si>
  <si>
    <t>oracle_linux-cve-2017-16530</t>
  </si>
  <si>
    <t>Oracle Linux: (CVE-2017-16530) ELSA-2018-4001: Unbreakable Enterprise kernel security update</t>
  </si>
  <si>
    <t>The uas driver in the Linux kernel before 4.13.6 allows local users to cause a denial of service (out-of-bounds read and system crash) or possibly have unspecified other impact via a crafted USB device, related to drivers/usb/storage/uas-detect.h and drivers/usb/storage/uas.c.</t>
  </si>
  <si>
    <t>Vulnerable OS: Oracle Linux 7.9_x000D_
_x000D_
_x000D_
Vulnerable software installed: Linux kernel-uek 4.1.12-94.3.9.el7uek_x000D_
_x000D_
 * Required patch [CVE-2017-16530] is not installed, no patches discovered._x000D_
_x000D_
_x000D_
 * _x000D_
      kernel-uek-firmware - version 4.1.12-94.3.9.el7uek is installed</t>
  </si>
  <si>
    <t>CVE-2017-16530</t>
  </si>
  <si>
    <t>http://nvd.nist.gov/vuln/detail/CVE-2017-16530</t>
  </si>
  <si>
    <t>oracle_linux-cve-2017-16531</t>
  </si>
  <si>
    <t>Oracle Linux: (CVE-2017-16531) (Multiple Advisories): Unbreakable Enterprise kernel security update</t>
  </si>
  <si>
    <t>drivers/usb/core/config.c in the Linux kernel before 4.13.6 allows local users to cause a denial of service (out-of-bounds read and system crash) or possibly have unspecified other impact via a crafted USB device, related to the USB_DT_INTERFACE_ASSOCIATION descriptor.</t>
  </si>
  <si>
    <t>Vulnerable OS: Oracle Linux 7.9_x000D_
_x000D_
_x000D_
Vulnerable software installed: Linux kernel-uek 4.1.12-94.3.9.el7uek_x000D_
_x000D_
 * Required patch [CVE-2017-16531] is not installed, no patches discovered._x000D_
_x000D_
_x000D_
 * _x000D_
      kernel-uek-firmware - version 4.1.12-94.3.9.el7uek is installed</t>
  </si>
  <si>
    <t>CVE-2017-16531</t>
  </si>
  <si>
    <t>http://nvd.nist.gov/vuln/detail/CVE-2017-16531</t>
  </si>
  <si>
    <t>oracle_linux-cve-2017-16532</t>
  </si>
  <si>
    <t>Oracle Linux: (CVE-2017-16532) (Multiple Advisories): Unbreakable Enterprise kernel security update</t>
  </si>
  <si>
    <t>The get_endpoints function in drivers/usb/misc/usbtest.c in the Linux kernel through 4.13.11 allows local users to cause a denial of service (NULL pointer dereference and system crash) or possibly have unspecified other impact via a crafted USB device.</t>
  </si>
  <si>
    <t>Vulnerable OS: Oracle Linux 7.9_x000D_
_x000D_
_x000D_
Vulnerable software installed: Linux kernel-uek 4.1.12-94.3.9.el7uek_x000D_
_x000D_
 * Required patch [CVE-2017-16532] is not installed, no patches discovered._x000D_
_x000D_
_x000D_
 * _x000D_
      kernel-uek-firmware - version 4.1.12-94.3.9.el7uek is installed</t>
  </si>
  <si>
    <t>CVE-2017-16532</t>
  </si>
  <si>
    <t>http://nvd.nist.gov/vuln/detail/CVE-2017-16532</t>
  </si>
  <si>
    <t>oracle_linux-cve-2017-16533</t>
  </si>
  <si>
    <t>Oracle Linux: (CVE-2017-16533) (Multiple Advisories): Unbreakable Enterprise kernel security update</t>
  </si>
  <si>
    <t>The usbhid_parse function in drivers/hid/usbhid/hid-core.c in the Linux kernel before 4.13.8 allows local users to cause a denial of service (out-of-bounds read and system crash) or possibly have unspecified other impact via a crafted USB device.</t>
  </si>
  <si>
    <t>Vulnerable OS: Oracle Linux 7.9_x000D_
_x000D_
_x000D_
Vulnerable software installed: Linux kernel-uek 4.1.12-94.3.9.el7uek_x000D_
_x000D_
 * Required patch [CVE-2017-16533] is not installed, no patches discovered._x000D_
_x000D_
_x000D_
 * _x000D_
      kernel-uek-firmware - version 4.1.12-94.3.9.el7uek is installed</t>
  </si>
  <si>
    <t>CVE-2017-16533</t>
  </si>
  <si>
    <t>http://nvd.nist.gov/vuln/detail/CVE-2017-16533</t>
  </si>
  <si>
    <t>oracle_linux-cve-2017-16535</t>
  </si>
  <si>
    <t>Oracle Linux: (CVE-2017-16535) (Multiple Advisories): Unbreakable Enterprise kernel security update</t>
  </si>
  <si>
    <t>The usb_get_bos_descriptor function in drivers/usb/core/config.c in the Linux kernel before 4.13.10 allows local users to cause a denial of service (out-of-bounds read and system crash) or possibly have unspecified other impact via a crafted USB device.</t>
  </si>
  <si>
    <t>Vulnerable OS: Oracle Linux 7.9_x000D_
_x000D_
_x000D_
Vulnerable software installed: Linux kernel-uek 4.1.12-94.3.9.el7uek_x000D_
_x000D_
 * Required patch [CVE-2017-16535] is not installed, no patches discovered._x000D_
_x000D_
_x000D_
 * _x000D_
      kernel-uek-firmware - version 4.1.12-94.3.9.el7uek is installed</t>
  </si>
  <si>
    <t>CVE-2017-16535</t>
  </si>
  <si>
    <t>http://nvd.nist.gov/vuln/detail/CVE-2017-16535</t>
  </si>
  <si>
    <t>oracle_linux-cve-2017-16536</t>
  </si>
  <si>
    <t>Oracle Linux: (CVE-2017-16536) (Multiple Advisories): Unbreakable Enterprise kernel security update</t>
  </si>
  <si>
    <t>The cx231xx_usb_probe function in drivers/media/usb/cx231xx/cx231xx-cards.c in the Linux kernel through 4.13.11 allows local users to cause a denial of service (NULL pointer dereference and system crash) or possibly have unspecified other impact via a crafted USB device.</t>
  </si>
  <si>
    <t>Vulnerable OS: Oracle Linux 7.9_x000D_
_x000D_
_x000D_
Vulnerable software installed: Linux kernel-uek 4.1.12-94.3.9.el7uek_x000D_
_x000D_
 * Required patch [CVE-2017-16536] is not installed, no patches discovered._x000D_
_x000D_
_x000D_
 * _x000D_
      kernel-uek-firmware - version 4.1.12-94.3.9.el7uek is installed</t>
  </si>
  <si>
    <t>CVE-2017-16536</t>
  </si>
  <si>
    <t>http://nvd.nist.gov/vuln/detail/CVE-2017-16536</t>
  </si>
  <si>
    <t>oracle_linux-cve-2017-16538</t>
  </si>
  <si>
    <t>Oracle Linux: (CVE-2017-16538) ELSA-2020-5750: Unbreakable Enterprise kernel security update</t>
  </si>
  <si>
    <t>drivers/media/usb/dvb-usb-v2/lmedm04.c in the Linux kernel through 4.13.11 allows local users to cause a denial of service (general protection fault and system crash) or possibly have unspecified other impact via a crafted USB device, related to a missing warm-start check and incorrect attach timing (dm04_lme2510_frontend_attach versus dm04_lme2510_tuner).</t>
  </si>
  <si>
    <t>Vulnerable OS: Oracle Linux 7.9_x000D_
_x000D_
_x000D_
Vulnerable software installed: Linux kernel-uek 4.1.12-94.3.9.el7uek_x000D_
_x000D_
 * Required patch [CVE-2017-16538] is not installed, no patches discovered._x000D_
_x000D_
_x000D_
 * _x000D_
      kernel-uek-firmware - version 4.1.12-94.3.9.el7uek is installed</t>
  </si>
  <si>
    <t>CVE-2017-16538</t>
  </si>
  <si>
    <t>http://nvd.nist.gov/vuln/detail/CVE-2017-16538</t>
  </si>
  <si>
    <t>oracle_linux-cve-2017-16643</t>
  </si>
  <si>
    <t>Oracle Linux: (CVE-2017-16643) (Multiple Advisories): Unbreakable Enterprise kernel security update</t>
  </si>
  <si>
    <t>The parse_hid_report_descriptor function in drivers/input/tablet/gtco.c in the Linux kernel before 4.13.11 allows local users to cause a denial of service (out-of-bounds read and system crash) or possibly have unspecified other impact via a crafted USB device.</t>
  </si>
  <si>
    <t>Vulnerable OS: Oracle Linux 7.9_x000D_
_x000D_
_x000D_
Vulnerable software installed: Linux kernel-uek 4.1.12-94.3.9.el7uek_x000D_
_x000D_
 * Required patch [CVE-2017-16643] is not installed, no patches discovered._x000D_
_x000D_
_x000D_
 * _x000D_
      kernel-uek-firmware - version 4.1.12-94.3.9.el7uek is installed</t>
  </si>
  <si>
    <t>CVE-2017-16643</t>
  </si>
  <si>
    <t>http://nvd.nist.gov/vuln/detail/CVE-2017-16643</t>
  </si>
  <si>
    <t>oracle_linux-cve-2017-16644</t>
  </si>
  <si>
    <t>Oracle Linux: (CVE-2017-16644) ELSA-2020-5837: Unbreakable Enterprise kernel security update</t>
  </si>
  <si>
    <t>The hdpvr_probe function in drivers/media/usb/hdpvr/hdpvr-core.c in the Linux kernel through 4.13.11 allows local users to cause a denial of service (improper error handling and system crash) or possibly have unspecified other impact via a crafted USB device.</t>
  </si>
  <si>
    <t>Vulnerable OS: Oracle Linux 7.9_x000D_
_x000D_
_x000D_
Vulnerable software installed: Linux kernel-uek 4.1.12-94.3.9.el7uek_x000D_
_x000D_
 * Required patch [CVE-2017-16644] is not installed, no patches discovered._x000D_
_x000D_
_x000D_
 * _x000D_
      kernel-uek-firmware - version 4.1.12-94.3.9.el7uek is installed</t>
  </si>
  <si>
    <t>CVE-2017-16644</t>
  </si>
  <si>
    <t>http://nvd.nist.gov/vuln/detail/CVE-2017-16644</t>
  </si>
  <si>
    <t>oracle_linux-cve-2017-16645</t>
  </si>
  <si>
    <t>Oracle Linux: (CVE-2017-16645) ELSA-2018-4084: Unbreakable Enterprise kernel security update</t>
  </si>
  <si>
    <t>The ims_pcu_get_cdc_union_desc function in drivers/input/misc/ims-pcu.c in the Linux kernel through 4.13.11 allows local users to cause a denial of service (ims_pcu_parse_cdc_data out-of-bounds read and system crash) or possibly have unspecified other impact via a crafted USB device.</t>
  </si>
  <si>
    <t>Vulnerable OS: Oracle Linux 7.9_x000D_
_x000D_
_x000D_
Vulnerable software installed: Linux kernel-uek 4.1.12-94.3.9.el7uek_x000D_
_x000D_
 * Required patch [CVE-2017-16645] is not installed, no patches discovered._x000D_
_x000D_
_x000D_
 * _x000D_
      kernel-uek-firmware - version 4.1.12-94.3.9.el7uek is installed</t>
  </si>
  <si>
    <t>CVE-2017-16645</t>
  </si>
  <si>
    <t>http://nvd.nist.gov/vuln/detail/CVE-2017-16645</t>
  </si>
  <si>
    <t>oracle_linux-cve-2017-16646</t>
  </si>
  <si>
    <t>Oracle Linux: (CVE-2017-16646) ELSA-2018-4071: Unbreakable Enterprise kernel security update</t>
  </si>
  <si>
    <t>drivers/media/usb/dvb-usb/dib0700_devices.c in the Linux kernel through 4.13.11 allows local users to cause a denial of service (BUG and system crash) or possibly have unspecified other impact via a crafted USB device.</t>
  </si>
  <si>
    <t>Vulnerable OS: Oracle Linux 7.9_x000D_
_x000D_
_x000D_
Vulnerable software installed: Linux kernel-uek 4.1.12-94.3.9.el7uek_x000D_
_x000D_
 * Required patch [CVE-2017-16646] is not installed, no patches discovered._x000D_
_x000D_
_x000D_
 * _x000D_
      kernel-uek-firmware - version 4.1.12-94.3.9.el7uek is installed</t>
  </si>
  <si>
    <t>CVE-2017-16646</t>
  </si>
  <si>
    <t>http://nvd.nist.gov/vuln/detail/CVE-2017-16646</t>
  </si>
  <si>
    <t>oracle_linux-cve-2017-16650</t>
  </si>
  <si>
    <t>Oracle Linux: (CVE-2017-16650) (Multiple Advisories): Unbreakable Enterprise kernel security update</t>
  </si>
  <si>
    <t>The qmi_wwan_bind function in drivers/net/usb/qmi_wwan.c in the Linux kernel through 4.13.11 allows local users to cause a denial of service (divide-by-zero error and system crash) or possibly have unspecified other impact via a crafted USB device.</t>
  </si>
  <si>
    <t>Vulnerable OS: Oracle Linux 7.9_x000D_
_x000D_
_x000D_
Vulnerable software installed: Linux kernel-uek 4.1.12-94.3.9.el7uek_x000D_
_x000D_
 * Required patch [CVE-2017-16650] is not installed, no patches discovered._x000D_
_x000D_
_x000D_
 * _x000D_
      kernel-uek-firmware - version 4.1.12-94.3.9.el7uek is installed</t>
  </si>
  <si>
    <t>CVE-2017-16650</t>
  </si>
  <si>
    <t>http://nvd.nist.gov/vuln/detail/CVE-2017-16650</t>
  </si>
  <si>
    <t>oracle_linux-cve-2017-16939</t>
  </si>
  <si>
    <t>Oracle Linux: (CVE-2017-16939) (Multiple Advisories): Unbreakable Enterprise kernel security update</t>
  </si>
  <si>
    <t>The XFRM dump policy implementation in net/xfrm/xfrm_user.c in the Linux kernel before 4.13.11 allows local users to gain privileges or cause a denial of service (use-after-free) via a crafted SO_RCVBUF setsockopt system call in conjunction with XFRM_MSG_GETPOLICY Netlink messages.</t>
  </si>
  <si>
    <t>Vulnerable OS: Oracle Linux 7.9_x000D_
_x000D_
_x000D_
Vulnerable software installed: Linux kernel-uek 4.1.12-94.3.9.el7uek_x000D_
_x000D_
 * Required patch [CVE-2017-16939] is not installed, no patches discovered._x000D_
_x000D_
_x000D_
 * _x000D_
      kernel-uek-firmware - version 4.1.12-94.3.9.el7uek is installed</t>
  </si>
  <si>
    <t>CVE-2017-16939</t>
  </si>
  <si>
    <t>http://nvd.nist.gov/vuln/detail/CVE-2017-16939</t>
  </si>
  <si>
    <t>http://www.exploit-db.com/exploits/44049</t>
  </si>
  <si>
    <t>oracle_linux-cve-2017-16994</t>
  </si>
  <si>
    <t>Oracle Linux: (CVE-2017-16994) ELSA-2018-4108: Unbreakable Enterprise kernel security update</t>
  </si>
  <si>
    <t>The walk_hugetlb_range function in mm/pagewalk.c in the Linux kernel before 4.14.2 mishandles holes in hugetlb ranges, which allows local users to obtain sensitive information from uninitialized kernel memory via crafted use of the mincore() system call.</t>
  </si>
  <si>
    <t>Vulnerable OS: Oracle Linux 7.9_x000D_
_x000D_
_x000D_
Vulnerable software installed: Linux kernel-uek 4.1.12-94.3.9.el7uek_x000D_
_x000D_
 * Required patch [CVE-2017-16994] is not installed, no patches discovered._x000D_
_x000D_
_x000D_
 * _x000D_
      kernel-uek-firmware - version 4.1.12-94.3.9.el7uek is installed</t>
  </si>
  <si>
    <t>CVE-2017-16994</t>
  </si>
  <si>
    <t>http://nvd.nist.gov/vuln/detail/CVE-2017-16994</t>
  </si>
  <si>
    <t>http://www.exploit-db.com/exploits/43178</t>
  </si>
  <si>
    <t>oracle_linux-cve-2017-17052</t>
  </si>
  <si>
    <t>Oracle Linux: (CVE-2017-17052) (Multiple Advisories): Unbreakable Enterprise kernel security update</t>
  </si>
  <si>
    <t>The mm_init function in kernel/fork.c in the Linux kernel before 4.12.10 does not clear the -&gt;exe_file member of a new process's mm_struct, allowing a local attacker to achieve a use-after-free or possibly have unspecified other impact by running a specially crafted program.</t>
  </si>
  <si>
    <t>Vulnerable OS: Oracle Linux 7.9_x000D_
_x000D_
_x000D_
Vulnerable software installed: Linux kernel-uek 4.1.12-94.3.9.el7uek_x000D_
_x000D_
 * Required patch [CVE-2017-17052] is not installed, no patches discovered._x000D_
_x000D_
_x000D_
 * _x000D_
      kernel-uek-firmware - version 4.1.12-94.3.9.el7uek is installed</t>
  </si>
  <si>
    <t>CVE-2017-17052</t>
  </si>
  <si>
    <t>http://nvd.nist.gov/vuln/detail/CVE-2017-17052</t>
  </si>
  <si>
    <t>oracle_linux-cve-2017-17448</t>
  </si>
  <si>
    <t>Oracle Linux: (CVE-2017-17448) (Multiple Advisories): Unbreakable Enterprise kernel security update</t>
  </si>
  <si>
    <t>net/netfilter/nfnetlink_cthelper.c in the Linux kernel through 4.14.4 does not require the CAP_NET_ADMIN capability for new, get, and del operations, which allows local users to bypass intended access restrictions because the nfnl_cthelper_list data structure is shared across all net namespaces.</t>
  </si>
  <si>
    <t>Vulnerable OS: Oracle Linux 7.9_x000D_
_x000D_
_x000D_
Vulnerable software installed: Linux kernel-uek 4.1.12-94.3.9.el7uek_x000D_
_x000D_
 * Required patch [CVE-2017-17448] is not installed, no patches discovered._x000D_
_x000D_
_x000D_
 * _x000D_
      kernel-uek-firmware - version 4.1.12-94.3.9.el7uek is installed</t>
  </si>
  <si>
    <t>CVE-2017-17448</t>
  </si>
  <si>
    <t>http://nvd.nist.gov/vuln/detail/CVE-2017-17448</t>
  </si>
  <si>
    <t>oracle_linux-cve-2017-17449</t>
  </si>
  <si>
    <t>Oracle Linux: (CVE-2017-17449) (Multiple Advisories): Unbreakable Enterprise kernel security update</t>
  </si>
  <si>
    <t>The __netlink_deliver_tap_skb function in net/netlink/af_netlink.c in the Linux kernel through 4.14.4, when CONFIG_NLMON is enabled, does not restrict observations of Netlink messages to a single net namespace, which allows local users to obtain sensitive information by leveraging the CAP_NET_ADMIN capability to sniff an nlmon interface for all Netlink activity on the system.</t>
  </si>
  <si>
    <t>Vulnerable OS: Oracle Linux 7.9_x000D_
_x000D_
_x000D_
Vulnerable software installed: Linux kernel-uek 4.1.12-94.3.9.el7uek_x000D_
_x000D_
 * Required patch [CVE-2017-17449] is not installed, no patches discovered._x000D_
_x000D_
_x000D_
 * _x000D_
      kernel-uek-firmware - version 4.1.12-94.3.9.el7uek is installed</t>
  </si>
  <si>
    <t>CVE-2017-17449</t>
  </si>
  <si>
    <t>http://nvd.nist.gov/vuln/detail/CVE-2017-17449</t>
  </si>
  <si>
    <t>oracle_linux-cve-2017-17712</t>
  </si>
  <si>
    <t>Oracle Linux: (CVE-2017-17712) (Multiple Advisories): Unbreakable Enterprise kernel security update</t>
  </si>
  <si>
    <t>The raw_sendmsg() function in net/ipv4/raw.c in the Linux kernel through 4.14.6 has a race condition in inet-&gt;hdrincl that leads to uninitialized stack pointer usage; this allows a local user to execute code and gain privileges.</t>
  </si>
  <si>
    <t>Vulnerable OS: Oracle Linux 7.9_x000D_
_x000D_
_x000D_
Vulnerable software installed: Linux kernel-uek 4.1.12-94.3.9.el7uek_x000D_
_x000D_
 * Required patch [CVE-2017-17712] is not installed, no patches discovered._x000D_
_x000D_
_x000D_
 * _x000D_
      kernel-uek-firmware - version 4.1.12-94.3.9.el7uek is installed</t>
  </si>
  <si>
    <t>CVE-2017-17712</t>
  </si>
  <si>
    <t>http://nvd.nist.gov/vuln/detail/CVE-2017-17712</t>
  </si>
  <si>
    <t>oracle_linux-cve-2017-17741</t>
  </si>
  <si>
    <t>Oracle Linux: (CVE-2017-17741) (Multiple Advisories): Unbreakable Enterprise kernel security update</t>
  </si>
  <si>
    <t>The KVM implementation in the Linux kernel through 4.14.7 allows attackers to obtain potentially sensitive information from kernel memory, aka a write_mmio stack-based out-of-bounds read, related to arch/x86/kvm/x86.c and include/trace/events/kvm.h.</t>
  </si>
  <si>
    <t>Vulnerable OS: Oracle Linux 7.9_x000D_
_x000D_
_x000D_
Vulnerable software installed: Linux kernel-uek 4.1.12-94.3.9.el7uek_x000D_
_x000D_
 * Required patch [CVE-2017-17741] is not installed, no patches discovered._x000D_
_x000D_
_x000D_
 * _x000D_
      kernel-uek-firmware - version 4.1.12-94.3.9.el7uek is installed</t>
  </si>
  <si>
    <t>CVE-2017-17741</t>
  </si>
  <si>
    <t>http://nvd.nist.gov/vuln/detail/CVE-2017-17741</t>
  </si>
  <si>
    <t>oracle_linux-cve-2017-17805</t>
  </si>
  <si>
    <t>Oracle Linux: (CVE-2017-17805) (Multiple Advisories): kernel security and bug fix update</t>
  </si>
  <si>
    <t>The Salsa20 encryption algorithm in the Linux kernel before 4.14.8 does not correctly handle zero-length inputs, allowing a local attacker able to use the AF_ALG-based skcipher interface (CONFIG_CRYPTO_USER_API_SKCIPHER) to cause a denial of service (uninitialized-memory free and kernel crash) or have unspecified other impact by executing a crafted sequence of system calls that use the blkcipher_walk API. Both the generic implementation (crypto/salsa20_generic.c) and x86 implementation (arch/x86/crypto/salsa20_glue.c) of Salsa20 were vulnerable.</t>
  </si>
  <si>
    <t>Vulnerable OS: Oracle Linux 7.9_x000D_
_x000D_
_x000D_
Vulnerable software installed: Linux kernel-uek 4.1.12-94.3.9.el7uek_x000D_
_x000D_
 * Required patch [CVE-2017-17805] is not installed, no patches discovered._x000D_
_x000D_
_x000D_
 * _x000D_
      kernel-uek-firmware - version 4.1.12-94.3.9.el7uek is installed</t>
  </si>
  <si>
    <t>CVE-2017-17805</t>
  </si>
  <si>
    <t>http://nvd.nist.gov/vuln/detail/CVE-2017-17805</t>
  </si>
  <si>
    <t>oracle_linux-cve-2017-17806</t>
  </si>
  <si>
    <t>Oracle Linux: (CVE-2017-17806) (Multiple Advisories): Unbreakable Enterprise kernel security update</t>
  </si>
  <si>
    <t>The HMAC implementation (crypto/hmac.c) in the Linux kernel before 4.14.8 does not validate that the underlying cryptographic hash algorithm is unkeyed, allowing a local attacker able to use the AF_ALG-based hash interface (CONFIG_CRYPTO_USER_API_HASH) and the SHA-3 hash algorithm (CONFIG_CRYPTO_SHA3) to cause a kernel stack buffer overflow by executing a crafted sequence of system calls that encounter a missing SHA-3 initialization.</t>
  </si>
  <si>
    <t>Vulnerable OS: Oracle Linux 7.9_x000D_
_x000D_
_x000D_
Vulnerable software installed: Linux kernel-uek 4.1.12-94.3.9.el7uek_x000D_
_x000D_
 * Required patch [CVE-2017-17806] is not installed, no patches discovered._x000D_
_x000D_
_x000D_
 * _x000D_
      kernel-uek-firmware - version 4.1.12-94.3.9.el7uek is installed</t>
  </si>
  <si>
    <t>CVE-2017-17806</t>
  </si>
  <si>
    <t>http://nvd.nist.gov/vuln/detail/CVE-2017-17806</t>
  </si>
  <si>
    <t>oracle_linux-cve-2017-17807</t>
  </si>
  <si>
    <t>Oracle Linux: (CVE-2017-17807) (Multiple Advisories): kernel security, bug fix, and enhancement update</t>
  </si>
  <si>
    <t>The KEYS subsystem in the Linux kernel before 4.14.6 omitted an access-control check when adding a key to the current task's "default request-key keyring" via the request_key() system call, allowing a local user to use a sequence of crafted system calls to add keys to a keyring with only Search permission (not Write permission) to that keyring, related to construct_get_dest_keyring() in security/keys/request_key.c.</t>
  </si>
  <si>
    <t>Vulnerable OS: Oracle Linux 7.9_x000D_
_x000D_
_x000D_
Vulnerable software installed: Linux kernel-uek 4.1.12-94.3.9.el7uek_x000D_
_x000D_
 * Required patch [CVE-2017-17807] is not installed, no patches discovered._x000D_
_x000D_
_x000D_
 * _x000D_
      kernel-uek-firmware - version 4.1.12-94.3.9.el7uek is installed</t>
  </si>
  <si>
    <t>CVE-2017-17807</t>
  </si>
  <si>
    <t>http://nvd.nist.gov/vuln/detail/CVE-2017-17807</t>
  </si>
  <si>
    <t>oracle_linux-cve-2017-18017</t>
  </si>
  <si>
    <t>Oracle Linux: (CVE-2017-18017) (Multiple Advisories): Unbreakable Enterprise kernel security update</t>
  </si>
  <si>
    <t>The tcpmss_mangle_packet function in net/netfilter/xt_TCPMSS.c in the Linux kernel before 4.11, and 4.9.x before 4.9.36, allows remote attackers to cause a denial of service (use-after-free and memory corruption) or possibly have unspecified other impact by leveraging the presence of xt_TCPMSS in an iptables action.</t>
  </si>
  <si>
    <t>Vulnerable OS: Oracle Linux 7.9_x000D_
_x000D_
_x000D_
Vulnerable software installed: Linux kernel-uek 4.1.12-94.3.9.el7uek_x000D_
_x000D_
 * Required patch [CVE-2017-18017] is not installed, no patches discovered._x000D_
_x000D_
_x000D_
 * _x000D_
      kernel-uek-firmware - version 4.1.12-94.3.9.el7uek is installed</t>
  </si>
  <si>
    <t>CVE-2017-18017</t>
  </si>
  <si>
    <t>http://nvd.nist.gov/vuln/detail/CVE-2017-18017</t>
  </si>
  <si>
    <t>oracle_linux-cve-2017-18079</t>
  </si>
  <si>
    <t>Oracle Linux: (CVE-2017-18079) (Multiple Advisories): Unbreakable Enterprise kernel security update</t>
  </si>
  <si>
    <t>drivers/input/serio/i8042.c in the Linux kernel before 4.12.4 allows attackers to cause a denial of service (NULL pointer dereference and system crash) or possibly have unspecified other impact because the port-&gt;exists value can change after it is validated.</t>
  </si>
  <si>
    <t>Vulnerable OS: Oracle Linux 7.9_x000D_
_x000D_
_x000D_
Vulnerable software installed: Linux kernel-uek 4.1.12-94.3.9.el7uek_x000D_
_x000D_
 * Required patch [CVE-2017-18079] is not installed, no patches discovered._x000D_
_x000D_
_x000D_
 * _x000D_
      kernel-uek-firmware - version 4.1.12-94.3.9.el7uek is installed</t>
  </si>
  <si>
    <t>CVE-2017-18079</t>
  </si>
  <si>
    <t>http://nvd.nist.gov/vuln/detail/CVE-2017-18079</t>
  </si>
  <si>
    <t>oracle_linux-cve-2017-18174</t>
  </si>
  <si>
    <t>Oracle Linux: (CVE-2017-18174) ELSA-2019-4315: Unbreakable Enterprise kernel security update</t>
  </si>
  <si>
    <t>In the Linux kernel before 4.7, the amd_gpio_remove function in drivers/pinctrl/pinctrl-amd.c calls the pinctrl_unregister function, leading to a double free.</t>
  </si>
  <si>
    <t>Vulnerable OS: Oracle Linux 7.9_x000D_
_x000D_
_x000D_
Vulnerable software installed: Linux kernel-uek 4.1.12-94.3.9.el7uek_x000D_
_x000D_
 * Required patch [CVE-2017-18174] is not installed, no patches discovered._x000D_
_x000D_
_x000D_
 * _x000D_
      kernel-uek-firmware - version 4.1.12-94.3.9.el7uek is installed</t>
  </si>
  <si>
    <t>CVE-2017-18174</t>
  </si>
  <si>
    <t>http://nvd.nist.gov/vuln/detail/CVE-2017-18174</t>
  </si>
  <si>
    <t>oracle_linux-cve-2017-18203</t>
  </si>
  <si>
    <t>Oracle Linux: (CVE-2017-18203) (Multiple Advisories): Unbreakable Enterprise kernel security update</t>
  </si>
  <si>
    <t>The dm_get_from_kobject function in drivers/md/dm.c in the Linux kernel before 4.14.3 allow local users to cause a denial of service (BUG) by leveraging a race condition with __dm_destroy during creation and removal of DM devices.</t>
  </si>
  <si>
    <t>Vulnerable OS: Oracle Linux 7.9_x000D_
_x000D_
_x000D_
Vulnerable software installed: Linux kernel-uek 4.1.12-94.3.9.el7uek_x000D_
_x000D_
 * Required patch [CVE-2017-18203] is not installed, no patches discovered._x000D_
_x000D_
_x000D_
 * _x000D_
      kernel-uek-firmware - version 4.1.12-94.3.9.el7uek is installed</t>
  </si>
  <si>
    <t>CVE-2017-18203</t>
  </si>
  <si>
    <t>http://nvd.nist.gov/vuln/detail/CVE-2017-18203</t>
  </si>
  <si>
    <t>oracle_linux-cve-2017-18208</t>
  </si>
  <si>
    <t>Oracle Linux: (CVE-2017-18208) (Multiple Advisories): Unbreakable Enterprise kernel security update</t>
  </si>
  <si>
    <t>The madvise_willneed function in mm/madvise.c in the Linux kernel before 4.14.4 allows local users to cause a denial of service (infinite loop) by triggering use of MADVISE_WILLNEED for a DAX mapping.</t>
  </si>
  <si>
    <t>Vulnerable OS: Oracle Linux 7.9_x000D_
_x000D_
_x000D_
Vulnerable software installed: Linux kernel-uek 4.1.12-94.3.9.el7uek_x000D_
_x000D_
 * Required patch [CVE-2017-18208] is not installed, no patches discovered._x000D_
_x000D_
_x000D_
 * _x000D_
      kernel-uek-firmware - version 4.1.12-94.3.9.el7uek is installed</t>
  </si>
  <si>
    <t>CVE-2017-18208</t>
  </si>
  <si>
    <t>http://nvd.nist.gov/vuln/detail/CVE-2017-18208</t>
  </si>
  <si>
    <t>oracle_linux-cve-2017-18221</t>
  </si>
  <si>
    <t>Oracle Linux: (CVE-2017-18221) ELSA-2019-4315: Unbreakable Enterprise kernel security update</t>
  </si>
  <si>
    <t>The __munlock_pagevec function in mm/mlock.c in the Linux kernel before 4.11.4 allows local users to cause a denial of service (NR_MLOCK accounting corruption) via crafted use of mlockall and munlockall system calls.</t>
  </si>
  <si>
    <t>Vulnerable OS: Oracle Linux 7.9_x000D_
_x000D_
_x000D_
Vulnerable software installed: Linux kernel-uek 4.1.12-94.3.9.el7uek_x000D_
_x000D_
 * Required patch [CVE-2017-18221] is not installed, no patches discovered._x000D_
_x000D_
_x000D_
 * _x000D_
      kernel-uek-firmware - version 4.1.12-94.3.9.el7uek is installed</t>
  </si>
  <si>
    <t>CVE-2017-18221</t>
  </si>
  <si>
    <t>http://nvd.nist.gov/vuln/detail/CVE-2017-18221</t>
  </si>
  <si>
    <t>oracle_linux-cve-2017-18255</t>
  </si>
  <si>
    <t>Oracle Linux: (CVE-2017-18255) ELSA-2019-4315: Unbreakable Enterprise kernel security update</t>
  </si>
  <si>
    <t>The perf_cpu_time_max_percent_handler function in kernel/events/core.c in the Linux kernel before 4.11 allows local users to cause a denial of service (integer overflow) or possibly have unspecified other impact via a large value, as demonstrated by an incorrect sample-rate calculation.</t>
  </si>
  <si>
    <t>Vulnerable OS: Oracle Linux 7.9_x000D_
_x000D_
_x000D_
Vulnerable software installed: Linux kernel-uek 4.1.12-94.3.9.el7uek_x000D_
_x000D_
 * Required patch [CVE-2017-18255] is not installed, no patches discovered._x000D_
_x000D_
_x000D_
 * _x000D_
      kernel-uek-firmware - version 4.1.12-94.3.9.el7uek is installed</t>
  </si>
  <si>
    <t>CVE-2017-18255</t>
  </si>
  <si>
    <t>http://nvd.nist.gov/vuln/detail/CVE-2017-18255</t>
  </si>
  <si>
    <t>oracle_linux-cve-2017-18344</t>
  </si>
  <si>
    <t>Oracle Linux: (CVE-2017-18344) (Multiple Advisories): kernel security, bug fix, and enhancement update</t>
  </si>
  <si>
    <t>The timer_create syscall implementation in kernel/time/posix-timers.c in the Linux kernel before 4.14.8 doesn't properly validate the sigevent-&gt;sigev_notify field, which leads to out-of-bounds access in the show_timer function (called when /proc/$PID/timers is read). This allows userspace applications to read arbitrary kernel memory (on a kernel built with CONFIG_POSIX_TIMERS and CONFIG_CHECKPOINT_RESTORE).</t>
  </si>
  <si>
    <t>Vulnerable OS: Oracle Linux 7.9_x000D_
_x000D_
_x000D_
Vulnerable software installed: Linux kernel-uek 4.1.12-94.3.9.el7uek_x000D_
_x000D_
 * Required patch [CVE-2017-18344] is not installed, no patches discovered._x000D_
_x000D_
_x000D_
 * _x000D_
      kernel-uek-firmware - version 4.1.12-94.3.9.el7uek is installed</t>
  </si>
  <si>
    <t>CVE-2017-18344</t>
  </si>
  <si>
    <t>http://nvd.nist.gov/vuln/detail/CVE-2017-18344</t>
  </si>
  <si>
    <t>http://www.exploit-db.com/exploits/45175</t>
  </si>
  <si>
    <t>oracle_linux-cve-2017-18360</t>
  </si>
  <si>
    <t>Oracle Linux: (CVE-2017-18360) ELSA-2019-4642: Unbreakable Enterprise kernel security update</t>
  </si>
  <si>
    <t>In change_port_settings in drivers/usb/serial/io_ti.c in the Linux kernel before 4.11.3, local users could cause a denial of service by division-by-zero in the serial device layer by trying to set very high baud rates.</t>
  </si>
  <si>
    <t>Vulnerable OS: Oracle Linux 7.9_x000D_
_x000D_
_x000D_
Vulnerable software installed: Linux kernel-uek 4.1.12-94.3.9.el7uek_x000D_
_x000D_
 * Required patch [CVE-2017-18360] is not installed, no patches discovered._x000D_
_x000D_
_x000D_
 * _x000D_
      kernel-uek-firmware - version 4.1.12-94.3.9.el7uek is installed</t>
  </si>
  <si>
    <t>CVE-2017-18360</t>
  </si>
  <si>
    <t>http://nvd.nist.gov/vuln/detail/CVE-2017-18360</t>
  </si>
  <si>
    <t>oracle_linux-cve-2017-18551</t>
  </si>
  <si>
    <t>Oracle Linux: (CVE-2017-18551) (Multiple Advisories): kernel security, bug fix, and enhancement update</t>
  </si>
  <si>
    <t>An issue was discovered in drivers/i2c/i2c-core-smbus.c in the Linux kernel before 4.14.15. There is an out of bounds write in the function i2c_smbus_xfer_emulated.</t>
  </si>
  <si>
    <t>Vulnerable OS: Oracle Linux 7.9_x000D_
_x000D_
_x000D_
Vulnerable software installed: Linux kernel-uek 4.1.12-94.3.9.el7uek_x000D_
_x000D_
 * Required patch [CVE-2017-18551] is not installed, no patches discovered._x000D_
_x000D_
_x000D_
 * _x000D_
      kernel-uek-firmware - version 4.1.12-94.3.9.el7uek is installed</t>
  </si>
  <si>
    <t>CVE-2017-18551</t>
  </si>
  <si>
    <t>http://nvd.nist.gov/vuln/detail/CVE-2017-18551</t>
  </si>
  <si>
    <t>oracle_linux-cve-2017-18595</t>
  </si>
  <si>
    <t>Oracle Linux: (CVE-2017-18595) (Multiple Advisories): kernel security and bug fix update</t>
  </si>
  <si>
    <t>An issue was discovered in the Linux kernel before 4.14.11. A double free may be caused by the function allocate_trace_buffer in the file kernel/trace/trace.c.</t>
  </si>
  <si>
    <t>Vulnerable OS: Oracle Linux 7.9_x000D_
_x000D_
_x000D_
Vulnerable software installed: Linux kernel-uek 4.1.12-94.3.9.el7uek_x000D_
_x000D_
 * Required patch [CVE-2017-18595] is not installed, no patches discovered._x000D_
_x000D_
_x000D_
 * _x000D_
      kernel-uek-firmware - version 4.1.12-94.3.9.el7uek is installed</t>
  </si>
  <si>
    <t>CVE-2017-18595</t>
  </si>
  <si>
    <t>http://nvd.nist.gov/vuln/detail/CVE-2017-18595</t>
  </si>
  <si>
    <t>oracle_linux-cve-2017-2618</t>
  </si>
  <si>
    <t>Oracle Linux: (CVE-2017-2618) (Multiple Advisories): Unbreakable Enterprise kernel security and bugfix update</t>
  </si>
  <si>
    <t>A flaw was found in the Linux kernel's handling of clearing SELinux attributes on /proc/pid/attr files before 4.9.10. An empty (null) write to this file can crash the system by causing the system to attempt to access unmapped kernel memory.</t>
  </si>
  <si>
    <t>Vulnerable OS: Oracle Linux 7.9_x000D_
_x000D_
_x000D_
Vulnerable software installed: Linux kernel-uek 4.1.12-94.3.9.el7uek_x000D_
_x000D_
 * Required patch [CVE-2017-2618] is not installed, no patches discovered._x000D_
_x000D_
_x000D_
 * _x000D_
      kernel-uek-firmware - version 4.1.12-94.3.9.el7uek is installed</t>
  </si>
  <si>
    <t>CVE-2017-2618</t>
  </si>
  <si>
    <t>http://nvd.nist.gov/vuln/detail/CVE-2017-2618</t>
  </si>
  <si>
    <t>oracle_linux-cve-2017-5715</t>
  </si>
  <si>
    <t>Oracle Linux: (CVE-2017-5715) (Multiple Advisories): edk2 security update</t>
  </si>
  <si>
    <t>* AAVMF on Oracle Linux_x000D_
      Upgrade AAVMF_x000D_
_x000D_
       Update AAVMF using yum or up2date. Please note that customers with support can use the  Unbreakable Linux Network (ULN) (https://linux.oracle.com) , and customers without support can use the  publicly available Oracle Linux yum repositories (http://public-yum.oracle.com) . _x000D_
_x000D_
_x000D_
 *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edk2 on Oracle Linux_x000D_
      Upgrade edk2_x000D_
_x000D_
       Update edk2 using yum or up2date. Please note that customers with support can use the  Unbreakable Linux Network (ULN) (https://linux.oracle.com) , and customers without support can use the  publicly available Oracle Linux yum repositories (http://public-yum.oracle.com) . _x000D_
_x000D_
_x000D_
 * ivshmem-tools on Oracle Linux_x000D_
      Upgrade ivshmem-tools_x000D_
_x000D_
       Update ivshmem-tools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libvirt on Oracle Linux_x000D_
      Upgrade libvirt_x000D_
_x000D_
       Update libvirt using yum or up2date. Please note that customers with support can use the  Unbreakable Linux Network (ULN) (https://linux.oracle.com) , and customers without support can use the  publicly available Oracle Linux yum repositories (http://public-yum.oracle.com) . _x000D_
_x000D_
_x000D_
 * libvirt-admin on Oracle Linux_x000D_
      Upgrade libvirt-admin_x000D_
_x000D_
       Update libvirt-admin using yum or up2date. Please note that customers with support can use the  Unbreakable Linux Network (ULN) (https://linux.oracle.com) , and customers without support can use the  publicly available Oracle Linux yum repositories (http://public-yum.oracle.com) . _x000D_
_x000D_
_x000D_
 * libvirt-client on Oracle Linux_x000D_
      Upgrade libvirt-client_x000D_
_x000D_
       Update libvirt-client using yum or up2date. Please note that customers with support can use the  Unbreakable Linux Network (ULN) (https://linux.oracle.com) , and customers without support can use the  publicly available Oracle Linux yum repositories (http://public-yum.oracle.com) . _x000D_
_x000D_
_x000D_
 * libvirt-daemon on Oracle Linux_x000D_
      Upgrade libvirt-daemon_x000D_
_x000D_
       Update libvirt-daemon using yum or up2date. Please note that customers with support can use the  Unbreakable Linux Network (ULN) (https://linux.oracle.com) , and customers without support can use the  publicly available Oracle Linux yum repositories (http://public-yum.oracle.com) . _x000D_
_x000D_
_x000D_
 * libvirt-daemon-config-network on Oracle Linux_x000D_
      Upgrade libvirt-daemon-config-network_x000D_
_x000D_
       Update libvirt-daemon-config-network using yum or up2date. Please note that customers with support can use the  Unbreakable Linux Network (ULN) (https://linux.oracle.com) , and customers without support can use the  publicly available Oracle Linux yum repositories (http://public-yum.oracle.com) . _x000D_
_x000D_
_x000D_
 * libvirt-daemon-config-nwfilter on Oracle Linux_x000D_
      Upgrade libvirt-daemon-config-nwfilter_x000D_
_x000D_
       Update libvirt-daemon-config-nwfilter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libvirt-daemon-driver-interface on Oracle Linux_x000D_
      Upgrade libvirt-daemon-driver-interface_x000D_
_x000D_
       Update libvirt-daemon-driver-interface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libvirt-daemon-driver-lxc on Oracle Linux_x000D_
      Upgrade libvirt-daemon-driver-lxc_x000D_
_x000D_
       Update libvirt-daemon-driver-lxc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libvirt-daemon-driver-network on Oracle Linux_x000D_
      Upgrade libvirt-daemon-driver-network_x000D_
_x000D_
       Update libvirt-daemon-driver-network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libvirt-daemon-driver-nodedev on Oracle Linux_x000D_
      Upgrade libvirt-daemon-driver-nodedev_x000D_
_x000D_
       Update libvirt-daemon-driver-nodedev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libvirt-daemon-driver-nwfilter on Oracle Linux_x000D_
      Upgrade libvirt-daemon-driver-nwfilter_x000D_
_x000D_
       Update libvirt-daemon-driver-nwfilter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libvirt-daemon-driver-qemu on Oracle Linux_x000D_
      Upgrade libvirt-daemon-driver-qemu_x000D_
_x000D_
       Update libvirt-daemon-driver-qemu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libvirt-daemon-driver-secret on Oracle Linux_x000D_
      Upgrade libvirt-daemon-driver-secret_x000D_
_x000D_
       Update libvirt-daemon-driver-secret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 on Oracle Linux_x000D_
      Upgrade libvirt-daemon-driver-storage_x000D_
_x000D_
       Update libvirt-daemon-driver-storage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libvirt-daemon-driver-storage-core on Oracle Linux_x000D_
      Upgrade libvirt-daemon-driver-storage-core_x000D_
_x000D_
       Update libvirt-daemon-driver-storage-core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libvirt-daemon-driver-storage-disk on Oracle Linux_x000D_
      Upgrade libvirt-daemon-driver-storage-disk_x000D_
_x000D_
       Update libvirt-daemon-driver-storage-disk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libvirt-daemon-driver-storage-gluster on Oracle Linux_x000D_
      Upgrade libvirt-daemon-driver-storage-gluster_x000D_
_x000D_
       Update libvirt-daemon-driver-storage-gluster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libvirt-daemon-driver-storage-iscsi on Oracle Linux_x000D_
      Upgrade libvirt-daemon-driver-storage-iscsi_x000D_
_x000D_
       Update libvirt-daemon-driver-storage-iscsi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libvirt-daemon-driver-storage-logical on Oracle Linux_x000D_
      Upgrade libvirt-daemon-driver-storage-logical_x000D_
_x000D_
       Update libvirt-daemon-driver-storage-logical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libvirt-daemon-driver-storage-mpath on Oracle Linux_x000D_
      Upgrade libvirt-daemon-driver-storage-mpath_x000D_
_x000D_
       Update libvirt-daemon-driver-storage-mpath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libvirt-daemon-driver-storage-rbd on Oracle Linux_x000D_
      Upgrade libvirt-daemon-driver-storage-rbd_x000D_
_x000D_
       Update libvirt-daemon-driver-storage-rbd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libvirt-daemon-driver-storage-scsi on Oracle Linux_x000D_
      Upgrade libvirt-daemon-driver-storage-scsi_x000D_
_x000D_
       Update libvirt-daemon-driver-storage-scsi using yum or up2date. Please note that customers with support can use the  Unbreakable Linux Network (ULN) (https://linux.oracle.com) , and customers without support can use the  publicly available Oracle Linux yum repositories (http://public-yum.oracle.com) . _x000D_
_x000D_
_x000D_
 * libvirt-daemon-kvm on Oracle Linux_x000D_
      Upgrade libvirt-daemon-kvm_x000D_
_x000D_
       Update libvirt-daemon-kvm using yum or up2date. Please note that customers with support can use the  Unbreakable Linux Network (ULN) (https://linux.oracle.com) , and customers without support can use the  publicly available Oracle Linux yum repositories (http://public-yum.oracle.com) . _x000D_
_x000D_
_x000D_
 * libvirt-daemon-lxc on Oracle Linux_x000D_
      Upgrade libvirt-daemon-lxc_x000D_
_x000D_
       Update libvirt-daemon-lxc using yum or up2date. Please note that customers with support can use the  Unbreakable Linux Network (ULN) (https://linux.oracle.com) , and customers without support can use the  publicly available Oracle Linux yum repositories (http://public-yum.oracle.com) . _x000D_
_x000D_
_x000D_
 * libvirt-devel on Oracle Linux_x000D_
      Upgrade libvirt-devel_x000D_
_x000D_
       Update libvirt-devel using yum or up2date. Please note that customers with support can use the  Unbreakable Linux Network (ULN) (https://linux.oracle.com) , and customers without support can use the  publicly available Oracle Linux yum repositories (http://public-yum.oracle.com) . _x000D_
_x000D_
_x000D_
 * libvirt-docs on Oracle Linux_x000D_
      Upgrade libvirt-docs_x000D_
_x000D_
       Update libvirt-docs using yum or up2date. Please note that customers with support can use the  Unbreakable Linux Network (ULN) (https://linux.oracle.com) , and customers without support can use the  publicly available Oracle Linux yum repositories (http://public-yum.oracle.com) . _x000D_
_x000D_
_x000D_
 * libvirt-libs on Oracle Linux_x000D_
      Upgrade libvirt-libs_x000D_
_x000D_
       Update libvirt-libs using yum or up2date. Please note that customers with support can use the  Unbreakable Linux Network (ULN) (https://linux.oracle.com) , and customers without support can use the  publicly available Oracle Linux yum repositories (http://public-yum.oracle.com) . _x000D_
_x000D_
_x000D_
 * libvirt-lock-sanlock on Oracle Linux_x000D_
      Upgrade libvirt-lock-sanlock_x000D_
_x000D_
       Update libvirt-lock-sanlock using yum or up2date. Please note that customers with support can use the  Unbreakable Linux Network (ULN) (https://linux.oracle.com) , and customers without support can use the  publicly available Oracle Linux yum repositories (http://public-yum.oracle.com) . _x000D_
_x000D_
_x000D_
 * libvirt-login-shell on Oracle Linux_x000D_
      Upgrade libvirt-login-shell_x000D_
_x000D_
       Update libvirt-login-shell using yum or up2date. Please note that customers with support can use the  Unbreakable Linux Network (ULN) (https://linux.oracle.com) , and customers without support can use the  publicly available Oracle Linux yum repositories (http://public-yum.oracle.com) . _x000D_
_x000D_
_x000D_
 * libvirt-nss on Oracle Linux_x000D_
      Upgrade libvirt-nss_x000D_
_x000D_
       Update libvirt-nss using yum or up2date. Please note that customers with support can use the  Unbreakable Linux Network (ULN) (https://linux.oracle.com) , and customers without support can use the  publicly available Oracle Linux yum repositories (http://public-yum.oracle.com) . _x000D_
_x000D_
_x000D_
 * libvirt-python on Oracle Linux_x000D_
      Upgrade libvirt-python_x000D_
_x000D_
       Update libvirt-python using yum or up2date. Please note that customers with support can use the  Unbreakable Linux Network (ULN) (https://l</t>
  </si>
  <si>
    <t>Vulnerable OS: Oracle Linux 7.9
Vulnerable software installed: Linux kernel-uek 4.1.12-94.3.9.el7uek
 * Required patch [CVE-2017-5715] is not installed, no patches discovered.
 * 
      kernel-uek-firmware - version 4.1.12-94.3.9.el7uek is installed</t>
  </si>
  <si>
    <t>oracle_linux-cve-2017-5753</t>
  </si>
  <si>
    <t>Oracle Linux: (CVE-2017-5753) (Multiple Advisories): edk2 security update</t>
  </si>
  <si>
    <t>* AAVMF on Oracle Linux_x000D_
      Upgrade AAVMF_x000D_
_x000D_
       Update AAVMF using yum or up2date. Please note that customers with support can use the  Unbreakable Linux Network (ULN) (https://linux.oracle.com) , and customers without support can use the  publicly available Oracle Linux yum repositories (http://public-yum.oracle.com) . _x000D_
_x000D_
_x000D_
 *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edk2 on Oracle Linux_x000D_
      Upgrade edk2_x000D_
_x000D_
       Update edk2 using yum or up2date. Please note that customers with support can use the  Unbreakable Linux Network (ULN) (https://linux.oracle.com) , and customers without support can use the  publicly available Oracle Linux yum repositories (http://public-yum.oracle.com) . _x000D_
_x000D_
_x000D_
 * ivshmem-tools on Oracle Linux_x000D_
      Upgrade ivshmem-tools_x000D_
_x000D_
       Update ivshmem-tools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OVMF on Oracle Linux_x000D_
      Upgrade OVMF_x000D_
_x000D_
       Update OVMF using yum or up2date. Please note that customers with support can use the  Unbreakable Linux Network (ULN) (https://linux.oracle.com) , and customers without support can use the  publicly available Oracle Linux yum repositories (http://public-yum.oracle.com) . _x000D_
_x000D_
_x000D_
 * qemu on Oracle Linux_x000D_
      Upgrade qemu_x000D_
_x000D_
       Update qemu using yum or up2date. Please note that customers with support can use the  Unbreakable Linux Network (ULN) (https://linux.oracle.com) , and customers without support can use the  publicly available Oracle Linux yum repositories (http://public-yum.oracle.com) . _x000D_
_x000D_
_x000D_
 * qemu-block-gluster on Oracle Linux_x000D_
      Upgrade qemu-block-gluster_x000D_
_x000D_
       Update qemu-block-gluster using yum or up2date. Please note that customers with support can use the  Unbreakable Linux Network (ULN) (https://linux.oracle.com) , and customers without support can use the  publicly available Oracle Linux yum repositories (http://public-yum.oracle.com) . _x000D_
_x000D_
_x000D_
 * qemu-block-iscsi on Oracle Linux_x000D_
      Upgrade qemu-block-iscsi_x000D_
_x000D_
       Update qemu-block-iscsi using yum or up2date. Please note that customers with support can use the  Unbreakable Linux Network (ULN) (https://linux.oracle.com) , and customers without support can use the  publicly available Oracle Linux yum repositories (http://public-yum.oracle.com) . _x000D_
_x000D_
_x000D_
 * qemu-block-rbd on Oracle Linux_x000D_
      Upgrade qemu-block-rbd_x000D_
_x000D_
       Update qemu-block-rbd using yum or up2date. Please note that customers with support can use the  Unbreakable Linux Network (ULN) (https://linux.oracle.com) , and customers without support can use the  publicly available Oracle Linux yum repositories (http://public-yum.oracle.com) . _x000D_
_x000D_
_x000D_
 * qemu-common on Oracle Linux_x000D_
      Upgrade qemu-common_x000D_
_x000D_
       Update qemu-common using yum or up2date. Please note that customers with support can use the  Unbreakable Linux Network (ULN) (https://linux.oracle.com) , and customers without support can use the  publicly available Oracle Linux yum repositories (http://public-yum.oracle.com) . _x000D_
_x000D_
_x000D_
 * qemu-img on Oracle Linux_x000D_
      Upgrade qemu-img_x000D_
_x000D_
       Update qemu-img using yum or up2date. Please note that customers with support can use the  Unbreakable Linux Network (ULN) (https://linux.oracle.com) , and customers without support can use the  publicly available Oracle Linux yum repositories (http://public-yum.oracle.com) . _x000D_
_x000D_
_x000D_
 * qemu-kvm on Oracle Linux_x000D_
      Upgrade qemu-kvm_x000D_
_x000D_
       Update qemu-kvm using yum or up2date. Please note that customers with support can use the  Unbreakable Linux Network (ULN) (https://linux.oracle.com) , and customers without support can use the  publicly available Oracle Linux yum repositories (http://public-yum.oracle.com) . _x000D_
_x000D_
_x000D_
 * qemu-kvm-core on Oracle Linux_x000D_
      Upgrade qemu-kvm-core_x000D_
_x000D_
       Update qemu-kvm-core using yum or up2date. Please note that customers with support can use the  Unbreakable Linux Network (ULN) (https://linux.oracle.com) , and customers without support can use the  publicly available Oracle Linux yum repositories (http://public-yum.oracle.com) . _x000D_
_x000D_
_x000D_
 * qemu-system-aarch64 on Oracle Linux_x000D_
      Upgrade qemu-system-aarch64_x000D_
_x000D_
       Update qemu-system-aarch64 using yum or up2date. Please note that customers with support can use the  Unbreakable Linux Network (ULN) (https://linux.oracle.com) , and customers without support can use the  publicly available Oracle Linux yum repositories (http://public-yum.oracle.com) . _x000D_
_x000D_
_x000D_
 * qemu-system-aarch64-core on Oracle Linux_x000D_
      Upgrade qemu-system-aarch64-core_x000D_
_x000D_
       Update qemu-system-aarch64-core using yum or up2date. Please note that customers with support can use the  Unbreakable Linux Network (ULN) (https://linux.oracle.com) , and customers without support can use the  publicly available Oracle Linux yum repositories (http://public-yum.oracle.com) . _x000D_
_x000D_
_x000D_
 * qemu-system-x86 on Oracle Linux_x000D_
      Upgrade qemu-system-x86_x000D_
_x000D_
       Update qemu-system-x86 using yum or up2date. Please note that customers with support can use the  Unbreakable Linux Network (ULN) (https://linux.oracle.com) , and customers without support can use the  publicly available Oracle Linux yum repositories (http://public-yum.oracle.com) . _x000D_
_x000D_
_x000D_
 * qemu-system-x86-core on Oracle Linux_x000D_
      Upgrade qemu-system-x86-core_x000D_
_x000D_
       Update qemu-system-x86-core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</si>
  <si>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[CVE-2017-5753] is not installed, no patches discovered._x000D_
_x000D_
_x000D_
 * _x000D_
      kernel-uek-firmware - version 4.1.12-94.3.9.el7uek is installed</t>
  </si>
  <si>
    <t>oracle_linux-cve-2017-5754</t>
  </si>
  <si>
    <t>Oracle Linux: (CVE-2017-5754) (Multiple Advisories): kernel security update</t>
  </si>
  <si>
    <t>Systems with microprocessors utilizing speculative execution and indirect branch prediction may allow unauthorized disclosure of information to an attacker with local user access via a side-channel analysis of the data cache.</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</si>
  <si>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ivshmem-tools on Oracle Linux_x000D_
      Upgrade ivshmem-tools_x000D_
_x000D_
       Update ivshmem-tools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qemu on Oracle Linux_x000D_
      Upgrade qemu_x000D_
_x000D_
       Update qemu using yum or up2date. Please note that customers with support can use the  Unbreakable Linux Network (ULN) (https://linux.oracle.com) , and customers without support can use the  publicly available Oracle Linux yum repositories (http://public-yum.oracle.com) . _x000D_
_x000D_
_x000D_
 * qemu-block-gluster on Oracle Linux_x000D_
      Upgrade qemu-block-gluster_x000D_
_x000D_
       Update qemu-block-gluster using yum or up2date. Please note that customers with support can use the  Unbreakable Linux Network (ULN) (https://linux.oracle.com) , and customers without support can use the  publicly available Oracle Linux yum repositories (http://public-yum.oracle.com) . _x000D_
_x000D_
_x000D_
 * qemu-block-iscsi on Oracle Linux_x000D_
      Upgrade qemu-block-iscsi_x000D_
_x000D_
       Update qemu-block-iscsi using yum or up2date. Please note that customers with support can use the  Unbreakable Linux Network (ULN) (https://linux.oracle.com) , and customers without support can use the  publicly available Oracle Linux yum repositories (http://public-yum.oracle.com) . _x000D_
_x000D_
_x000D_
 * qemu-block-rbd on Oracle Linux_x000D_
      Upgrade qemu-block-rbd_x000D_
_x000D_
       Update qemu-block-rbd using yum or up2date. Please note that customers with support can use the  Unbreakable Linux Network (ULN) (https://linux.oracle.com) , and customers without support can use the  publicly available Oracle Linux yum repositories (http://public-yum.oracle.com) . _x000D_
_x000D_
_x000D_
 * qemu-common on Oracle Linux_x000D_
      Upgrade qemu-common_x000D_
_x000D_
       Update qemu-common using yum or up2date. Please note that customers with support can use the  Unbreakable Linux Network (ULN) (https://linux.oracle.com) , and customers without support can use the  publicly available Oracle Linux yum repositories (http://public-yum.oracle.com) . _x000D_
_x000D_
_x000D_
 * qemu-img on Oracle Linux_x000D_
      Upgrade qemu-img_x000D_
_x000D_
       Update qemu-img using yum or up2date. Please note that customers with support can use the  Unbreakable Linux Network (ULN) (https://linux.oracle.com) , and customers without support can use the  publicly available Oracle Linux yum repositories (http://public-yum.oracle.com) . _x000D_
_x000D_
_x000D_
 * qemu-kvm on Oracle Linux_x000D_
      Upgrade qemu-kvm_x000D_
_x000D_
       Update qemu-kvm using yum or up2date. Please note that customers with support can use the  Unbreakable Linux Network (ULN) (https://linux.oracle.com) , and customers without support can use the  publicly available Oracle Linux yum repositories (http://public-yum.oracle.com) . _x000D_
_x000D_
_x000D_
 * qemu-kvm-core on Oracle Linux_x000D_
      Upgrade qemu-kvm-core_x000D_
_x000D_
       Update qemu-kvm-core using yum or up2date. Please note that customers with support can use the  Unbreakable Linux Network (ULN) (https://linux.oracle.com) , and customers without support can use the  publicly available Oracle Linux yum repositories (http://public-yum.oracle.com) . _x000D_
_x000D_
_x000D_
 * qemu-system-aarch64 on Oracle Linux_x000D_
      Upgrade qemu-system-aarch64_x000D_
_x000D_
       Update qemu-system-aarch64 using yum or up2date. Please note that customers with support can use the  Unbreakable Linux Network (ULN) (https://linux.oracle.com) , and customers without support can use the  publicly available Oracle Linux yum repositories (http://public-yum.oracle.com) . _x000D_
_x000D_
_x000D_
 * qemu-system-aarch64-core on Oracle Linux_x000D_
      Upgrade qemu-system-aarch64-core_x000D_
_x000D_
       Update qemu-system-aarch64-core using yum or up2date. Please note that customers with support can use the  Unbreakable Linux Network (ULN) (https://linux.oracle.com) , and customers without support can use the  publicly available Oracle Linux yum repositories (http://public-yum.oracle.com) . _x000D_
_x000D_
_x000D_
 * qemu-system-x86 on Oracle Linux_x000D_
      Upgrade qemu-system-x86_x000D_
_x000D_
       Update qemu-system-x86 using yum or up2date. Please note that customers with support can use the  Unbreakable Linux Network (ULN) (https://linux.oracle.com) , and customers without support can use the  publicly available Oracle Linux yum repositories (http://public-yum.oracle.com) . _x000D_
_x000D_
_x000D_
 * qemu-system-x86-core on Oracle Linux_x000D_
      Upgrade qemu-system-x86-core_x000D_
_x000D_
       Update qemu-system-x86-core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</si>
  <si>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[CVE-2017-5754] is not installed, no patches discovered._x000D_
_x000D_
_x000D_
 * _x000D_
      kernel-uek-firmware - version 4.1.12-94.3.9.el7uek is installed</t>
  </si>
  <si>
    <t>oracle_linux-cve-2017-7273</t>
  </si>
  <si>
    <t>Oracle Linux: (CVE-2017-7273) (Multiple Advisories): Unbreakable Enterprise kernel security update</t>
  </si>
  <si>
    <t>The cp_report_fixup function in drivers/hid/hid-cypress.c in the Linux kernel 4.x before 4.9.4 allows physically proximate attackers to cause a denial of service (integer underflow) or possibly have unspecified other impact via a crafted HID report.</t>
  </si>
  <si>
    <t>Vulnerable OS: Oracle Linux 7.9_x000D_
_x000D_
_x000D_
Vulnerable software installed: Linux kernel-uek 4.1.12-94.3.9.el7uek_x000D_
_x000D_
 * Required patch [CVE-2017-7273] is not installed, no patches discovered._x000D_
_x000D_
_x000D_
 * _x000D_
      kernel-uek-firmware - version 4.1.12-94.3.9.el7uek is installed</t>
  </si>
  <si>
    <t>CVE-2017-7273</t>
  </si>
  <si>
    <t>http://nvd.nist.gov/vuln/detail/CVE-2017-7273</t>
  </si>
  <si>
    <t>oracle_linux-cve-2017-7294</t>
  </si>
  <si>
    <t>Oracle Linux: (CVE-2017-7294) (Multiple Advisories): Unbreakable Enterprise kernel security update</t>
  </si>
  <si>
    <t>The vmw_surface_define_ioctl function in drivers/gpu/drm/vmwgfx/vmwgfx_surface.c in the Linux kernel through 4.10.6 does not validate addition of certain levels data, which allows local users to trigger an integer overflow and out-of-bounds write, and cause a denial of service (system hang or crash) or possibly gain privileges, via a crafted ioctl call for a /dev/dri/renderD* device.</t>
  </si>
  <si>
    <t>Vulnerable OS: Oracle Linux 7.9_x000D_
_x000D_
_x000D_
Vulnerable software installed: Linux kernel-uek 4.1.12-94.3.9.el7uek_x000D_
_x000D_
 * Required patch [CVE-2017-7294] is not installed, no patches discovered._x000D_
_x000D_
_x000D_
 * _x000D_
      kernel-uek-firmware - version 4.1.12-94.3.9.el7uek is installed</t>
  </si>
  <si>
    <t>CVE-2017-7294</t>
  </si>
  <si>
    <t>http://nvd.nist.gov/vuln/detail/CVE-2017-7294</t>
  </si>
  <si>
    <t>oracle_linux-cve-2017-7346</t>
  </si>
  <si>
    <t>Oracle Linux: (CVE-2017-7346) ELSA-2020-5670: Unbreakable Enterprise kernel security update</t>
  </si>
  <si>
    <t>The vmw_gb_surface_define_ioctl function in drivers/gpu/drm/vmwgfx/vmwgfx_surface.c in the Linux kernel through 4.10.7 does not validate certain levels data, which allows local users to cause a denial of service (system hang) via a crafted ioctl call for a /dev/dri/renderD* device.</t>
  </si>
  <si>
    <t>Vulnerable OS: Oracle Linux 7.9_x000D_
_x000D_
_x000D_
Vulnerable software installed: Linux kernel-uek 4.1.12-94.3.9.el7uek_x000D_
_x000D_
 * Required patch [CVE-2017-7346] is not installed, no patches discovered._x000D_
_x000D_
_x000D_
 * _x000D_
      kernel-uek-firmware - version 4.1.12-94.3.9.el7uek is installed</t>
  </si>
  <si>
    <t>CVE-2017-7346</t>
  </si>
  <si>
    <t>http://nvd.nist.gov/vuln/detail/CVE-2017-7346</t>
  </si>
  <si>
    <t>oracle_linux-cve-2017-7482</t>
  </si>
  <si>
    <t>Oracle Linux: (CVE-2017-7482) (Multiple Advisories): Unbreakable Enterprise kernel security update</t>
  </si>
  <si>
    <t>In the Linux kernel before version 4.12, Kerberos 5 tickets decoded when using the RXRPC keys incorrectly assumes the size of a field. This could lead to the size-remaining variable wrapping and the data pointer going over the end of the buffer. This could possibly lead to memory corruption and possible privilege escalation.</t>
  </si>
  <si>
    <t>Vulnerable OS: Oracle Linux 7.9_x000D_
_x000D_
_x000D_
Vulnerable software installed: Linux kernel-uek 4.1.12-94.3.9.el7uek_x000D_
_x000D_
 * Required patch [CVE-2017-7482] is not installed, no patches discovered._x000D_
_x000D_
_x000D_
 * _x000D_
      kernel-uek-firmware - version 4.1.12-94.3.9.el7uek is installed</t>
  </si>
  <si>
    <t>CVE-2017-7482</t>
  </si>
  <si>
    <t>http://nvd.nist.gov/vuln/detail/CVE-2017-7482</t>
  </si>
  <si>
    <t>oracle_linux-cve-2017-7495</t>
  </si>
  <si>
    <t>Oracle Linux: (CVE-2017-7495) ELSA-2019-4823: Unbreakable Enterprise kernel security update</t>
  </si>
  <si>
    <t>fs/ext4/inode.c in the Linux kernel before 4.6.2, when ext4 data=ordered mode is used, mishandles a needs-flushing-before-commit list, which allows local users to obtain sensitive information from other users' files in opportunistic circumstances by waiting for a hardware reset, creating a new file, making write system calls, and reading this file.</t>
  </si>
  <si>
    <t>Vulnerable OS: Oracle Linux 7.9_x000D_
_x000D_
_x000D_
Vulnerable software installed: Linux kernel-uek 4.1.12-94.3.9.el7uek_x000D_
_x000D_
 * Required patch [CVE-2017-7495] is not installed, no patches discovered._x000D_
_x000D_
_x000D_
 * _x000D_
      kernel-uek-firmware - version 4.1.12-94.3.9.el7uek is installed</t>
  </si>
  <si>
    <t>CVE-2017-7495</t>
  </si>
  <si>
    <t>http://nvd.nist.gov/vuln/detail/CVE-2017-7495</t>
  </si>
  <si>
    <t>oracle_linux-cve-2017-7518</t>
  </si>
  <si>
    <t>Oracle Linux: (CVE-2017-7518) (Multiple Advisories): Unbreakable Enterprise kernel security update</t>
  </si>
  <si>
    <t>A flaw was found in the Linux kernel before version 4.12 in the way the KVM module processed the trap flag(TF) bit in EFLAGS during emulation of the syscall instruction, which leads to a debug exception(#DB) being raised in the guest stack. A user/process inside a guest could use this flaw to potentially escalate their privileges inside the guest. Linux guests are not affected by this.</t>
  </si>
  <si>
    <t>Vulnerable OS: Oracle Linux 7.9_x000D_
_x000D_
_x000D_
Vulnerable software installed: Linux kernel-uek 4.1.12-94.3.9.el7uek_x000D_
_x000D_
 * Required patch [CVE-2017-7518] is not installed, no patches discovered._x000D_
_x000D_
_x000D_
 * _x000D_
      kernel-uek-firmware - version 4.1.12-94.3.9.el7uek is installed</t>
  </si>
  <si>
    <t>CVE-2017-7518</t>
  </si>
  <si>
    <t>http://nvd.nist.gov/vuln/detail/CVE-2017-7518</t>
  </si>
  <si>
    <t>oracle_linux-cve-2017-7533</t>
  </si>
  <si>
    <t>Oracle Linux: (CVE-2017-7533) (Multiple Advisories): Unbreakable Enterprise kernel security update</t>
  </si>
  <si>
    <t>Race condition in the fsnotify implementation in the Linux kernel through 4.12.4 allows local users to gain privileges or cause a denial of service (memory corruption) via a crafted application that leverages simultaneous execution of the inotify_handle_event and vfs_rename functions.</t>
  </si>
  <si>
    <t>Vulnerable OS: Oracle Linux 7.9_x000D_
_x000D_
_x000D_
Vulnerable software installed: Linux kernel-uek 4.1.12-94.3.9.el7uek_x000D_
_x000D_
 * Required patch [CVE-2017-7533] is not installed, no patches discovered._x000D_
_x000D_
_x000D_
 * _x000D_
      kernel-uek-firmware - version 4.1.12-94.3.9.el7uek is installed</t>
  </si>
  <si>
    <t>CVE-2017-7533</t>
  </si>
  <si>
    <t>http://nvd.nist.gov/vuln/detail/CVE-2017-7533</t>
  </si>
  <si>
    <t>http://www.exploit-db.com/exploits/44302</t>
  </si>
  <si>
    <t>oracle_linux-cve-2017-7541</t>
  </si>
  <si>
    <t>Oracle Linux: (CVE-2017-7541) (Multiple Advisories): kernel security and bug fix update</t>
  </si>
  <si>
    <t>The brcmf_cfg80211_mgmt_tx function in drivers/net/wireless/broadcom/brcm80211/brcmfmac/cfg80211.c in the Linux kernel before 4.12.3 allows local users to cause a denial of service (buffer overflow and system crash) or possibly gain privileges via a crafted NL80211_CMD_FRAME Netlink packet.</t>
  </si>
  <si>
    <t>Vulnerable OS: Oracle Linux 7.9_x000D_
_x000D_
_x000D_
Vulnerable software installed: Linux kernel-uek 4.1.12-94.3.9.el7uek_x000D_
_x000D_
 * Required patch [CVE-2017-7541] is not installed, no patches discovered._x000D_
_x000D_
_x000D_
 * _x000D_
      kernel-uek-firmware - version 4.1.12-94.3.9.el7uek is installed</t>
  </si>
  <si>
    <t>CVE-2017-7541</t>
  </si>
  <si>
    <t>http://nvd.nist.gov/vuln/detail/CVE-2017-7541</t>
  </si>
  <si>
    <t>oracle_linux-cve-2017-7542</t>
  </si>
  <si>
    <t>Oracle Linux: (CVE-2017-7542) (Multiple Advisories): kernel security and bug fix update</t>
  </si>
  <si>
    <t>The ip6_find_1stfragopt function in net/ipv6/output_core.c in the Linux kernel through 4.12.3 allows local users to cause a denial of service (integer overflow and infinite loop) by leveraging the ability to open a raw socket.</t>
  </si>
  <si>
    <t>Vulnerable OS: Oracle Linux 7.9_x000D_
_x000D_
_x000D_
Vulnerable software installed: Linux kernel-uek 4.1.12-94.3.9.el7uek_x000D_
_x000D_
 * Required patch [CVE-2017-7542] is not installed, no patches discovered._x000D_
_x000D_
_x000D_
 * _x000D_
      kernel-uek-firmware - version 4.1.12-94.3.9.el7uek is installed</t>
  </si>
  <si>
    <t>CVE-2017-7542</t>
  </si>
  <si>
    <t>http://nvd.nist.gov/vuln/detail/CVE-2017-7542</t>
  </si>
  <si>
    <t>oracle_linux-cve-2017-7616</t>
  </si>
  <si>
    <t>Oracle Linux: (CVE-2017-7616) (Multiple Advisories): Unbreakable Enterprise kernel security update</t>
  </si>
  <si>
    <t>Incorrect error handling in the set_mempolicy and mbind compat syscalls in mm/mempolicy.c in the Linux kernel through 4.10.9 allows local users to obtain sensitive information from uninitialized stack data by triggering failure of a certain bitmap operation.</t>
  </si>
  <si>
    <t>Vulnerable OS: Oracle Linux 7.9_x000D_
_x000D_
_x000D_
Vulnerable software installed: Linux kernel-uek 4.1.12-94.3.9.el7uek_x000D_
_x000D_
 * Required patch [CVE-2017-7616] is not installed, no patches discovered._x000D_
_x000D_
_x000D_
 * _x000D_
      kernel-uek-firmware - version 4.1.12-94.3.9.el7uek is installed</t>
  </si>
  <si>
    <t>CVE-2017-7616</t>
  </si>
  <si>
    <t>http://nvd.nist.gov/vuln/detail/CVE-2017-7616</t>
  </si>
  <si>
    <t>oracle_linux-cve-2017-7618</t>
  </si>
  <si>
    <t>Oracle Linux: (CVE-2017-7618) (Multiple Advisories): Unbreakable Enterprise kernel security and bugfix update</t>
  </si>
  <si>
    <t>crypto/ahash.c in the Linux kernel through 4.10.9 allows attackers to cause a denial of service (API operation calling its own callback, and infinite recursion) by triggering EBUSY on a full queue.</t>
  </si>
  <si>
    <t>Vulnerable OS: Oracle Linux 7.9_x000D_
_x000D_
_x000D_
Vulnerable software installed: Linux kernel-uek 4.1.12-94.3.9.el7uek_x000D_
_x000D_
 * Required patch [CVE-2017-7618] is not installed, no patches discovered._x000D_
_x000D_
_x000D_
 * _x000D_
      kernel-uek-firmware - version 4.1.12-94.3.9.el7uek is installed</t>
  </si>
  <si>
    <t>CVE-2017-7618</t>
  </si>
  <si>
    <t>http://nvd.nist.gov/vuln/detail/CVE-2017-7618</t>
  </si>
  <si>
    <t>oracle_linux-cve-2017-8824</t>
  </si>
  <si>
    <t>Oracle Linux: (CVE-2017-8824) (Multiple Advisories): Unbreakable Enterprise kernel security update</t>
  </si>
  <si>
    <t>The dccp_disconnect function in net/dccp/proto.c in the Linux kernel through 4.14.3 allows local users to gain privileges or cause a denial of service (use-after-free) via an AF_UNSPEC connect system call during the DCCP_LISTEN state.</t>
  </si>
  <si>
    <t>Vulnerable OS: Oracle Linux 7.9_x000D_
_x000D_
_x000D_
Vulnerable software installed: Linux kernel-uek 4.1.12-94.3.9.el7uek_x000D_
_x000D_
 * Required patch [CVE-2017-8824] is not installed, no patches discovered._x000D_
_x000D_
_x000D_
 * _x000D_
      kernel-uek-firmware - version 4.1.12-94.3.9.el7uek is installed</t>
  </si>
  <si>
    <t>CVE-2017-8824</t>
  </si>
  <si>
    <t>http://nvd.nist.gov/vuln/detail/CVE-2017-8824</t>
  </si>
  <si>
    <t>http://www.exploit-db.com/exploits/43234</t>
  </si>
  <si>
    <t>oracle_linux-cve-2017-8924</t>
  </si>
  <si>
    <t>Oracle Linux: (CVE-2017-8924) (Multiple Advisories): Unbreakable Enterprise kernel security update</t>
  </si>
  <si>
    <t>The edge_bulk_in_callback function in drivers/usb/serial/io_ti.c in the Linux kernel before 4.10.4 allows local users to obtain sensitive information (in the dmesg ringbuffer and syslog) from uninitialized kernel memory by using a crafted USB device (posing as an io_ti USB serial device) to trigger an integer underflow.</t>
  </si>
  <si>
    <t>Vulnerable OS: Oracle Linux 7.9_x000D_
_x000D_
_x000D_
Vulnerable software installed: Linux kernel-uek 4.1.12-94.3.9.el7uek_x000D_
_x000D_
 * Required patch [CVE-2017-8924] is not installed, no patches discovered._x000D_
_x000D_
_x000D_
 * _x000D_
      kernel-uek-firmware - version 4.1.12-94.3.9.el7uek is installed</t>
  </si>
  <si>
    <t>CVE-2017-8924</t>
  </si>
  <si>
    <t>http://nvd.nist.gov/vuln/detail/CVE-2017-8924</t>
  </si>
  <si>
    <t>oracle_linux-cve-2017-8925</t>
  </si>
  <si>
    <t>Oracle Linux: (CVE-2017-8925) (Multiple Advisories): Unbreakable Enterprise kernel security update</t>
  </si>
  <si>
    <t>The omninet_open function in drivers/usb/serial/omninet.c in the Linux kernel before 4.10.4 allows local users to cause a denial of service (tty exhaustion) by leveraging reference count mishandling.</t>
  </si>
  <si>
    <t>Vulnerable OS: Oracle Linux 7.9_x000D_
_x000D_
_x000D_
Vulnerable software installed: Linux kernel-uek 4.1.12-94.3.9.el7uek_x000D_
_x000D_
 * Required patch [CVE-2017-8925] is not installed, no patches discovered._x000D_
_x000D_
_x000D_
 * _x000D_
      kernel-uek-firmware - version 4.1.12-94.3.9.el7uek is installed</t>
  </si>
  <si>
    <t>CVE-2017-8925</t>
  </si>
  <si>
    <t>http://nvd.nist.gov/vuln/detail/CVE-2017-8925</t>
  </si>
  <si>
    <t>oracle_linux-cve-2017-9077</t>
  </si>
  <si>
    <t>Oracle Linux: (CVE-2017-9077) (Multiple Advisories): kernel security and bug fix update</t>
  </si>
  <si>
    <t>The tcp_v6_syn_recv_sock function in net/ipv6/tcp_ipv6.c in the Linux kernel through 4.11.1 mishandles inheritance, which allows local users to cause a denial of service or possibly have unspecified other impact via crafted system calls, a related issue to CVE-2017-8890.</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</si>
  <si>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dtrace-modules-provider-headers on Oracle Linux_x000D_
      Upgrade dtrace-modules-provider-headers_x000D_
_x000D_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
_x000D_
_x000D_
 * dtrace-modules-shared-headers on Oracle Linux_x000D_
      Upgrade dtrace-modules-shared-headers_x000D_
_x000D_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</si>
  <si>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[CVE-2017-9077] is not installed, no patches discovered._x000D_
_x000D_
_x000D_
 * _x000D_
      kernel-uek-firmware - version 4.1.12-94.3.9.el7uek is installed</t>
  </si>
  <si>
    <t>CVE-2017-9077</t>
  </si>
  <si>
    <t>http://nvd.nist.gov/vuln/detail/CVE-2017-9077</t>
  </si>
  <si>
    <t>oracle_linux-cve-2017-9242</t>
  </si>
  <si>
    <t>Oracle Linux: (CVE-2017-9242) (Multiple Advisories): Unbreakable Enterprise kernel security update</t>
  </si>
  <si>
    <t>The __ip6_append_data function in net/ipv6/ip6_output.c in the Linux kernel through 4.11.3 is too late in checking whether an overwrite of an skb data structure may occur, which allows local users to cause a denial of service (system crash) via crafted system calls.</t>
  </si>
  <si>
    <t>Vulnerable OS: Oracle Linux 7.9_x000D_
_x000D_
_x000D_
Vulnerable software installed: Linux kernel-uek 4.1.12-94.3.9.el7uek_x000D_
_x000D_
 * Required patch [CVE-2017-9242] is not installed, no patches discovered._x000D_
_x000D_
_x000D_
 * _x000D_
      kernel-uek-firmware - version 4.1.12-94.3.9.el7uek is installed</t>
  </si>
  <si>
    <t>CVE-2017-9242</t>
  </si>
  <si>
    <t>http://nvd.nist.gov/vuln/detail/CVE-2017-9242</t>
  </si>
  <si>
    <t>oracle_linux-cve-2017-9605</t>
  </si>
  <si>
    <t>Oracle Linux: (CVE-2017-9605) ELSA-2020-5962: Unbreakable Enterprise kernel security update</t>
  </si>
  <si>
    <t>The vmw_gb_surface_define_ioctl function (accessible via DRM_IOCTL_VMW_GB_SURFACE_CREATE) in drivers/gpu/drm/vmwgfx/vmwgfx_surface.c in the Linux kernel through 4.11.4 defines a backup_handle variable but does not give it an initial value. If one attempts to create a GB surface, with a previously allocated DMA buffer to be used as a backup buffer, the backup_handle variable does not get written to and is then later returned to user space, allowing local users to obtain sensitive information from uninitialized kernel memory via a crafted ioctl call.</t>
  </si>
  <si>
    <t>Vulnerable OS: Oracle Linux 7.9_x000D_
_x000D_
_x000D_
Vulnerable software installed: Linux kernel-uek 4.1.12-94.3.9.el7uek_x000D_
_x000D_
 * Required patch [CVE-2017-9605] is not installed, no patches discovered._x000D_
_x000D_
_x000D_
 * _x000D_
      kernel-uek-firmware - version 4.1.12-94.3.9.el7uek is installed</t>
  </si>
  <si>
    <t>CVE-2017-9605</t>
  </si>
  <si>
    <t>http://nvd.nist.gov/vuln/detail/CVE-2017-9605</t>
  </si>
  <si>
    <t>oracle_linux-cve-2017-9725</t>
  </si>
  <si>
    <t>Oracle Linux: (CVE-2017-9725) (Multiple Advisories): Unbreakable Enterprise kernel security update</t>
  </si>
  <si>
    <t>In all Qualcomm products with Android releases from CAF using the Linux kernel, during DMA allocation, due to wrong data type of size, allocation size gets truncated which makes allocation succeed when it should fail.</t>
  </si>
  <si>
    <t>Vulnerable OS: Oracle Linux 7.9_x000D_
_x000D_
_x000D_
Vulnerable software installed: Linux kernel-uek 4.1.12-94.3.9.el7uek_x000D_
_x000D_
 * Required patch [CVE-2017-9725] is not installed, no patches discovered._x000D_
_x000D_
_x000D_
 * _x000D_
      kernel-uek-firmware - version 4.1.12-94.3.9.el7uek is installed</t>
  </si>
  <si>
    <t>CVE-2017-9725</t>
  </si>
  <si>
    <t>http://nvd.nist.gov/vuln/detail/CVE-2017-9725</t>
  </si>
  <si>
    <t>oracle_linux-cve-2018-1000004</t>
  </si>
  <si>
    <t>Oracle Linux: (CVE-2018-1000004) (Multiple Advisories): Unbreakable Enterprise kernel security update</t>
  </si>
  <si>
    <t>In the Linux kernel 4.12, 3.10, 2.6 and possibly earlier versions a race condition vulnerability exists in the sound system, this can lead to a deadlock and denial of service condition.</t>
  </si>
  <si>
    <t>Vulnerable OS: Oracle Linux 7.9_x000D_
_x000D_
_x000D_
Vulnerable software installed: Linux kernel-uek 4.1.12-94.3.9.el7uek_x000D_
_x000D_
 * Required patch [CVE-2018-1000004] is not installed, no patches discovered._x000D_
_x000D_
_x000D_
 * _x000D_
      kernel-uek-firmware - version 4.1.12-94.3.9.el7uek is installed</t>
  </si>
  <si>
    <t>CVE-2018-1000004</t>
  </si>
  <si>
    <t>http://nvd.nist.gov/vuln/detail/CVE-2018-1000004</t>
  </si>
  <si>
    <t>oracle_linux-cve-2018-1000199</t>
  </si>
  <si>
    <t>Oracle Linux: (CVE-2018-1000199) (Multiple Advisories): Unbreakable Enterprise kernel security update</t>
  </si>
  <si>
    <t>The Linux Kernel version 3.18 contains a dangerous feature vulnerability in modify_user_hw_breakpoint() that can result in crash and possibly memory corruption. This attack appear to be exploitable via local code execution and the ability to use ptrace. This vulnerability appears to have been fixed in git commit f67b15037a7a50c57f72e69a6d59941ad90a0f0f.</t>
  </si>
  <si>
    <t>Vulnerable OS: Oracle Linux 7.9_x000D_
_x000D_
_x000D_
Vulnerable software installed: Linux kernel-uek 4.1.12-94.3.9.el7uek_x000D_
_x000D_
 * Required patch [CVE-2018-1000199] is not installed, no patches discovered._x000D_
_x000D_
_x000D_
 * _x000D_
      kernel-uek-firmware - version 4.1.12-94.3.9.el7uek is installed</t>
  </si>
  <si>
    <t>CVE-2018-1000199</t>
  </si>
  <si>
    <t>http://nvd.nist.gov/vuln/detail/CVE-2018-1000199</t>
  </si>
  <si>
    <t>oracle_linux-cve-2018-1000204</t>
  </si>
  <si>
    <t>Oracle Linux: (CVE-2018-1000204) (Multiple Advisories): Unbreakable Enterprise kernel security update</t>
  </si>
  <si>
    <t>** DISPUTED ** Linux Kernel version 3.18 to 4.16 incorrectly handles an SG_IO ioctl on /dev/sg0 with dxfer_direction=SG_DXFER_FROM_DEV and an empty 6-byte cmdp. This may lead to copying up to 1000 kernel heap pages to the userspace. This has been fixed upstream in https://github.com/torvalds/linux/commit/a45b599ad808c3c982fdcdc12b0b8611c2f92824 already. The problem has limited scope, as users don't usually have permissions to access SCSI devices. On the other hand, e.g. the Nero user manual suggests doing `chmod o+r+w /dev/sg*` to make the devices accessible. NOTE: third parties dispute the relevance of this report, noting that the requirement for an attacker to have both the CAP_SYS_ADMIN and CAP_SYS_RAWIO capabilities makes it "virtually impossible to exploit."</t>
  </si>
  <si>
    <t>Vulnerable OS: Oracle Linux 7.9_x000D_
_x000D_
_x000D_
Vulnerable software installed: Linux kernel-uek 4.1.12-94.3.9.el7uek_x000D_
_x000D_
 * Required patch [CVE-2018-1000204] is not installed, no patches discovered._x000D_
_x000D_
_x000D_
 * _x000D_
      kernel-uek-firmware - version 4.1.12-94.3.9.el7uek is installed</t>
  </si>
  <si>
    <t>CVE-2018-1000204</t>
  </si>
  <si>
    <t>http://nvd.nist.gov/vuln/detail/CVE-2018-1000204</t>
  </si>
  <si>
    <t>oracle_linux-cve-2018-10087</t>
  </si>
  <si>
    <t>Oracle Linux: (CVE-2018-10087) (Multiple Advisories): Unbreakable Enterprise kernel security update</t>
  </si>
  <si>
    <t>The kernel_wait4 function in kernel/exit.c in the Linux kernel before 4.13, when an unspecified architecture and compiler is used, might allow local users to cause a denial of service by triggering an attempted use of the -INT_MIN value.</t>
  </si>
  <si>
    <t>Vulnerable OS: Oracle Linux 7.9_x000D_
_x000D_
_x000D_
Vulnerable software installed: Linux kernel-uek 4.1.12-94.3.9.el7uek_x000D_
_x000D_
 * Required patch [CVE-2018-10087] is not installed, no patches discovered._x000D_
_x000D_
_x000D_
 * _x000D_
      kernel-uek-firmware - version 4.1.12-94.3.9.el7uek is installed</t>
  </si>
  <si>
    <t>CVE-2018-10087</t>
  </si>
  <si>
    <t>http://nvd.nist.gov/vuln/detail/CVE-2018-10087</t>
  </si>
  <si>
    <t>oracle_linux-cve-2018-10124</t>
  </si>
  <si>
    <t>Oracle Linux: (CVE-2018-10124) (Multiple Advisories): Unbreakable Enterprise kernel security update</t>
  </si>
  <si>
    <t>The kill_something_info function in kernel/signal.c in the Linux kernel before 4.13, when an unspecified architecture and compiler is used, might allow local users to cause a denial of service via an INT_MIN argument.</t>
  </si>
  <si>
    <t>Vulnerable OS: Oracle Linux 7.9_x000D_
_x000D_
_x000D_
Vulnerable software installed: Linux kernel-uek 4.1.12-94.3.9.el7uek_x000D_
_x000D_
 * Required patch [CVE-2018-10124] is not installed, no patches discovered._x000D_
_x000D_
_x000D_
 * _x000D_
      kernel-uek-firmware - version 4.1.12-94.3.9.el7uek is installed</t>
  </si>
  <si>
    <t>CVE-2018-10124</t>
  </si>
  <si>
    <t>http://nvd.nist.gov/vuln/detail/CVE-2018-10124</t>
  </si>
  <si>
    <t>oracle_linux-cve-2018-10323</t>
  </si>
  <si>
    <t>Oracle Linux: (CVE-2018-10323) (Multiple Advisories): Unbreakable Enterprise kernel security update</t>
  </si>
  <si>
    <t>The xfs_bmap_extents_to_btree function in fs/xfs/libxfs/xfs_bmap.c in the Linux kernel through 4.16.3 allows local users to cause a denial of service (xfs_bmapi_write NULL pointer dereference) via a crafted xfs image.</t>
  </si>
  <si>
    <t>Vulnerable OS: Oracle Linux 7.9_x000D_
_x000D_
_x000D_
Vulnerable software installed: Linux kernel-uek 4.1.12-94.3.9.el7uek_x000D_
_x000D_
 * Required patch [CVE-2018-10323] is not installed, no patches discovered._x000D_
_x000D_
_x000D_
 * _x000D_
      kernel-uek-firmware - version 4.1.12-94.3.9.el7uek is installed</t>
  </si>
  <si>
    <t>CVE-2018-10323</t>
  </si>
  <si>
    <t>http://nvd.nist.gov/vuln/detail/CVE-2018-10323</t>
  </si>
  <si>
    <t>oracle_linux-cve-2018-1066</t>
  </si>
  <si>
    <t>Oracle Linux: (CVE-2018-1066) ELSA-2019-4596: Unbreakable Enterprise kernel security update</t>
  </si>
  <si>
    <t>The Linux kernel before version 4.11 is vulnerable to a NULL pointer dereference in fs/cifs/cifsencrypt.c:setup_ntlmv2_rsp() that allows an attacker controlling a CIFS server to kernel panic a client that has this server mounted, because an empty TargetInfo field in an NTLMSSP setup negotiation response is mishandled during session recovery.</t>
  </si>
  <si>
    <t>Vulnerable OS: Oracle Linux 7.9_x000D_
_x000D_
_x000D_
Vulnerable software installed: Linux kernel-uek 4.1.12-94.3.9.el7uek_x000D_
_x000D_
 * Required patch [CVE-2018-1066] is not installed, no patches discovered._x000D_
_x000D_
_x000D_
 * _x000D_
      kernel-uek-firmware - version 4.1.12-94.3.9.el7uek is installed</t>
  </si>
  <si>
    <t>CVE-2018-1066</t>
  </si>
  <si>
    <t>http://nvd.nist.gov/vuln/detail/CVE-2018-1066</t>
  </si>
  <si>
    <t>oracle_linux-cve-2018-10675</t>
  </si>
  <si>
    <t>Oracle Linux: (CVE-2018-10675) (Multiple Advisories): Unbreakable Enterprise kernel security update</t>
  </si>
  <si>
    <t>The do_get_mempolicy function in mm/mempolicy.c in the Linux kernel before 4.12.9 allows local users to cause a denial of service (use-after-free) or possibly have unspecified other impact via crafted system calls.</t>
  </si>
  <si>
    <t>Vulnerable OS: Oracle Linux 7.9_x000D_
_x000D_
_x000D_
Vulnerable software installed: Linux kernel-uek 4.1.12-94.3.9.el7uek_x000D_
_x000D_
 * Required patch [CVE-2018-10675] is not installed, no patches discovered._x000D_
_x000D_
_x000D_
 * _x000D_
      kernel-uek-firmware - version 4.1.12-94.3.9.el7uek is installed</t>
  </si>
  <si>
    <t>CVE-2018-10675</t>
  </si>
  <si>
    <t>http://nvd.nist.gov/vuln/detail/CVE-2018-10675</t>
  </si>
  <si>
    <t>oracle_linux-cve-2018-1068</t>
  </si>
  <si>
    <t>Oracle Linux: (CVE-2018-1068) (Multiple Advisories): Unbreakable Enterprise kernel security update</t>
  </si>
  <si>
    <t>A flaw was found in the Linux 4.x kernel's implementation of 32-bit syscall interface for bridging. This allowed a privileged user to arbitrarily write to a limited range of kernel memory.</t>
  </si>
  <si>
    <t>Vulnerable OS: Oracle Linux 7.9_x000D_
_x000D_
_x000D_
Vulnerable software installed: Linux kernel-uek 4.1.12-94.3.9.el7uek_x000D_
_x000D_
 * Required patch [CVE-2018-1068] is not installed, no patches discovered._x000D_
_x000D_
_x000D_
 * _x000D_
      kernel-uek-firmware - version 4.1.12-94.3.9.el7uek is installed</t>
  </si>
  <si>
    <t>CVE-2018-1068</t>
  </si>
  <si>
    <t>http://nvd.nist.gov/vuln/detail/CVE-2018-1068</t>
  </si>
  <si>
    <t>oracle_linux-cve-2018-1087</t>
  </si>
  <si>
    <t>Oracle Linux: (CVE-2018-1087) (Multiple Advisories): kernel security update</t>
  </si>
  <si>
    <t>kernel KVM before versions kernel 4.16, kernel 4.16-rc7, kernel 4.17-rc1, kernel 4.17-rc2 and kernel 4.17-rc3 is vulnerable to a flaw in the way the Linux kernel's KVM hypervisor handled exceptions delivered after a stack switch operation via Mov SS or Pop SS instructions. During the stack switch operation, the processor did not deliver interrupts and exceptions, rather they are delivered once the first instruction after the stack switch is executed. An unprivileged KVM guest user could use this flaw to crash the guest or, potentially, escalate their privileges in the guest.</t>
  </si>
  <si>
    <t>Vulnerable OS: Oracle Linux 7.9_x000D_
_x000D_
_x000D_
Vulnerable software installed: Linux kernel-uek 4.1.12-94.3.9.el7uek_x000D_
_x000D_
 * Required patch [CVE-2018-1087] is not installed, no patches discovered._x000D_
_x000D_
_x000D_
 * _x000D_
      kernel-uek-firmware - version 4.1.12-94.3.9.el7uek is installed</t>
  </si>
  <si>
    <t>CVE-2018-1087</t>
  </si>
  <si>
    <t>http://nvd.nist.gov/vuln/detail/CVE-2018-1087</t>
  </si>
  <si>
    <t>oracle_linux-cve-2018-10876</t>
  </si>
  <si>
    <t>Oracle Linux: (CVE-2018-10876) (Multiple Advisories): Unbreakable Enterprise kernel security update</t>
  </si>
  <si>
    <t>A flaw was found in Linux kernel in the ext4 filesystem code. A use-after-free is possible in ext4_ext_remove_space() function when mounting and operating a crafted ext4 image.</t>
  </si>
  <si>
    <t>Vulnerable OS: Oracle Linux 7.9_x000D_
_x000D_
_x000D_
Vulnerable software installed: Linux kernel-uek 4.1.12-94.3.9.el7uek_x000D_
_x000D_
 * Required patch [CVE-2018-10876] is not installed, no patches discovered._x000D_
_x000D_
_x000D_
 * _x000D_
      kernel-uek-firmware - version 4.1.12-94.3.9.el7uek is installed</t>
  </si>
  <si>
    <t>CVE-2018-10876</t>
  </si>
  <si>
    <t>http://nvd.nist.gov/vuln/detail/CVE-2018-10876</t>
  </si>
  <si>
    <t>oracle_linux-cve-2018-10877</t>
  </si>
  <si>
    <t>Oracle Linux: (CVE-2018-10877) (Multiple Advisories): Unbreakable Enterprise kernel security update</t>
  </si>
  <si>
    <t>Linux kernel ext4 filesystem is vulnerable to an out-of-bound access in the ext4_ext_drop_refs() function when operating on a crafted ext4 filesystem image.</t>
  </si>
  <si>
    <t>Vulnerable OS: Oracle Linux 7.9_x000D_
_x000D_
_x000D_
Vulnerable software installed: Linux kernel-uek 4.1.12-94.3.9.el7uek_x000D_
_x000D_
 * Required patch [CVE-2018-10877] is not installed, no patches discovered._x000D_
_x000D_
_x000D_
 * _x000D_
      kernel-uek-firmware - version 4.1.12-94.3.9.el7uek is installed</t>
  </si>
  <si>
    <t>CVE-2018-10877</t>
  </si>
  <si>
    <t>http://nvd.nist.gov/vuln/detail/CVE-2018-10877</t>
  </si>
  <si>
    <t>oracle_linux-cve-2018-10878</t>
  </si>
  <si>
    <t>Oracle Linux: (CVE-2018-10878) (Multiple Advisories): Unbreakable Enterprise kernel security update</t>
  </si>
  <si>
    <t>A flaw was found in the Linux kernel's ext4 filesystem. A local user can cause an out-of-bounds write and a denial of service or unspecified other impact is possible by mounting and operating a crafted ext4 filesystem image.</t>
  </si>
  <si>
    <t>Vulnerable OS: Oracle Linux 7.9_x000D_
_x000D_
_x000D_
Vulnerable software installed: Linux kernel-uek 4.1.12-94.3.9.el7uek_x000D_
_x000D_
 * Required patch [CVE-2018-10878] is not installed, no patches discovered._x000D_
_x000D_
_x000D_
 * _x000D_
      kernel-uek-firmware - version 4.1.12-94.3.9.el7uek is installed</t>
  </si>
  <si>
    <t>CVE-2018-10878</t>
  </si>
  <si>
    <t>http://nvd.nist.gov/vuln/detail/CVE-2018-10878</t>
  </si>
  <si>
    <t>oracle_linux-cve-2018-10879</t>
  </si>
  <si>
    <t>Oracle Linux: (CVE-2018-10879) (Multiple Advisories): Unbreakable Enterprise kernel security update</t>
  </si>
  <si>
    <t>A flaw was found in the Linux kernel's ext4 filesystem. A local user can cause a use-after-free in ext4_xattr_set_entry function and a denial of service or unspecified other impact may occur by renaming a file in a crafted ext4 filesystem image.</t>
  </si>
  <si>
    <t>Vulnerable OS: Oracle Linux 7.9_x000D_
_x000D_
_x000D_
Vulnerable software installed: Linux kernel-uek 4.1.12-94.3.9.el7uek_x000D_
_x000D_
 * Required patch [CVE-2018-10879] is not installed, no patches discovered._x000D_
_x000D_
_x000D_
 * _x000D_
      kernel-uek-firmware - version 4.1.12-94.3.9.el7uek is installed</t>
  </si>
  <si>
    <t>CVE-2018-10879</t>
  </si>
  <si>
    <t>http://nvd.nist.gov/vuln/detail/CVE-2018-10879</t>
  </si>
  <si>
    <t>oracle_linux-cve-2018-10881</t>
  </si>
  <si>
    <t>Oracle Linux: (CVE-2018-10881) (Multiple Advisories): Unbreakable Enterprise kernel security update</t>
  </si>
  <si>
    <t>A flaw was found in the Linux kernel's ext4 filesystem. A local user can cause an out-of-bound access in ext4_get_group_info function, a denial of service, and a system crash by mounting and operating on a crafted ext4 filesystem image.</t>
  </si>
  <si>
    <t>Vulnerable OS: Oracle Linux 7.9_x000D_
_x000D_
_x000D_
Vulnerable software installed: Linux kernel-uek 4.1.12-94.3.9.el7uek_x000D_
_x000D_
 * Required patch [CVE-2018-10881] is not installed, no patches discovered._x000D_
_x000D_
_x000D_
 * _x000D_
      kernel-uek-firmware - version 4.1.12-94.3.9.el7uek is installed</t>
  </si>
  <si>
    <t>CVE-2018-10881</t>
  </si>
  <si>
    <t>http://nvd.nist.gov/vuln/detail/CVE-2018-10881</t>
  </si>
  <si>
    <t>oracle_linux-cve-2018-10882</t>
  </si>
  <si>
    <t>Oracle Linux: (CVE-2018-10882) (Multiple Advisories): Unbreakable Enterprise kernel security update</t>
  </si>
  <si>
    <t>A flaw was found in the Linux kernel's ext4 filesystem. A local user can cause an out-of-bound write in in fs/jbd2/transaction.c code, a denial of service, and a system crash by unmounting a crafted ext4 filesystem image.</t>
  </si>
  <si>
    <t>Vulnerable OS: Oracle Linux 7.9_x000D_
_x000D_
_x000D_
Vulnerable software installed: Linux kernel-uek 4.1.12-94.3.9.el7uek_x000D_
_x000D_
 * Required patch [CVE-2018-10882] is not installed, no patches discovered._x000D_
_x000D_
_x000D_
 * _x000D_
      kernel-uek-firmware - version 4.1.12-94.3.9.el7uek is installed</t>
  </si>
  <si>
    <t>CVE-2018-10882</t>
  </si>
  <si>
    <t>http://nvd.nist.gov/vuln/detail/CVE-2018-10882</t>
  </si>
  <si>
    <t>oracle_linux-cve-2018-10902</t>
  </si>
  <si>
    <t>Oracle Linux: (CVE-2018-10902) (Multiple Advisories): kernel security and bug fix update</t>
  </si>
  <si>
    <t>It was found that the raw midi kernel driver does not protect against concurrent access which leads to a double realloc (double free) in snd_rawmidi_input_params() and snd_rawmidi_output_status() which are part of snd_rawmidi_ioctl() handler in rawmidi.c file. A malicious local attacker could possibly use this for privilege escalation.</t>
  </si>
  <si>
    <t>Vulnerable OS: Oracle Linux 7.9_x000D_
_x000D_
_x000D_
Vulnerable software installed: Linux kernel-uek 4.1.12-94.3.9.el7uek_x000D_
_x000D_
 * Required patch [CVE-2018-10902] is not installed, no patches discovered._x000D_
_x000D_
_x000D_
 * _x000D_
      kernel-uek-firmware - version 4.1.12-94.3.9.el7uek is installed</t>
  </si>
  <si>
    <t>CVE-2018-10902</t>
  </si>
  <si>
    <t>http://nvd.nist.gov/vuln/detail/CVE-2018-10902</t>
  </si>
  <si>
    <t>oracle_linux-cve-2018-1092</t>
  </si>
  <si>
    <t>Oracle Linux: (CVE-2018-1092) (Multiple Advisories): Unbreakable Enterprise kernel security update</t>
  </si>
  <si>
    <t>The ext4_iget function in fs/ext4/inode.c in the Linux kernel through 4.15.15 mishandles the case of a root directory with a zero i_links_count, which allows attackers to cause a denial of service (ext4_process_freed_data NULL pointer dereference and OOPS) via a crafted ext4 image.</t>
  </si>
  <si>
    <t>Vulnerable OS: Oracle Linux 7.9_x000D_
_x000D_
_x000D_
Vulnerable software installed: Linux kernel-uek 4.1.12-94.3.9.el7uek_x000D_
_x000D_
 * Required patch [CVE-2018-1092] is not installed, no patches discovered._x000D_
_x000D_
_x000D_
 * _x000D_
      kernel-uek-firmware - version 4.1.12-94.3.9.el7uek is installed</t>
  </si>
  <si>
    <t>CVE-2018-1092</t>
  </si>
  <si>
    <t>http://nvd.nist.gov/vuln/detail/CVE-2018-1092</t>
  </si>
  <si>
    <t>oracle_linux-cve-2018-1093</t>
  </si>
  <si>
    <t>Oracle Linux: (CVE-2018-1093) (Multiple Advisories): Unbreakable Enterprise kernel security update</t>
  </si>
  <si>
    <t>The ext4_valid_block_bitmap function in fs/ext4/balloc.c in the Linux kernel through 4.15.15 allows attackers to cause a denial of service (out-of-bounds read and system crash) via a crafted ext4 image because balloc.c and ialloc.c do not validate bitmap block numbers.</t>
  </si>
  <si>
    <t>Vulnerable OS: Oracle Linux 7.9_x000D_
_x000D_
_x000D_
Vulnerable software installed: Linux kernel-uek 4.1.12-94.3.9.el7uek_x000D_
_x000D_
 * Required patch [CVE-2018-1093] is not installed, no patches discovered._x000D_
_x000D_
_x000D_
 * _x000D_
      kernel-uek-firmware - version 4.1.12-94.3.9.el7uek is installed</t>
  </si>
  <si>
    <t>CVE-2018-1093</t>
  </si>
  <si>
    <t>http://nvd.nist.gov/vuln/detail/CVE-2018-1093</t>
  </si>
  <si>
    <t>oracle_linux-cve-2018-10938</t>
  </si>
  <si>
    <t>Oracle Linux: (CVE-2018-10938) ELSA-2018-4208: Unbreakable Enterprise kernel security update</t>
  </si>
  <si>
    <t>A flaw was found in the Linux kernel present since v4.0-rc1 and through v4.13-rc4. A crafted network packet sent remotely by an attacker may force the kernel to enter an infinite loop in the cipso_v4_optptr() function in net/ipv4/cipso_ipv4.c leading to a denial-of-service. A certain non-default configuration of LSM (Linux Security Module) and NetLabel should be set up on a system before an attacker could leverage this flaw.</t>
  </si>
  <si>
    <t>Vulnerable OS: Oracle Linux 7.9_x000D_
_x000D_
_x000D_
Vulnerable software installed: Linux kernel-uek 4.1.12-94.3.9.el7uek_x000D_
_x000D_
 * Required patch [CVE-2018-10938] is not installed, no patches discovered._x000D_
_x000D_
_x000D_
 * _x000D_
      kernel-uek-firmware - version 4.1.12-94.3.9.el7uek is installed</t>
  </si>
  <si>
    <t>CVE-2018-10938</t>
  </si>
  <si>
    <t>http://nvd.nist.gov/vuln/detail/CVE-2018-10938</t>
  </si>
  <si>
    <t>oracle_linux-cve-2018-1094</t>
  </si>
  <si>
    <t>Oracle Linux: (CVE-2018-1094) (Multiple Advisories): Unbreakable Enterprise kernel security update</t>
  </si>
  <si>
    <t>The ext4_fill_super function in fs/ext4/super.c in the Linux kernel through 4.15.15 does not always initialize the crc32c checksum driver, which allows attackers to cause a denial of service (ext4_xattr_inode_hash NULL pointer dereference and system crash) via a crafted ext4 image.</t>
  </si>
  <si>
    <t>Vulnerable OS: Oracle Linux 7.9_x000D_
_x000D_
_x000D_
Vulnerable software installed: Linux kernel-uek 4.1.12-94.3.9.el7uek_x000D_
_x000D_
 * Required patch [CVE-2018-1094] is not installed, no patches discovered._x000D_
_x000D_
_x000D_
 * _x000D_
      kernel-uek-firmware - version 4.1.12-94.3.9.el7uek is installed</t>
  </si>
  <si>
    <t>CVE-2018-1094</t>
  </si>
  <si>
    <t>http://nvd.nist.gov/vuln/detail/CVE-2018-1094</t>
  </si>
  <si>
    <t>oracle_linux-cve-2018-1130</t>
  </si>
  <si>
    <t>Oracle Linux: (CVE-2018-1130) (Multiple Advisories): kernel security, bug fix, and enhancement update</t>
  </si>
  <si>
    <t>Linux kernel before version 4.16-rc7 is vulnerable to a null pointer dereference in dccp_write_xmit() function in net/dccp/output.c in that allows a local user to cause a denial of service by a number of certain crafted system calls.</t>
  </si>
  <si>
    <t>Vulnerable OS: Oracle Linux 7.9_x000D_
_x000D_
_x000D_
Vulnerable software installed: Linux kernel-uek 4.1.12-94.3.9.el7uek_x000D_
_x000D_
 * Required patch [CVE-2018-1130] is not installed, no patches discovered._x000D_
_x000D_
_x000D_
 * _x000D_
      kernel-uek-firmware - version 4.1.12-94.3.9.el7uek is installed</t>
  </si>
  <si>
    <t>CVE-2018-1130</t>
  </si>
  <si>
    <t>http://nvd.nist.gov/vuln/detail/CVE-2018-1130</t>
  </si>
  <si>
    <t>oracle_linux-cve-2018-12126</t>
  </si>
  <si>
    <t>Oracle Linux: (CVE-2018-12126) (Multiple Advisories): libvirt security, bug fix, and enhancement update</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</si>
  <si>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ivshmem-tools on Oracle Linux_x000D_
      Upgrade ivshmem-tools_x000D_
_x000D_
       Update ivshmem-tools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kernel-uek-headers on Oracle Linux_x000D_
      Upgrade kernel-uek-headers_x000D_
_x000D_
       Update kernel-uek-headers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 on Oracle Linux_x000D_
      Upgrade kernel-uek-tools_x000D_
_x000D_
       Update kernel-uek-tools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 on Oracle Linux_x000D_
      Upgrade kernel-uek-tools-libs_x000D_
_x000D_
       Update kernel-uek-tools-libs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kernel-uek-tools-libs-devel on Oracle Linux_x000D_
      Upgrade kernel-uek-tools-libs-devel_x000D_
_x000D_
       Update kernel-uek-tools-libs-devel using yum or up2date. Please note that customers with support can use the  Unbreakable Linux Network (ULN) (https://linux.oracle.com) , and customers without support can use the  publicly available Oracle Linux yum repositories (http://public-yum.oracle.com) . _x000D_
_x000D_
_x000D_
 * libvirt on Oracle Linux_x000D_
      Upgrade libvirt_x000D_
_x000D_
       Update libvirt using yum or up2date. Please note that customers with support can use the  Unbreakable Linux Network (ULN) (https://linux.oracle.com) , and customers without support can use the  publicly available Oracle Linux yum repositories (http://public-yum.oracle.com) . _x000D_
_x000D_
_x000D_
 * libvirt-admin on Oracle Linux_x000D_
      Upgrade libvirt-admin_x000D_
_x000D_
       Update libvirt-admin using yum or up2date. Please note that customers with support can use the  Unbreakable Linux Network (ULN) (https://linux.oracle.com) , and customers without support can use the  publicly available Oracle Linux yum repositories (http://public-yum.oracle.com) . _x000D_
_x000D_
_x000D_
 * libvirt-bash-completion on Oracle Linux_x000D_
      Upgrade libvirt-bash-completion_x000D_
_x000D_
       Update libvirt-bash-completion using yum or up2date. Please note that customers with support can use the  Unbreakable Linux Network (ULN) (https://linux.oracle.com) , and customers without support can use the  publicly available Oracle Linux yum repositories (http://public-yum.oracle.com) . _x000D_
_x000D_
_x000D_
 * libvirt-client on Oracle Linux_x000D_
      Upgrade libvirt-client_x000D_
_x000D_
       Update libvirt-client using yum or up2date. Please note that customers with support can use the  Unbreakable Linux Network (ULN) (https://linux.oracle.com) , and customers without support can use the  publicly available Oracle Linux yum repositories (http://public-yum.oracle.com) . _x000D_
_x000D_
_x000D_
 * libvirt-daemon on Oracle Linux_x000D_
      Upgrade libvirt-daemon_x000D_
_x000D_
       Update libvirt-daemon using yum or up2date. Please note that customers with support can use the  Unbreakable Linux Network (ULN) (https://linux.oracle.com) , and customers without support can use the  publicly available Oracle Linux yum repositories (http://public-yum.oracle.com) . _x000D_
_x000D_
_x000D_
 * libvirt-daemon-config-network on Oracle Linux_x000D_
      Upgrade libvirt-daemon-config-network_x000D_
_x000D_
       Update libvirt-daemon-config-network using yum or up2date. Please note that customers with support can use the  Unbreakable Linux Network (ULN) (https://linux.oracle.com) , and customers without support can use the  publicly available Oracle Linux yum repositories (http://public-yum.oracle.com) . _x000D_
_x000D_
_x000D_
 * libvirt-daemon-config-nwfilter on Oracle Linux_x000D_
      Upgrade libvirt-daemon-config-nwfilter_x000D_
_x000D_
       Update libvirt-daemon-config-nwfilter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libvirt-daemon-driver-interface on Oracle Linux_x000D_
      Upgrade libvirt-daemon-driver-interface_x000D_
_x000D_
       Update libvirt-daemon-driver-interface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libvirt-daemon-driver-lxc on Oracle Linux_x000D_
      Upgrade libvirt-daemon-driver-lxc_x000D_
_x000D_
       Update libvirt-daemon-driver-lxc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libvirt-daemon-driver-network on Oracle Linux_x000D_
      Upgrade libvirt-daemon-driver-network_x000D_
_x000D_
       Update libvirt-daemon-driver-network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libvirt-daemon-driver-nodedev on Oracle Linux_x000D_
      Upgrade libvirt-daemon-driver-nodedev_x000D_
_x000D_
       Update libvirt-daemon-driver-nodedev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libvirt-daemon-driver-nwfilter on Oracle Linux_x000D_
      Upgrade libvirt-daemon-driver-nwfilter_x000D_
_x000D_
       Update libvirt-daemon-driver-nwfilter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libvirt-daemon-driver-qemu on Oracle Linux_x000D_
      Upgrade libvirt-daemon-driver-qemu_x000D_
_x000D_
       Update libvirt-daemon-driver-qemu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libvirt-daemon-driver-secret on Oracle Linux_x000D_
      Upgrade libvirt-daemon-driver-secret_x000D_
_x000D_
       Update libvirt-daemon-driver-secret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 on Oracle Linux_x000D_
      Upgrade libvirt-daemon-driver-storage_x000D_
_x000D_
       Update libvirt-daemon-driver-storage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libvirt-daemon-driver-storage-core on Oracle Linux_x000D_
      Upgrade libvirt-daemon-driver-storage-core_x000D_
_x000D_
       Update libvirt-daemon-driver-storage-core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libvirt-daemon-driver-storage-disk on Oracle Linux_x000D_
      Upgrade libvirt-daemon-driver-storage-disk_x000D_
_x000D_
       Update libvirt-daemon-driver-storage-disk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libvirt-daemon-driver-storage-gluster on Oracle Linux_x000D_
      Upgrade libvirt-daemon-driver-storage-gluster_x000D_
_x000D_
       Update libvirt-daemon-driver-storage-gluster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libvirt-daemon-driver-storage-iscsi on Oracle Linux_x000D_
      Upgrade libvirt-daemon-driver-storage-iscsi_x000D_
_x000D_
       Update libvirt-daemon-driver-storage-iscsi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libvirt-daemon-driver-storage-logical on Oracle Linux_x000D_
      Upgrade libvirt-daemon-driver-storage-logical_x000D_
_x000D_
       Update libvirt-daemon-driver-storage-logical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libvirt-daemon-driver-storage-mpath on Oracle Linux_x000D_
      Upgrade libvirt-daemon-driver-storage-mpath_x000D_
_x000D_
       Update libvirt-daemon-driver-storage-mpath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libvirt-daemon-driver-storage-rbd on Oracle Linux_x000D_
      Upgrade libvirt-daemon-driver-storage-rbd_x000D_
_x000D_
       Update libvirt-daemon-driver-storage-rbd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libvirt-daemon-driver-storage-scsi on Oracle Linux_x000D_
      Upgrade libvirt-daemon-driver-storage-scsi_x000D_
_x000D_
       Update libvirt-daemon-driver-storage-scsi using yum or up2date. Please note that customers with support can use the  Unbreakable Linux Network (ULN) (https://linux.oracle.com) , and customers without support can use the  publicly available Oracle Linux yum repositories (http://public-yum.oracle.com) . _x000D_
_x000D_
_x000D_
 * libvirt-daemon-kvm on Oracle Linux_x000D_
      Upgrade libvirt-daemon-kvm_x000D_
_x000D_
       Update libvirt-daemon-kvm using yum or up2date. Please note that customers with support can use the  Unbreakable Linux Network (ULN) (https://linux.oracle.com) , and customers without support can use the  publicly available Oracle Linux yum repositories (http://public-yum.oracle.com) . _x000D_
_x000D_
_x000D_
 * libvirt-daemon-lxc on Oracle Linux_x000D_
      Upgrade libvirt-daemon-lxc_x000D_
_x000D_
       Update libvirt-daemon-lxc using yum or up2date. Please note that customers with support can use the  Unbreakable Linux Network (ULN) (https://linux.oracle.com) , and customers without support can use the  publicly available Oracle Linux yum repositories (http://public-yum.oracle.com) . _x000D_
_x000D_
_x000D_
 * libvirt-daemon-qemu on Oracle Linux_x000D_
      Upgrade libvirt-daemon-qemu_x000D_
_x000D_
       Update libvirt-daemon-qemu using yum or up2date. Please note that customers with support can use the  Unbreakable Linux Network (ULN) (https://linux.oracle.com) , and customers without support can use the  publicly available Oracle Linux yum repositories (http://public-yum.oracle.com) . _x000D_
_x000D_
_x000D_
 * libvirt-devel on Oracle Linux_x000D_
      Upgrade libvirt-devel_x000D_
_x000D_
       Update libvirt-devel using yum or up2date. Please note that customers with support can use the  Unbreakable Linux Network (ULN) (https://linux.oracle.com) , and customers without support can use the  publicly available Oracle Linux yum repositories (http://public-yum.oracle.com) . _x000D_
_x000D_
_x000D_
 * libvirt-docs on Oracle Linux_x000D_
      Upgrade libvirt-docs_x000D_
_x000D_
       Update libvirt-docs using yum or up2date. Please note that customers with support can use the  Unbreakable Linux Network (ULN) (https://linux.oracle.com) , and customers without support can use the  publicly available Oracle Linux yum repositories (http://public-yum.oracle.com) . _x000D_
_x000D_
_x000D_
 * libvirt-libs on Oracle Linux_x000D_
      Upgrade libvirt</t>
  </si>
  <si>
    <t>Vulnerable OS: Oracle Linux 7.9_x000D_
_x000D_
_x000D_
Vulnerable software installed: Linux kernel-uek 4.1.12-94.3.9.el7uek_x000D_
_x000D_
 * Required patch [CVE-2018-12126] is not installed, no patches discovered._x000D_
_x000D_
_x000D_
 * _x000D_
      kernel-uek-firmware - version 4.1.12-94.3.9.el7uek is installed</t>
  </si>
  <si>
    <t>oracle_linux-cve-2018-12127</t>
  </si>
  <si>
    <t>Oracle Linux: (CVE-2018-12127) (Multiple Advisories): libvirt security, bug fix, and enhancement update</t>
  </si>
  <si>
    <t>Vulnerable OS: Oracle Linux 7.9_x000D_
_x000D_
_x000D_
Vulnerable software installed: Linux kernel-uek 4.1.12-94.3.9.el7uek_x000D_
_x000D_
 * Required patch [CVE-2018-12127] is not installed, no patches discovered._x000D_
_x000D_
_x000D_
 * _x000D_
      kernel-uek-firmware - version 4.1.12-94.3.9.el7uek is installed</t>
  </si>
  <si>
    <t>oracle_linux-cve-2018-12130</t>
  </si>
  <si>
    <t>Oracle Linux: (CVE-2018-12130) (Multiple Advisories): libvirt security, bug fix, and enhancement update</t>
  </si>
  <si>
    <t>Vulnerable OS: Oracle Linux 7.9_x000D_
_x000D_
_x000D_
Vulnerable software installed: Linux kernel-uek 4.1.12-94.3.9.el7uek_x000D_
_x000D_
 * Required patch [CVE-2018-12130] is not installed, no patches discovered._x000D_
_x000D_
_x000D_
 * _x000D_
      kernel-uek-firmware - version 4.1.12-94.3.9.el7uek is installed</t>
  </si>
  <si>
    <t>oracle_linux-cve-2018-12207</t>
  </si>
  <si>
    <t>Oracle Linux: (CVE-2018-12207) (Multiple Advisories): kernel security and bug fix update</t>
  </si>
  <si>
    <t>*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microcode_ctl on Oracle Linux_x000D_
      Upgrade microcode_ctl_x000D_
_x000D_
       Update microcode_ctl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</si>
  <si>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[CVE-2018-12207] is not installed, no patches discovered._x000D_
_x000D_
_x000D_
 * _x000D_
      kernel-uek-firmware - version 4.1.12-94.3.9.el7uek is installed</t>
  </si>
  <si>
    <t>oracle_linux-cve-2018-13094</t>
  </si>
  <si>
    <t>Oracle Linux: (CVE-2018-13094) (Multiple Advisories): kernel security, bug fix, and enhancement update</t>
  </si>
  <si>
    <t>An issue was discovered in fs/xfs/libxfs/xfs_attr_leaf.c in the Linux kernel through 4.17.3. An OOPS may occur for a corrupted xfs image after xfs_da_shrink_inode() is called with a NULL bp.</t>
  </si>
  <si>
    <t>Vulnerable OS: Oracle Linux 7.9_x000D_
_x000D_
_x000D_
Vulnerable software installed: Linux kernel-uek 4.1.12-94.3.9.el7uek_x000D_
_x000D_
 * Required patch [CVE-2018-13094] is not installed, no patches discovered._x000D_
_x000D_
_x000D_
 * _x000D_
      kernel-uek-firmware - version 4.1.12-94.3.9.el7uek is installed</t>
  </si>
  <si>
    <t>CVE-2018-13094</t>
  </si>
  <si>
    <t>http://nvd.nist.gov/vuln/detail/CVE-2018-13094</t>
  </si>
  <si>
    <t>oracle_linux-cve-2018-14633</t>
  </si>
  <si>
    <t>Oracle Linux: (CVE-2018-14633) (Multiple Advisories): Unbreakable Enterprise kernel security update</t>
  </si>
  <si>
    <t>A security flaw was found in the chap_server_compute_md5() function in the ISCSI target code in the Linux kernel in a way an authentication request from an ISCSI initiator is processed. An unauthenticated remote attacker can cause a stack buffer overflow and smash up to 17 bytes of the stack. The attack requires the iSCSI target to be enabled on the victim host. Depending on how the target's code was built (i.e. depending on a compiler, compile flags and hardware architecture) an attack may lead to a system crash and thus to a denial-of-service or possibly to a non-authorized access to data exported by an iSCSI target. Due to the nature of the flaw, privilege escalation cannot be fully ruled out, although we believe it is highly unlikely. Kernel versions 4.18.x, 4.14.x and 3.10.x are believed to be vulnerable.</t>
  </si>
  <si>
    <t>Vulnerable OS: Oracle Linux 7.9_x000D_
_x000D_
_x000D_
Vulnerable software installed: Linux kernel-uek 4.1.12-94.3.9.el7uek_x000D_
_x000D_
 * Required patch [CVE-2018-14633] is not installed, no patches discovered._x000D_
_x000D_
_x000D_
 * _x000D_
      kernel-uek-firmware - version 4.1.12-94.3.9.el7uek is installed</t>
  </si>
  <si>
    <t>CVE-2018-14633</t>
  </si>
  <si>
    <t>http://nvd.nist.gov/vuln/detail/CVE-2018-14633</t>
  </si>
  <si>
    <t>oracle_linux-cve-2018-14634</t>
  </si>
  <si>
    <t>Oracle Linux: (CVE-2018-14634) (Multiple Advisories): kernel security, bug fix, and enhancement update</t>
  </si>
  <si>
    <t>An integer overflow flaw was found in the Linux kernel's create_elf_tables() function. An unprivileged local user with access to SUID (or otherwise privileged) binary could use this flaw to escalate their privileges on the system. Kernel versions 2.6.x, 3.10.x and 4.14.x are believed to be vulnerable.</t>
  </si>
  <si>
    <t>Vulnerable OS: Oracle Linux 7.9_x000D_
_x000D_
_x000D_
Vulnerable software installed: Linux kernel-uek 4.1.12-94.3.9.el7uek_x000D_
_x000D_
 * Required patch [CVE-2018-14634] is not installed, no patches discovered._x000D_
_x000D_
_x000D_
 * _x000D_
      kernel-uek-firmware - version 4.1.12-94.3.9.el7uek is installed</t>
  </si>
  <si>
    <t>CVE-2018-14634</t>
  </si>
  <si>
    <t>http://nvd.nist.gov/vuln/detail/CVE-2018-14634</t>
  </si>
  <si>
    <t>http://www.exploit-db.com/exploits/45516</t>
  </si>
  <si>
    <t>oracle_linux-cve-2018-14678</t>
  </si>
  <si>
    <t>Oracle Linux: (CVE-2018-14678) (Multiple Advisories): Unbreakable Enterprise kernel security update</t>
  </si>
  <si>
    <t>An issue was discovered in the Linux kernel through 4.17.11, as used in Xen through 4.11.x. The xen_failsafe_callback entry point in arch/x86/entry/entry_64.S does not properly maintain RBX, which allows local users to cause a denial of service (uninitialized memory usage and system crash). Within Xen, 64-bit x86 PV Linux guest OS users can trigger a guest OS crash or possibly gain privileges.</t>
  </si>
  <si>
    <t>*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kernel-uek-headers on Oracle Linux_x000D_
      Upgrade kernel-uek-headers_x000D_
_x000D_
       Update kernel-uek-headers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 on Oracle Linux_x000D_
      Upgrade kernel-uek-tools_x000D_
_x000D_
       Update kernel-uek-tools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 on Oracle Linux_x000D_
      Upgrade kernel-uek-tools-libs_x000D_
_x000D_
       Update kernel-uek-tools-libs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kernel-uek-tools-libs-devel on Oracle Linux_x000D_
      Upgrade kernel-uek-tools-libs-devel_x000D_
_x000D_
       Update kernel-uek-tools-libs-devel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</si>
  <si>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[CVE-2018-14678] is not installed, no patches discovered._x000D_
_x000D_
_x000D_
 * _x000D_
      kernel-uek-firmware - version 4.1.12-94.3.9.el7uek is installed</t>
  </si>
  <si>
    <t>CVE-2018-14678</t>
  </si>
  <si>
    <t>http://nvd.nist.gov/vuln/detail/CVE-2018-14678</t>
  </si>
  <si>
    <t>oracle_linux-cve-2018-14734</t>
  </si>
  <si>
    <t>Oracle Linux: (CVE-2018-14734) (Multiple Advisories): kernel security, bug fix, and enhancement update</t>
  </si>
  <si>
    <t>drivers/infiniband/core/ucma.c in the Linux kernel through 4.17.11 allows ucma_leave_multicast to access a certain data structure after a cleanup step in ucma_process_join, which allows attackers to cause a denial of service (use-after-free).</t>
  </si>
  <si>
    <t>*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kernel-uek-headers on Oracle Linux_x000D_
      Upgrade kernel-uek-headers_x000D_
_x000D_
       Update kernel-uek-headers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 on Oracle Linux_x000D_
      Upgrade kernel-uek-tools_x000D_
_x000D_
       Update kernel-uek-tools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 on Oracle Linux_x000D_
      Upgrade kernel-uek-tools-libs_x000D_
_x000D_
       Update kernel-uek-tools-libs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kernel-uek-tools-libs-devel on Oracle Linux_x000D_
      Upgrade kernel-uek-tools-libs-devel_x000D_
_x000D_
       Update kernel-uek-tools-libs-devel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</si>
  <si>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[CVE-2018-14734] is not installed, no patches discovered._x000D_
_x000D_
_x000D_
 * _x000D_
      kernel-uek-firmware - version 4.1.12-94.3.9.el7uek is installed</t>
  </si>
  <si>
    <t>CVE-2018-14734</t>
  </si>
  <si>
    <t>http://nvd.nist.gov/vuln/detail/CVE-2018-14734</t>
  </si>
  <si>
    <t>oracle_linux-cve-2018-15572</t>
  </si>
  <si>
    <t>Oracle Linux: (CVE-2018-15572) (Multiple Advisories): Unbreakable Enterprise kernel security update</t>
  </si>
  <si>
    <t>The spectre_v2_select_mitigation function in arch/x86/kernel/cpu/bugs.c in the Linux kernel before 4.18.1 does not always fill RSB upon a context switch, which makes it easier for attackers to conduct userspace-userspace spectreRSB attacks.</t>
  </si>
  <si>
    <t>Vulnerable OS: Oracle Linux 7.9_x000D_
_x000D_
_x000D_
Vulnerable software installed: Linux kernel-uek 4.1.12-94.3.9.el7uek_x000D_
_x000D_
 * Required patch [CVE-2018-15572] is not installed, no patches discovered._x000D_
_x000D_
_x000D_
 * _x000D_
      kernel-uek-firmware - version 4.1.12-94.3.9.el7uek is installed</t>
  </si>
  <si>
    <t>CVE-2018-15572</t>
  </si>
  <si>
    <t>http://nvd.nist.gov/vuln/detail/CVE-2018-15572</t>
  </si>
  <si>
    <t>oracle_linux-cve-2018-15594</t>
  </si>
  <si>
    <t>Oracle Linux: (CVE-2018-15594) (Multiple Advisories): kernel security, bug fix, and enhancement update</t>
  </si>
  <si>
    <t>arch/x86/kernel/paravirt.c in the Linux kernel before 4.18.1 mishandles certain indirect calls, which makes it easier for attackers to conduct Spectre-v2 attacks against paravirtual guests.</t>
  </si>
  <si>
    <t>Vulnerable OS: Oracle Linux 7.9_x000D_
_x000D_
_x000D_
Vulnerable software installed: Linux kernel-uek 4.1.12-94.3.9.el7uek_x000D_
_x000D_
 * Required patch [CVE-2018-15594] is not installed, no patches discovered._x000D_
_x000D_
_x000D_
 * _x000D_
      kernel-uek-firmware - version 4.1.12-94.3.9.el7uek is installed</t>
  </si>
  <si>
    <t>CVE-2018-15594</t>
  </si>
  <si>
    <t>http://nvd.nist.gov/vuln/detail/CVE-2018-15594</t>
  </si>
  <si>
    <t>oracle_linux-cve-2018-16658</t>
  </si>
  <si>
    <t>Oracle Linux: (CVE-2018-16658) (Multiple Advisories): kernel security, bug fix, and enhancement update</t>
  </si>
  <si>
    <t>An issue was discovered in the Linux kernel before 4.18.6. An information leak in cdrom_ioctl_drive_status in drivers/cdrom/cdrom.c could be used by local attackers to read kernel memory because a cast from unsigned long to int interferes with bounds checking. This is similar to CVE-2018-10940.</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</si>
  <si>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kernel-uek-headers on Oracle Linux_x000D_
      Upgrade kernel-uek-headers_x000D_
_x000D_
       Update kernel-uek-headers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 on Oracle Linux_x000D_
      Upgrade kernel-uek-tools_x000D_
_x000D_
       Update kernel-uek-tools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 on Oracle Linux_x000D_
      Upgrade kernel-uek-tools-libs_x000D_
_x000D_
       Update kernel-uek-tools-libs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kernel-uek-tools-libs-devel on Oracle Linux_x000D_
      Upgrade kernel-uek-tools-libs-devel_x000D_
_x000D_
       Update kernel-uek-tools-libs-devel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</si>
  <si>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[CVE-2018-16658] is not installed, no patches discovered._x000D_
_x000D_
_x000D_
 * _x000D_
      kernel-uek-firmware - version 4.1.12-94.3.9.el7uek is installed</t>
  </si>
  <si>
    <t>CVE-2018-16658</t>
  </si>
  <si>
    <t>http://nvd.nist.gov/vuln/detail/CVE-2018-16658</t>
  </si>
  <si>
    <t>oracle_linux-cve-2018-16862</t>
  </si>
  <si>
    <t>Oracle Linux: (CVE-2018-16862) ELSA-2019-4575: Unbreakable Enterprise kernel security update</t>
  </si>
  <si>
    <t>A security flaw was found in the Linux kernel in a way that the cleancache subsystem clears an inode after the final file truncation (removal). The new file created with the same inode may contain leftover pages from cleancache and the old file data instead of the new one.</t>
  </si>
  <si>
    <t>Vulnerable OS: Oracle Linux 7.9_x000D_
_x000D_
_x000D_
Vulnerable software installed: Linux kernel-uek 4.1.12-94.3.9.el7uek_x000D_
_x000D_
 * Required patch [CVE-2018-16862] is not installed, no patches discovered._x000D_
_x000D_
_x000D_
 * _x000D_
      kernel-uek-firmware - version 4.1.12-94.3.9.el7uek is installed</t>
  </si>
  <si>
    <t>CVE-2018-16862</t>
  </si>
  <si>
    <t>http://nvd.nist.gov/vuln/detail/CVE-2018-16862</t>
  </si>
  <si>
    <t>oracle_linux-cve-2018-16884</t>
  </si>
  <si>
    <t>Oracle Linux: (CVE-2018-16884) (Multiple Advisories): Unbreakable Enterprise kernel security update</t>
  </si>
  <si>
    <t>A flaw was found in the Linux kernel's NFS41+ subsystem. NFS41+ shares mounted in different network namespaces at the same time can make bc_svc_process() use wrong back-channel IDs and cause a use-after-free vulnerability. Thus a malicious container user can cause a host kernel memory corruption and a system panic. Due to the nature of the flaw, privilege escalation cannot be fully ruled out.</t>
  </si>
  <si>
    <t>Vulnerable OS: Oracle Linux 7.9_x000D_
_x000D_
_x000D_
Vulnerable software installed: Linux kernel-uek 4.1.12-94.3.9.el7uek_x000D_
_x000D_
 * Required patch [CVE-2018-16884] is not installed, no patches discovered._x000D_
_x000D_
_x000D_
 * _x000D_
      kernel-uek-firmware - version 4.1.12-94.3.9.el7uek is installed</t>
  </si>
  <si>
    <t>CVE-2018-16884</t>
  </si>
  <si>
    <t>http://nvd.nist.gov/vuln/detail/CVE-2018-16884</t>
  </si>
  <si>
    <t>oracle_linux-cve-2018-17182</t>
  </si>
  <si>
    <t>Oracle Linux: (CVE-2018-17182) (Multiple Advisories): Unbreakable Enterprise kernel security update</t>
  </si>
  <si>
    <t>An issue was discovered in the Linux kernel through 4.18.8. The vmacache_flush_all function in mm/vmacache.c mishandles sequence number overflows. An attacker can trigger a use-after-free (and possibly gain privileges) via certain thread creation, map, unmap, invalidation, and dereference operations.</t>
  </si>
  <si>
    <t>Vulnerable OS: Oracle Linux 7.9_x000D_
_x000D_
_x000D_
Vulnerable software installed: Linux kernel-uek 4.1.12-94.3.9.el7uek_x000D_
_x000D_
 * Required patch [CVE-2018-17182] is not installed, no patches discovered._x000D_
_x000D_
_x000D_
 * _x000D_
      kernel-uek-firmware - version 4.1.12-94.3.9.el7uek is installed</t>
  </si>
  <si>
    <t>CVE-2018-17182</t>
  </si>
  <si>
    <t>http://nvd.nist.gov/vuln/detail/CVE-2018-17182</t>
  </si>
  <si>
    <t>http://www.exploit-db.com/exploits/45497</t>
  </si>
  <si>
    <t>oracle_linux-cve-2018-17972</t>
  </si>
  <si>
    <t>Oracle Linux: (CVE-2018-17972) (Multiple Advisories): kernel security and bug fix update</t>
  </si>
  <si>
    <t>An issue was discovered in the proc_pid_stack function in fs/proc/base.c in the Linux kernel through 4.18.11. It does not ensure that only root may inspect the kernel stack of an arbitrary task, allowing a local attacker to exploit racy stack unwinding and leak kernel task stack contents.</t>
  </si>
  <si>
    <t>Vulnerable OS: Oracle Linux 7.9_x000D_
_x000D_
_x000D_
Vulnerable software installed: Linux kernel-uek 4.1.12-94.3.9.el7uek_x000D_
_x000D_
 * Required patch [CVE-2018-17972] is not installed, no patches discovered._x000D_
_x000D_
_x000D_
 * _x000D_
      kernel-uek-firmware - version 4.1.12-94.3.9.el7uek is installed</t>
  </si>
  <si>
    <t>CVE-2018-17972</t>
  </si>
  <si>
    <t>http://nvd.nist.gov/vuln/detail/CVE-2018-17972</t>
  </si>
  <si>
    <t>oracle_linux-cve-2018-18281</t>
  </si>
  <si>
    <t>Oracle Linux: (CVE-2018-18281) (Multiple Advisories): Unbreakable Enterprise kernel security update</t>
  </si>
  <si>
    <t>Since Linux kernel version 3.2, the mremap() syscall performs TLB flushes after dropping pagetable locks. If a syscall such as ftruncate() removes entries from the pagetables of a task that is in the middle of mremap(), a stale TLB entry can remain for a short time that permits access to a physical page after it has been released back to the page allocator and reused. This is fixed in the following kernel versions: 4.9.135, 4.14.78, 4.18.16, 4.19.</t>
  </si>
  <si>
    <t>Vulnerable OS: Oracle Linux 7.9_x000D_
_x000D_
_x000D_
Vulnerable software installed: Linux kernel-uek 4.1.12-94.3.9.el7uek_x000D_
_x000D_
 * Required patch [CVE-2018-18281] is not installed, no patches discovered._x000D_
_x000D_
_x000D_
 * _x000D_
      kernel-uek-firmware - version 4.1.12-94.3.9.el7uek is installed</t>
  </si>
  <si>
    <t>CVE-2018-18281</t>
  </si>
  <si>
    <t>http://nvd.nist.gov/vuln/detail/CVE-2018-18281</t>
  </si>
  <si>
    <t>oracle_linux-cve-2018-18386</t>
  </si>
  <si>
    <t>Oracle Linux: (CVE-2018-18386) ELSA-2018-4307: Unbreakable Enterprise kernel security update</t>
  </si>
  <si>
    <t>drivers/tty/n_tty.c in the Linux kernel before 4.14.11 allows local attackers (who are able to access pseudo terminals) to hang/block further usage of any pseudo terminal devices due to an EXTPROC versus ICANON confusion in TIOCINQ.</t>
  </si>
  <si>
    <t>Vulnerable OS: Oracle Linux 7.9_x000D_
_x000D_
_x000D_
Vulnerable software installed: Linux kernel-uek 4.1.12-94.3.9.el7uek_x000D_
_x000D_
 * Required patch [CVE-2018-18386] is not installed, no patches discovered._x000D_
_x000D_
_x000D_
 * _x000D_
      kernel-uek-firmware - version 4.1.12-94.3.9.el7uek is installed</t>
  </si>
  <si>
    <t>CVE-2018-18386</t>
  </si>
  <si>
    <t>http://nvd.nist.gov/vuln/detail/CVE-2018-18386</t>
  </si>
  <si>
    <t>oracle_linux-cve-2018-18397</t>
  </si>
  <si>
    <t>Oracle Linux: (CVE-2018-18397) (Multiple Advisories): Unbreakable Enterprise kernel security update</t>
  </si>
  <si>
    <t>The userfaultfd implementation in the Linux kernel before 4.19.7 mishandles access control for certain UFFDIO_ ioctl calls, as demonstrated by allowing local users to write data into holes in a tmpfs file (if the user has read-only access to that file, and that file contains holes), related to fs/userfaultfd.c and mm/userfaultfd.c.</t>
  </si>
  <si>
    <t>Vulnerable OS: Oracle Linux 7.9_x000D_
_x000D_
_x000D_
Vulnerable software installed: Linux kernel-uek 4.1.12-94.3.9.el7uek_x000D_
_x000D_
 * Required patch [CVE-2018-18397] is not installed, no patches discovered._x000D_
_x000D_
_x000D_
 * _x000D_
      kernel-uek-firmware - version 4.1.12-94.3.9.el7uek is installed</t>
  </si>
  <si>
    <t>CVE-2018-18397</t>
  </si>
  <si>
    <t>http://nvd.nist.gov/vuln/detail/CVE-2018-18397</t>
  </si>
  <si>
    <t>http://www.exploit-db.com/exploits/45983</t>
  </si>
  <si>
    <t>oracle_linux-cve-2018-18559</t>
  </si>
  <si>
    <t>Oracle Linux: (CVE-2018-18559) (Multiple Advisories): Unbreakable Enterprise kernel security update</t>
  </si>
  <si>
    <t>In the Linux kernel through 4.19, a use-after-free can occur due to a race condition between fanout_add from setsockopt and bind on an AF_PACKET socket. This issue exists because of the 15fe076edea787807a7cdc168df832544b58eba6 incomplete fix for a race condition. The code mishandles a certain multithreaded case involving a packet_do_bind unregister action followed by a packet_notifier register action. Later, packet_release operates on only one of the two applicable linked lists. The attacker can achieve Program Counter control.</t>
  </si>
  <si>
    <t>Vulnerable OS: Oracle Linux 7.9_x000D_
_x000D_
_x000D_
Vulnerable software installed: Linux kernel-uek 4.1.12-94.3.9.el7uek_x000D_
_x000D_
 * Required patch [CVE-2018-18559] is not installed, no patches discovered._x000D_
_x000D_
_x000D_
 * _x000D_
      kernel-uek-firmware - version 4.1.12-94.3.9.el7uek is installed</t>
  </si>
  <si>
    <t>CVE-2018-18559</t>
  </si>
  <si>
    <t>http://nvd.nist.gov/vuln/detail/CVE-2018-18559</t>
  </si>
  <si>
    <t>oracle_linux-cve-2018-18690</t>
  </si>
  <si>
    <t>Oracle Linux: (CVE-2018-18690) ELSA-2018-4299: Unbreakable Enterprise kernel security update</t>
  </si>
  <si>
    <t>In the Linux kernel before 4.17, a local attacker able to set attributes on an xfs filesystem could make this filesystem non-operational until the next mount by triggering an unchecked error condition during an xfs attribute change, because xfs_attr_shortform_addname in fs/xfs/libxfs/xfs_attr.c mishandles ATTR_REPLACE operations with conversion of an attr from short to long form.</t>
  </si>
  <si>
    <t>Vulnerable OS: Oracle Linux 7.9_x000D_
_x000D_
_x000D_
Vulnerable software installed: Linux kernel-uek 4.1.12-94.3.9.el7uek_x000D_
_x000D_
 * Required patch [CVE-2018-18690] is not installed, no patches discovered._x000D_
_x000D_
_x000D_
 * _x000D_
      kernel-uek-firmware - version 4.1.12-94.3.9.el7uek is installed</t>
  </si>
  <si>
    <t>CVE-2018-18690</t>
  </si>
  <si>
    <t>http://nvd.nist.gov/vuln/detail/CVE-2018-18690</t>
  </si>
  <si>
    <t>oracle_linux-cve-2018-18710</t>
  </si>
  <si>
    <t>Oracle Linux: (CVE-2018-18710) (Multiple Advisories): Unbreakable Enterprise kernel security update</t>
  </si>
  <si>
    <t>An issue was discovered in the Linux kernel through 4.19. An information leak in cdrom_ioctl_select_disc in drivers/cdrom/cdrom.c could be used by local attackers to read kernel memory because a cast from unsigned long to int interferes with bounds checking. This is similar to CVE-2018-10940 and CVE-2018-16658.</t>
  </si>
  <si>
    <t>Vulnerable OS: Oracle Linux 7.9_x000D_
_x000D_
_x000D_
Vulnerable software installed: Linux kernel-uek 4.1.12-94.3.9.el7uek_x000D_
_x000D_
 * Required patch [CVE-2018-18710] is not installed, no patches discovered._x000D_
_x000D_
_x000D_
 * _x000D_
      kernel-uek-firmware - version 4.1.12-94.3.9.el7uek is installed</t>
  </si>
  <si>
    <t>CVE-2018-18710</t>
  </si>
  <si>
    <t>http://nvd.nist.gov/vuln/detail/CVE-2018-18710</t>
  </si>
  <si>
    <t>oracle_linux-cve-2018-19824</t>
  </si>
  <si>
    <t>Oracle Linux: (CVE-2018-19824) (Multiple Advisories): kernel security and bug fix update</t>
  </si>
  <si>
    <t>In the Linux kernel through 4.19.6, a local user could exploit a use-after-free in the ALSA driver by supplying a malicious USB Sound device (with zero interfaces) that is mishandled in usb_audio_probe in sound/usb/card.c.</t>
  </si>
  <si>
    <t>Vulnerable OS: Oracle Linux 7.9_x000D_
_x000D_
_x000D_
Vulnerable software installed: Linux kernel-uek 4.1.12-94.3.9.el7uek_x000D_
_x000D_
 * Required patch [CVE-2018-19824] is not installed, no patches discovered._x000D_
_x000D_
_x000D_
 * _x000D_
      kernel-uek-firmware - version 4.1.12-94.3.9.el7uek is installed</t>
  </si>
  <si>
    <t>CVE-2018-19824</t>
  </si>
  <si>
    <t>http://nvd.nist.gov/vuln/detail/CVE-2018-19824</t>
  </si>
  <si>
    <t>oracle_linux-cve-2018-19985</t>
  </si>
  <si>
    <t>Oracle Linux: (CVE-2018-19985) (Multiple Advisories): kernel security, bug fix, and enhancement update</t>
  </si>
  <si>
    <t>The function hso_get_config_data in drivers/net/usb/hso.c in the Linux kernel through 4.19.8 reads if_num from the USB device (as a u8) and uses it to index a small array, resulting in an object out-of-bounds (OOB) read that potentially allows arbitrary read in the kernel address space.</t>
  </si>
  <si>
    <t>Vulnerable OS: Oracle Linux 7.9_x000D_
_x000D_
_x000D_
Vulnerable software installed: Linux kernel-uek 4.1.12-94.3.9.el7uek_x000D_
_x000D_
 * Required patch [CVE-2018-19985] is not installed, no patches discovered._x000D_
_x000D_
_x000D_
 * _x000D_
      kernel-uek-firmware - version 4.1.12-94.3.9.el7uek is installed</t>
  </si>
  <si>
    <t>CVE-2018-19985</t>
  </si>
  <si>
    <t>http://nvd.nist.gov/vuln/detail/CVE-2018-19985</t>
  </si>
  <si>
    <t>oracle_linux-cve-2018-20169</t>
  </si>
  <si>
    <t>Oracle Linux: (CVE-2018-20169) (Multiple Advisories): kernel security, bug fix, and enhancement update</t>
  </si>
  <si>
    <t>An issue was discovered in the Linux kernel before 4.19.9. The USB subsystem mishandles size checks during the reading of an extra descriptor, related to __usb_get_extra_descriptor in drivers/usb/core/usb.c.</t>
  </si>
  <si>
    <t>Vulnerable OS: Oracle Linux 7.9_x000D_
_x000D_
_x000D_
Vulnerable software installed: Linux kernel-uek 4.1.12-94.3.9.el7uek_x000D_
_x000D_
 * Required patch [CVE-2018-20169] is not installed, no patches discovered._x000D_
_x000D_
_x000D_
 * _x000D_
      kernel-uek-firmware - version 4.1.12-94.3.9.el7uek is installed</t>
  </si>
  <si>
    <t>CVE-2018-20169</t>
  </si>
  <si>
    <t>http://nvd.nist.gov/vuln/detail/CVE-2018-20169</t>
  </si>
  <si>
    <t>oracle_linux-cve-2018-20836</t>
  </si>
  <si>
    <t>Oracle Linux: (CVE-2018-20836) (Multiple Advisories): kernel security, bug fix, and enhancement update</t>
  </si>
  <si>
    <t>An issue was discovered in the Linux kernel before 4.20. There is a race condition in smp_task_timedout() and smp_task_done() in drivers/scsi/libsas/sas_expander.c, leading to a use-after-free.</t>
  </si>
  <si>
    <t>Vulnerable OS: Oracle Linux 7.9_x000D_
_x000D_
_x000D_
Vulnerable software installed: Linux kernel-uek 4.1.12-94.3.9.el7uek_x000D_
_x000D_
 * Required patch [CVE-2018-20836] is not installed, no patches discovered._x000D_
_x000D_
_x000D_
 * _x000D_
      kernel-uek-firmware - version 4.1.12-94.3.9.el7uek is installed</t>
  </si>
  <si>
    <t>CVE-2018-20836</t>
  </si>
  <si>
    <t>http://nvd.nist.gov/vuln/detail/CVE-2018-20836</t>
  </si>
  <si>
    <t>oracle_linux-cve-2018-20856</t>
  </si>
  <si>
    <t>Oracle Linux: (CVE-2018-20856) (Multiple Advisories): Unbreakable Enterprise kernel security update</t>
  </si>
  <si>
    <t>An issue was discovered in the Linux kernel before 4.18.7. In block/blk-core.c, there is an __blk_drain_queue() use-after-free because a certain error case is mishandled.</t>
  </si>
  <si>
    <t>Vulnerable OS: Oracle Linux 7.9_x000D_
_x000D_
_x000D_
Vulnerable software installed: Linux kernel-uek 4.1.12-94.3.9.el7uek_x000D_
_x000D_
 * Required patch [CVE-2018-20856] is not installed, no patches discovered._x000D_
_x000D_
_x000D_
 * _x000D_
      kernel-uek-firmware - version 4.1.12-94.3.9.el7uek is installed</t>
  </si>
  <si>
    <t>CVE-2018-20856</t>
  </si>
  <si>
    <t>http://nvd.nist.gov/vuln/detail/CVE-2018-20856</t>
  </si>
  <si>
    <t>oracle_linux-cve-2018-3620</t>
  </si>
  <si>
    <t>Oracle Linux: (CVE-2018-3620) (Multiple Advisories): kernel security update</t>
  </si>
  <si>
    <t>Systems with microprocessors utilizing speculative execution and address translations may allow unauthorized disclosure of information residing in the L1 data cache to an attacker with local user access via a terminal page fault and a side-channel analysis.</t>
  </si>
  <si>
    <t>Vulnerable OS: Oracle Linux 7.9_x000D_
_x000D_
_x000D_
Vulnerable software installed: Linux kernel-uek 4.1.12-94.3.9.el7uek_x000D_
_x000D_
 * Required patch [CVE-2018-3620] is not installed, no patches discovered._x000D_
_x000D_
_x000D_
 * _x000D_
      kernel-uek-firmware - version 4.1.12-94.3.9.el7uek is installed</t>
  </si>
  <si>
    <t>CVE-2018-3620</t>
  </si>
  <si>
    <t>http://nvd.nist.gov/vuln/detail/CVE-2018-3620</t>
  </si>
  <si>
    <t>oracle_linux-cve-2018-3639</t>
  </si>
  <si>
    <t>Oracle Linux: (CVE-2018-3639) (Multiple Advisories): java-1.8.0-openjdk security update</t>
  </si>
  <si>
    <t>* ivshmem-tools on Oracle Linux_x000D_
      Upgrade ivshmem-tools_x000D_
_x000D_
       Update ivshmem-tools using yum or up2date. Please note that customers with support can use the  Unbreakable Linux Network (ULN) (https://linux.oracle.com) , and customers without support can use the  publicly available Oracle Linux yum repositories (http://public-yum.oracle.com) . _x000D_
_x000D_
_x000D_
 * java-1.7.0-openjdk on Oracle Linux_x000D_
      Upgrade java-1.7.0-openjdk_x000D_
_x000D_
       Update java-1.7.0-openjdk using yum or up2date. Please note that customers with support can use the  Unbreakable Linux Network (ULN) (https://linux.oracle.com) , and customers without support can use the  publicly available Oracle Linux yum repositories (http://public-yum.oracle.com) . _x000D_
_x000D_
_x000D_
 * java-1.7.0-openjdk-accessibility on Oracle Linux_x000D_
      Upgrade java-1.7.0-openjdk-accessibility_x000D_
_x000D_
       Update java-1.7.0-openjdk-accessibility using yum or up2date. Please note that customers with support can use the  Unbreakable Linux Network (ULN) (https://linux.oracle.com) , and customers without support can use the  publicly available Oracle Linux yum repositories (http://public-yum.oracle.com) . _x000D_
_x000D_
_x000D_
 * java-1.7.0-openjdk-demo on Oracle Linux_x000D_
      Upgrade java-1.7.0-openjdk-demo_x000D_
_x000D_
       Update java-1.7.0-openjdk-demo using yum or up2date. Please note that customers with support can use the  Unbreakable Linux Network (ULN) (https://linux.oracle.com) , and customers without support can use the  publicly available Oracle Linux yum repositories (http://public-yum.oracle.com) . _x000D_
_x000D_
_x000D_
 * java-1.7.0-openjdk-devel on Oracle Linux_x000D_
      Upgrade java-1.7.0-openjdk-devel_x000D_
_x000D_
       Update java-1.7.0-openjdk-devel using yum or up2date. Please note that customers with support can use the  Unbreakable Linux Network (ULN) (https://linux.oracle.com) , and customers without support can use the  publicly available Oracle Linux yum repositories (http://public-yum.oracle.com) . _x000D_
_x000D_
_x000D_
 * java-1.7.0-openjdk-headless on Oracle Linux_x000D_
      Upgrade java-1.7.0-openjdk-headless_x000D_
_x000D_
       Update java-1.7.0-openjdk-headless using yum or up2date. Please note that customers with support can use the  Unbreakable Linux Network (ULN) (https://linux.oracle.com) , and customers without support can use the  publicly available Oracle Linux yum repositories (http://public-yum.oracle.com) . _x000D_
_x000D_
_x000D_
 * java-1.7.0-openjdk-javadoc on Oracle Linux_x000D_
      Upgrade java-1.7.0-openjdk-javadoc_x000D_
_x000D_
       Update java-1.7.0-openjdk-javadoc using yum or up2date. Please note that customers with support can use the  Unbreakable Linux Network (ULN) (https://linux.oracle.com) , and customers without support can use the  publicly available Oracle Linux yum repositories (http://public-yum.oracle.com) . _x000D_
_x000D_
_x000D_
 * java-1.7.0-openjdk-src on Oracle Linux_x000D_
      Upgrade java-1.7.0-openjdk-src_x000D_
_x000D_
       Update java-1.7.0-openjdk-src using yum or up2date. Please note that customers with support can use the  Unbreakable Linux Network (ULN) (https://linux.oracle.com) , and customers without support can use the  publicly available Oracle Linux yum repositories (http://public-yum.oracle.com) . _x000D_
_x000D_
_x000D_
 * java-1.8.0-openjdk on Oracle Linux_x000D_
      Upgrade java-1.8.0-openjdk_x000D_
_x000D_
       Update java-1.8.0-openjdk using yum or up2date. Please note that customers with support can use the  Unbreakable Linux Network (ULN) (https://linux.oracle.com) , and customers without support can use the  publicly available Oracle Linux yum repositories (http://public-yum.oracle.com) . _x000D_
_x000D_
_x000D_
 * java-1.8.0-openjdk-accessibility on Oracle Linux_x000D_
      Upgrade java-1.8.0-openjdk-accessibility_x000D_
_x000D_
       Update java-1.8.0-openjdk-accessibility using yum or up2date. Please note that customers with support can use the  Unbreakable Linux Network (ULN) (https://linux.oracle.com) , and customers without support can use the  publicly available Oracle Linux yum repositories (http://public-yum.oracle.com) . _x000D_
_x000D_
_x000D_
 * java-1.8.0-openjdk-accessibility-debug on Oracle Linux_x000D_
      Upgrade java-1.8.0-openjdk-accessibility-debug_x000D_
_x000D_
       Update java-1.8.0-openjdk-accessibility-debug using yum or up2date. Please note that customers with support can use the  Unbreakable Linux Network (ULN) (https://linux.oracle.com) , and customers without support can use the  publicly available Oracle Linux yum repositories (http://public-yum.oracle.com) . _x000D_
_x000D_
_x000D_
 * java-1.8.0-openjdk-debug on Oracle Linux_x000D_
      Upgrade java-1.8.0-openjdk-debug_x000D_
_x000D_
       Update java-1.8.0-openjdk-debug using yum or up2date. Please note that customers with support can use the  Unbreakable Linux Network (ULN) (https://linux.oracle.com) , and customers without support can use the  publicly available Oracle Linux yum repositories (http://public-yum.oracle.com) . _x000D_
_x000D_
_x000D_
 * java-1.8.0-openjdk-demo on Oracle Linux_x000D_
      Upgrade java-1.8.0-openjdk-demo_x000D_
_x000D_
       Update java-1.8.0-openjdk-demo using yum or up2date. Please note that customers with support can use the  Unbreakable Linux Network (ULN) (https://linux.oracle.com) , and customers without support can use the  publicly available Oracle Linux yum repositories (http://public-yum.oracle.com) . _x000D_
_x000D_
_x000D_
 * java-1.8.0-openjdk-demo-debug on Oracle Linux_x000D_
      Upgrade java-1.8.0-openjdk-demo-debug_x000D_
_x000D_
       Update java-1.8.0-openjdk-demo-debug using yum or up2date. Please note that customers with support can use the  Unbreakable Linux Network (ULN) (https://linux.oracle.com) , and customers without support can use the  publicly available Oracle Linux yum repositories (http://public-yum.oracle.com) . _x000D_
_x000D_
_x000D_
 * java-1.8.0-openjdk-devel on Oracle Linux_x000D_
      Upgrade java-1.8.0-openjdk-devel_x000D_
_x000D_
       Update java-1.8.0-openjdk-devel using yum or up2date. Please note that customers with support can use the  Unbreakable Linux Network (ULN) (https://linux.oracle.com) , and customers without support can use the  publicly available Oracle Linux yum repositories (http://public-yum.oracle.com) . _x000D_
_x000D_
_x000D_
 * java-1.8.0-openjdk-devel-debug on Oracle Linux_x000D_
      Upgrade java-1.8.0-openjdk-devel-debug_x000D_
_x000D_
       Update java-1.8.0-openjdk-devel-debug using yum or up2date. Please note that customers with support can use the  Unbreakable Linux Network (ULN) (https://linux.oracle.com) , and customers without support can use the  publicly available Oracle Linux yum repositories (http://public-yum.oracle.com) . _x000D_
_x000D_
_x000D_
 * java-1.8.0-openjdk-headless on Oracle Linux_x000D_
      Upgrade java-1.8.0-openjdk-headless_x000D_
_x000D_
       Update java-1.8.0-openjdk-headless using yum or up2date. Please note that customers with support can use the  Unbreakable Linux Network (ULN) (https://linux.oracle.com) , and customers without support can use the  publicly available Oracle Linux yum repositories (http://public-yum.oracle.com) . _x000D_
_x000D_
_x000D_
 * java-1.8.0-openjdk-headless-debug on Oracle Linux_x000D_
      Upgrade java-1.8.0-openjdk-headless-debug_x000D_
_x000D_
       Update java-1.8.0-openjdk-headless-debug using yum or up2date. Please note that customers with support can use the  Unbreakable Linux Network (ULN) (https://linux.oracle.com) , and customers without support can use the  publicly available Oracle Linux yum repositories (http://public-yum.oracle.com) . _x000D_
_x000D_
_x000D_
 * java-1.8.0-openjdk-javadoc on Oracle Linux_x000D_
      Upgrade java-1.8.0-openjdk-javadoc_x000D_
_x000D_
       Update java-1.8.0-openjdk-javadoc using yum or up2date. Please note that customers with support can use the  Unbreakable Linux Network (ULN) (https://linux.oracle.com) , and customers without support can use the  publicly available Oracle Linux yum repositories (http://public-yum.oracle.com) . _x000D_
_x000D_
_x000D_
 * java-1.8.0-openjdk-javadoc-debug on Oracle Linux_x000D_
      Upgrade java-1.8.0-openjdk-javadoc-debug_x000D_
_x000D_
       Update java-1.8.0-openjdk-javadoc-debug using yum or up2date. Please note that customers with support can use the  Unbreakable Linux Network (ULN) (https://linux.oracle.com) , and customers without support can use the  publicly available Oracle Linux yum repositories (http://public-yum.oracle.com) . _x000D_
_x000D_
_x000D_
 * java-1.8.0-openjdk-javadoc-zip on Oracle Linux_x000D_
      Upgrade java-1.8.0-openjdk-javadoc-zip_x000D_
_x000D_
       Update java-1.8.0-openjdk-javadoc-zip using yum or up2date. Please note that customers with support can use the  Unbreakable Linux Network (ULN) (https://linux.oracle.com) , and customers without support can use the  publicly available Oracle Linux yum repositories (http://public-yum.oracle.com) . _x000D_
_x000D_
_x000D_
 * java-1.8.0-openjdk-javadoc-zip-debug on Oracle Linux_x000D_
      Upgrade java-1.8.0-openjdk-javadoc-zip-debug_x000D_
_x000D_
       Update java-1.8.0-openjdk-javadoc-zip-debug using yum or up2date. Please note that customers with support can use the  Unbreakable Linux Network (ULN) (https://linux.oracle.com) , and customers without support can use the  publicly available Oracle Linux yum repositories (http://public-yum.oracle.com) . _x000D_
_x000D_
_x000D_
 * java-1.8.0-openjdk-src on Oracle Linux_x000D_
      Upgrade java-1.8.0-openjdk-src_x000D_
_x000D_
       Update java-1.8.0-openjdk-src using yum or up2date. Please note that customers with support can use the  Unbreakable Linux Network (ULN) (https://linux.oracle.com) , and customers without support can use the  publicly available Oracle Linux yum repositories (http://public-yum.oracle.com) . _x000D_
_x000D_
_x000D_
 * java-1.8.0-openjdk-src-debug on Oracle Linux_x000D_
      Upgrade java-1.8.0-openjdk-src-debug_x000D_
_x000D_
       Update java-1.8.0-openjdk-src-debug using yum or up2date. Please note that customers with support can use the  Unbreakable Linux Network (ULN) (https://linux.oracle.com) , and customers without support can use the  publicly available Oracle Linux yum repositories (http://public-yum.oracle.com) . _x000D_
_x000D_
_x000D_
 * kernel on Oracle Linux_x000D_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libvirt on Oracle Linux_x000D_
      Upgrade libvirt_x000D_
_x000D_
       Update libvirt using yum or up2date. Please note that customers with support can use the  Unbreakable Linux Network (ULN) (https://linux.oracle.com) , and customers without support can use the  publicly available Oracle Linux yum repositories (http://public-yum.oracle.com) . _x000D_
_x000D_
_x000D_
 * libvirt-admin on Oracle Linux_x000D_
      Upgrade libvirt-admin_x000D_
_x000D_
       Update libvirt-admin using yum or up2date. Please note that customers with support can use the  Unbreakable Linux Network (ULN) (https://linux.oracle.com) , and customers without support can use the  publicly available Oracle Linux yum repositories (http://public-yum.oracle.com) . _x000D_
_x000D_
_x000D_
 * libvirt-client on Oracle Linux_x000D_
      Upgrade libvirt-client_x000D_
_x000D_
       Update libvirt-client using yum or up2date. Please note that customers with support can use the  Unbreakable Linux Network (ULN) (https://linux.oracle.com) , and customers without support can use the  publicly available Oracle Linux yum repositories (http://public-yum.oracle.com) . _x000D_
_x000D_
_x000D_
 * libvirt-daemon on Oracle Linux_x000D_
      Upgrade libvirt-daemon_x000D_
_x000D_
       Update libvirt-daemon using yum or up2date. Please note that customers with support can use the  Unbreakable Linux Network (ULN) (https://linux.oracle.com) , and customers without support can use the  publicly available Oracle Linux yum repositories (http://public-yum.oracle.com) . _x000D_
_x000D_
_x000D_
 * libvirt-daemon-config-network on Oracle Linux_x000D_
      Upgrade libvirt-daemon-config-network_x000D_
_x000D_
       Update libvirt-daemon-config-network using yum or up2date. Please note that customers with support can use the  Unbreakable Linux Network (ULN) (https://linux.oracle.com) , and customers without support can use the  publicly available Oracle Linux yum repositories (http://public-yum.oracle.com) . _x000D_
_x000D_
_x000D_
 * libvirt-daemon-config-nwfilter on Oracle Linux_x000D_
      Upgrade libvirt-daemon-config-nwfilter_x000D_
_x000D_
       Update libvirt-daemon-config-nwfilter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libvirt-daemon-driver-interface on Oracle Linux_x000D_
      Upgrade libvirt-daemon-driver-interface_x000D_
_x000D_
       Update libvirt-daemon-driver-interface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libvirt-daemon-driver-lxc on Oracle Linux_x000D_
      Upgrade libvirt-daemon-driver-lxc_x000D_
_x000D_
       Update libvirt-daemon-driver-lxc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libvirt-daemon-driver-network on Oracle Linux_x000D_
      Upgrade libvirt-daemon-driver-network_x000D_
_x000D_
       Update libvirt-daemon-driver-network using yum or up2date. Please note that customers with support can use the  Unbreakable Linux Network (ULN) (https://linux.oracle.com) , and customers without support can use the  publicly available Oracle Linux yum repositories (http://public-yum.oracle.com) . _x000D_
_x000D_
_x000D_
 * libvirt-daemon-driver-nodedev on Oracle Linux_x000D_
      Upgrade libvirt-daemon-driver-nodedev_x000D_
_x000D_
       Update libvirt-daemon-driver-nodedev using yum or up2date. Please note that customers with support can use the  Unbreakable Linux Network (ULN) (https://linux.oracle.com) , and customers without support can use the  publicly available Oracle Linux yum reposit</t>
  </si>
  <si>
    <t>Vulnerable OS: Oracle Linux 7.9_x000D_
_x000D_
_x000D_
Vulnerable software installed: Linux kernel-uek 4.1.12-94.3.9.el7uek_x000D_
_x000D_
 * Required patch [CVE-2018-3639] is not installed, no patches discovered._x000D_
_x000D_
_x000D_
 * _x000D_
      kernel-uek-firmware - version 4.1.12-94.3.9.el7uek is installed</t>
  </si>
  <si>
    <t>oracle_linux-cve-2018-3646</t>
  </si>
  <si>
    <t>Oracle Linux: (CVE-2018-3646) (Multiple Advisories): Unbreakable Enterprise kernel security update</t>
  </si>
  <si>
    <t>Vulnerable OS: Oracle Linux 7.9_x000D_
_x000D_
_x000D_
Vulnerable software installed: Linux kernel-uek 4.1.12-94.3.9.el7uek_x000D_
_x000D_
 * Required patch [CVE-2018-3646] is not installed, no patches discovered._x000D_
_x000D_
_x000D_
 * _x000D_
      kernel-uek-firmware - version 4.1.12-94.3.9.el7uek is installed</t>
  </si>
  <si>
    <t>oracle_linux-cve-2018-3665</t>
  </si>
  <si>
    <t>Oracle Linux: (CVE-2018-3665) (Multiple Advisories): Unbreakable Enterprise kernel security update</t>
  </si>
  <si>
    <t>System software utilizing Lazy FP state restore technique on systems using Intel Core-based microprocessors may potentially allow a local process to infer data from another process through a speculative execution side channel.</t>
  </si>
  <si>
    <t>Vulnerable OS: Oracle Linux 7.9_x000D_
_x000D_
_x000D_
Vulnerable software installed: Linux kernel-uek 4.1.12-94.3.9.el7uek_x000D_
_x000D_
 * Required patch [CVE-2018-3665] is not installed, no patches discovered._x000D_
_x000D_
_x000D_
 * _x000D_
      kernel-uek-firmware - version 4.1.12-94.3.9.el7uek is installed</t>
  </si>
  <si>
    <t>CVE-2018-3665</t>
  </si>
  <si>
    <t>http://nvd.nist.gov/vuln/detail/CVE-2018-3665</t>
  </si>
  <si>
    <t>oracle_linux-cve-2018-5332</t>
  </si>
  <si>
    <t>Oracle Linux: (CVE-2018-5332) (Multiple Advisories): Unbreakable Enterprise kernel security update</t>
  </si>
  <si>
    <t>In the Linux kernel through 4.14.13, the rds_message_alloc_sgs() function does not validate a value that is used during DMA page allocation, leading to a heap-based out-of-bounds write (related to the rds_rdma_extra_size function in net/rds/rdma.c).</t>
  </si>
  <si>
    <t>Vulnerable OS: Oracle Linux 7.9_x000D_
_x000D_
_x000D_
Vulnerable software installed: Linux kernel-uek 4.1.12-94.3.9.el7uek_x000D_
_x000D_
 * Required patch [CVE-2018-5332] is not installed, no patches discovered._x000D_
_x000D_
_x000D_
 * _x000D_
      kernel-uek-firmware - version 4.1.12-94.3.9.el7uek is installed</t>
  </si>
  <si>
    <t>CVE-2018-5332</t>
  </si>
  <si>
    <t>http://nvd.nist.gov/vuln/detail/CVE-2018-5332</t>
  </si>
  <si>
    <t>oracle_linux-cve-2018-5333</t>
  </si>
  <si>
    <t>Oracle Linux: (CVE-2018-5333) (Multiple Advisories): Unbreakable Enterprise kernel security update</t>
  </si>
  <si>
    <t>In the Linux kernel through 4.14.13, the rds_cmsg_atomic function in net/rds/rdma.c mishandles cases where page pinning fails or an invalid address is supplied, leading to an rds_atomic_free_op NULL pointer dereference.</t>
  </si>
  <si>
    <t>Vulnerable OS: Oracle Linux 7.9_x000D_
_x000D_
_x000D_
Vulnerable software installed: Linux kernel-uek 4.1.12-94.3.9.el7uek_x000D_
_x000D_
 * Required patch [CVE-2018-5333] is not installed, no patches discovered._x000D_
_x000D_
_x000D_
 * _x000D_
      kernel-uek-firmware - version 4.1.12-94.3.9.el7uek is installed</t>
  </si>
  <si>
    <t>CVE-2018-5333</t>
  </si>
  <si>
    <t>http://nvd.nist.gov/vuln/detail/CVE-2018-5333</t>
  </si>
  <si>
    <t>http://www.rapid7.com/db/modules/exploit/linux/local/rds_atomic_free_op_null_pointer_deref_priv_esc</t>
  </si>
  <si>
    <t>oracle_linux-cve-2018-5390</t>
  </si>
  <si>
    <t>Oracle Linux: (CVE-2018-5390) (Multiple Advisories): kernel security and bug fix update</t>
  </si>
  <si>
    <t>Linux kernel versions 4.9+ can be forced to make very expensive calls to tcp_collapse_ofo_queue() and tcp_prune_ofo_queue() for every incoming packet which can lead to a denial of service.</t>
  </si>
  <si>
    <t>Vulnerable OS: Oracle Linux 7.9_x000D_
_x000D_
_x000D_
Vulnerable software installed: Linux kernel-uek 4.1.12-94.3.9.el7uek_x000D_
_x000D_
 * Required patch [CVE-2018-5390] is not installed, no patches discovered._x000D_
_x000D_
_x000D_
 * _x000D_
      kernel-uek-firmware - version 4.1.12-94.3.9.el7uek is installed</t>
  </si>
  <si>
    <t>CVE-2018-5390</t>
  </si>
  <si>
    <t>http://nvd.nist.gov/vuln/detail/CVE-2018-5390</t>
  </si>
  <si>
    <t>oracle_linux-cve-2018-5391</t>
  </si>
  <si>
    <t>Oracle Linux: (CVE-2018-5391) (Multiple Advisories): kernel security, bug fix, and enhancement update</t>
  </si>
  <si>
    <t>The Linux kernel, versions 3.9+, is vulnerable to a denial of service attack with low rates of specially modified packets targeting IP fragment re-assembly. An attacker may cause a denial of service condition by sending specially crafted IP fragments. Various vulnerabilities in IP fragmentation have been discovered and fixed over the years. The current vulnerability (CVE-2018-5391) became exploitable in the Linux kernel with the increase of the IP fragment reassembly queue size.</t>
  </si>
  <si>
    <t>Vulnerable OS: Oracle Linux 7.9_x000D_
_x000D_
_x000D_
Vulnerable software installed: Linux kernel-uek 4.1.12-94.3.9.el7uek_x000D_
_x000D_
 * Required patch [CVE-2018-5391] is not installed, no patches discovered._x000D_
_x000D_
_x000D_
 * _x000D_
      kernel-uek-firmware - version 4.1.12-94.3.9.el7uek is installed</t>
  </si>
  <si>
    <t>CVE-2018-5391</t>
  </si>
  <si>
    <t>http://nvd.nist.gov/vuln/detail/CVE-2018-5391</t>
  </si>
  <si>
    <t>oracle_linux-cve-2018-5750</t>
  </si>
  <si>
    <t>Oracle Linux: (CVE-2018-5750) (Multiple Advisories): Unbreakable Enterprise kernel security update</t>
  </si>
  <si>
    <t>The acpi_smbus_hc_add function in drivers/acpi/sbshc.c in the Linux kernel through 4.14.15 allows local users to obtain sensitive address information by reading dmesg data from an SBS HC printk call.</t>
  </si>
  <si>
    <t>Vulnerable OS: Oracle Linux 7.9_x000D_
_x000D_
_x000D_
Vulnerable software installed: Linux kernel-uek 4.1.12-94.3.9.el7uek_x000D_
_x000D_
 * Required patch [CVE-2018-5750] is not installed, no patches discovered._x000D_
_x000D_
_x000D_
 * _x000D_
      kernel-uek-firmware - version 4.1.12-94.3.9.el7uek is installed</t>
  </si>
  <si>
    <t>CVE-2018-5750</t>
  </si>
  <si>
    <t>http://nvd.nist.gov/vuln/detail/CVE-2018-5750</t>
  </si>
  <si>
    <t>oracle_linux-cve-2018-5803</t>
  </si>
  <si>
    <t>Oracle Linux: (CVE-2018-5803) (Multiple Advisories): kernel security, bug fix, and enhancement update</t>
  </si>
  <si>
    <t>In the Linux Kernel before version 4.15.8, 4.14.25, 4.9.87, 4.4.121, 4.1.51, and 3.2.102, an error in the "_sctp_make_chunk()" function (net/sctp/sm_make_chunk.c) when handling SCTP packets length can be exploited to cause a kernel crash.</t>
  </si>
  <si>
    <t>Vulnerable OS: Oracle Linux 7.9_x000D_
_x000D_
_x000D_
Vulnerable software installed: Linux kernel-uek 4.1.12-94.3.9.el7uek_x000D_
_x000D_
 * Required patch [CVE-2018-5803] is not installed, no patches discovered._x000D_
_x000D_
_x000D_
 * _x000D_
      kernel-uek-firmware - version 4.1.12-94.3.9.el7uek is installed</t>
  </si>
  <si>
    <t>CVE-2018-5803</t>
  </si>
  <si>
    <t>http://nvd.nist.gov/vuln/detail/CVE-2018-5803</t>
  </si>
  <si>
    <t>oracle_linux-cve-2018-5873</t>
  </si>
  <si>
    <t>Oracle Linux: (CVE-2018-5873) ELSA-2018-4227: Unbreakable Enterprise kernel security update</t>
  </si>
  <si>
    <t>An issue was discovered in the __ns_get_path function in fs/nsfs.c in the Linux kernel before 4.11. Due to a race condition when accessing files, a Use After Free condition can occur. This also affects all Android releases from CAF using the Linux kernel (Android for MSM, Firefox OS for MSM, QRD Android) before security patch level 2018-07-05.</t>
  </si>
  <si>
    <t>Vulnerable OS: Oracle Linux 7.9_x000D_
_x000D_
_x000D_
Vulnerable software installed: Linux kernel-uek 4.1.12-94.3.9.el7uek_x000D_
_x000D_
 * Required patch [CVE-2018-5873] is not installed, no patches discovered._x000D_
_x000D_
_x000D_
 * _x000D_
      kernel-uek-firmware - version 4.1.12-94.3.9.el7uek is installed</t>
  </si>
  <si>
    <t>CVE-2018-5873</t>
  </si>
  <si>
    <t>http://nvd.nist.gov/vuln/detail/CVE-2018-5873</t>
  </si>
  <si>
    <t>oracle_linux-cve-2018-5953</t>
  </si>
  <si>
    <t>Oracle Linux: (CVE-2018-5953) (Multiple Advisories): Unbreakable Enterprise kernel security update</t>
  </si>
  <si>
    <t>The swiotlb_print_info function in lib/swiotlb.c in the Linux kernel through 4.14.14 allows local users to obtain sensitive address information by reading dmesg data from a "software IO TLB" printk call.</t>
  </si>
  <si>
    <t>Vulnerable OS: Oracle Linux 7.9_x000D_
_x000D_
_x000D_
Vulnerable software installed: Linux kernel-uek 4.1.12-94.3.9.el7uek_x000D_
_x000D_
 * Required patch [CVE-2018-5953] is not installed, no patches discovered._x000D_
_x000D_
_x000D_
 * _x000D_
      kernel-uek-firmware - version 4.1.12-94.3.9.el7uek is installed</t>
  </si>
  <si>
    <t>CVE-2018-5953</t>
  </si>
  <si>
    <t>http://nvd.nist.gov/vuln/detail/CVE-2018-5953</t>
  </si>
  <si>
    <t>oracle_linux-cve-2018-6927</t>
  </si>
  <si>
    <t>Oracle Linux: (CVE-2018-6927) (Multiple Advisories): Unbreakable Enterprise kernel security update</t>
  </si>
  <si>
    <t>The futex_requeue function in kernel/futex.c in the Linux kernel before 4.14.15 might allow attackers to cause a denial of service (integer overflow) or possibly have unspecified other impact by triggering a negative wake or requeue value.</t>
  </si>
  <si>
    <t>Vulnerable OS: Oracle Linux 7.9_x000D_
_x000D_
_x000D_
Vulnerable software installed: Linux kernel-uek 4.1.12-94.3.9.el7uek_x000D_
_x000D_
 * Required patch [CVE-2018-6927] is not installed, no patches discovered._x000D_
_x000D_
_x000D_
 * _x000D_
      kernel-uek-firmware - version 4.1.12-94.3.9.el7uek is installed</t>
  </si>
  <si>
    <t>CVE-2018-6927</t>
  </si>
  <si>
    <t>http://nvd.nist.gov/vuln/detail/CVE-2018-6927</t>
  </si>
  <si>
    <t>oracle_linux-cve-2018-7191</t>
  </si>
  <si>
    <t>Oracle Linux: (CVE-2018-7191) (Multiple Advisories): kernel security, bug fix, and enhancement update</t>
  </si>
  <si>
    <t>In the tun subsystem in the Linux kernel before 4.13.14, dev_get_valid_name is not called before register_netdevice. This allows local users to cause a denial of service (NULL pointer dereference and panic) via an ioctl(TUNSETIFF) call with a dev name containing a / character. This is similar to CVE-2013-4343.</t>
  </si>
  <si>
    <t>Vulnerable OS: Oracle Linux 7.9_x000D_
_x000D_
_x000D_
Vulnerable software installed: Linux kernel-uek 4.1.12-94.3.9.el7uek_x000D_
_x000D_
 * Required patch [CVE-2018-7191] is not installed, no patches discovered._x000D_
_x000D_
_x000D_
 * _x000D_
      kernel-uek-firmware - version 4.1.12-94.3.9.el7uek is installed</t>
  </si>
  <si>
    <t>CVE-2018-7191</t>
  </si>
  <si>
    <t>http://nvd.nist.gov/vuln/detail/CVE-2018-7191</t>
  </si>
  <si>
    <t>oracle_linux-cve-2018-7566</t>
  </si>
  <si>
    <t>Oracle Linux: (CVE-2018-7566) (Multiple Advisories): Unbreakable Enterprise kernel security update</t>
  </si>
  <si>
    <t>The Linux kernel 4.15 has a Buffer Overflow via an SNDRV_SEQ_IOCTL_SET_CLIENT_POOL ioctl write operation to /dev/snd/seq by a local user.</t>
  </si>
  <si>
    <t>Vulnerable OS: Oracle Linux 7.9_x000D_
_x000D_
_x000D_
Vulnerable software installed: Linux kernel-uek 4.1.12-94.3.9.el7uek_x000D_
_x000D_
 * Required patch [CVE-2018-7566] is not installed, no patches discovered._x000D_
_x000D_
_x000D_
 * _x000D_
      kernel-uek-firmware - version 4.1.12-94.3.9.el7uek is installed</t>
  </si>
  <si>
    <t>CVE-2018-7566</t>
  </si>
  <si>
    <t>http://nvd.nist.gov/vuln/detail/CVE-2018-7566</t>
  </si>
  <si>
    <t>oracle_linux-cve-2018-7755</t>
  </si>
  <si>
    <t>Oracle Linux: (CVE-2018-7755) (Multiple Advisories): kernel security, bug fix, and enhancement update</t>
  </si>
  <si>
    <t>An issue was discovered in the fd_locked_ioctl function in drivers/block/floppy.c in the Linux kernel through 4.15.7. The floppy driver will copy a kernel pointer to user memory in response to the FDGETPRM ioctl. An attacker can send the FDGETPRM ioctl and use the obtained kernel pointer to discover the location of kernel code and data and bypass kernel security protections such as KASLR.</t>
  </si>
  <si>
    <t>Vulnerable OS: Oracle Linux 7.9_x000D_
_x000D_
_x000D_
Vulnerable software installed: Linux kernel-uek 4.1.12-94.3.9.el7uek_x000D_
_x000D_
 * Required patch [CVE-2018-7755] is not installed, no patches discovered._x000D_
_x000D_
_x000D_
 * _x000D_
      kernel-uek-firmware - version 4.1.12-94.3.9.el7uek is installed</t>
  </si>
  <si>
    <t>CVE-2018-7755</t>
  </si>
  <si>
    <t>http://nvd.nist.gov/vuln/detail/CVE-2018-7755</t>
  </si>
  <si>
    <t>oracle_linux-cve-2018-7757</t>
  </si>
  <si>
    <t>Oracle Linux: (CVE-2018-7757) (Multiple Advisories): Unbreakable Enterprise kernel security update</t>
  </si>
  <si>
    <t>Memory leak in the sas_smp_get_phy_events function in drivers/scsi/libsas/sas_expander.c in the Linux kernel through 4.15.7 allows local users to cause a denial of service (memory consumption) via many read accesses to files in the /sys/class/sas_phy directory, as demonstrated by the /sys/class/sas_phy/phy-1:0:12/invalid_dword_count file.</t>
  </si>
  <si>
    <t>Vulnerable OS: Oracle Linux 7.9_x000D_
_x000D_
_x000D_
Vulnerable software installed: Linux kernel-uek 4.1.12-94.3.9.el7uek_x000D_
_x000D_
 * Required patch [CVE-2018-7757] is not installed, no patches discovered._x000D_
_x000D_
_x000D_
 * _x000D_
      kernel-uek-firmware - version 4.1.12-94.3.9.el7uek is installed</t>
  </si>
  <si>
    <t>CVE-2018-7757</t>
  </si>
  <si>
    <t>http://nvd.nist.gov/vuln/detail/CVE-2018-7757</t>
  </si>
  <si>
    <t>oracle_linux-cve-2018-7995</t>
  </si>
  <si>
    <t>Oracle Linux: (CVE-2018-7995) (Multiple Advisories): Unbreakable Enterprise kernel security update</t>
  </si>
  <si>
    <t>** DISPUTED ** Race condition in the store_int_with_restart() function in arch/x86/kernel/cpu/mcheck/mce.c in the Linux kernel through 4.15.7 allows local users to cause a denial of service (panic) by leveraging root access to write to the check_interval file in a /sys/devices/system/machinecheck/machinecheck&lt;cpu number&gt; directory. NOTE: a third party has indicated that this report is not security relevant.</t>
  </si>
  <si>
    <t>Vulnerable OS: Oracle Linux 7.9_x000D_
_x000D_
_x000D_
Vulnerable software installed: Linux kernel-uek 4.1.12-94.3.9.el7uek_x000D_
_x000D_
 * Required patch [CVE-2018-7995] is not installed, no patches discovered._x000D_
_x000D_
_x000D_
 * _x000D_
      kernel-uek-firmware - version 4.1.12-94.3.9.el7uek is installed</t>
  </si>
  <si>
    <t>CVE-2018-7995</t>
  </si>
  <si>
    <t>http://nvd.nist.gov/vuln/detail/CVE-2018-7995</t>
  </si>
  <si>
    <t>oracle_linux-cve-2018-8043</t>
  </si>
  <si>
    <t>Oracle Linux: (CVE-2018-8043) (Multiple Advisories): Unbreakable Enterprise kernel security update</t>
  </si>
  <si>
    <t>The unimac_mdio_probe function in drivers/net/phy/mdio-bcm-unimac.c in the Linux kernel through 4.15.8 does not validate certain resource availability, which allows local users to cause a denial of service (NULL pointer dereference).</t>
  </si>
  <si>
    <t>Vulnerable OS: Oracle Linux 7.9_x000D_
_x000D_
_x000D_
Vulnerable software installed: Linux kernel-uek 4.1.12-94.3.9.el7uek_x000D_
_x000D_
 * Required patch [CVE-2018-8043] is not installed, no patches discovered._x000D_
_x000D_
_x000D_
 * _x000D_
      kernel-uek-firmware - version 4.1.12-94.3.9.el7uek is installed</t>
  </si>
  <si>
    <t>CVE-2018-8043</t>
  </si>
  <si>
    <t>http://nvd.nist.gov/vuln/detail/CVE-2018-8043</t>
  </si>
  <si>
    <t>oracle_linux-cve-2018-8897</t>
  </si>
  <si>
    <t>Oracle Linux: (CVE-2018-8897) (Multiple Advisories): kernel security update</t>
  </si>
  <si>
    <t>A statement in the System Programming Guide of the Intel 64 and IA-32 Architectures Software Developer's Manual (SDM) was mishandled in the development of some or all operating-system kernels, resulting in unexpected behavior for #DB exceptions that are deferred by MOV SS or POP SS, as demonstrated by (for example) privilege escalation in Windows, macOS, some Xen configurations, or FreeBSD, or a Linux kernel crash. The MOV to SS and POP SS instructions inhibit interrupts (including NMIs), data breakpoints, and single step trap exceptions until the instruction boundary following the next instruction (SDM Vol. 3A; section 6.8.3). (The inhibited data breakpoints are those on memory accessed by the MOV to SS or POP to SS instruction itself.) Note that debug exceptions are not inhibited by the interrupt enable (EFLAGS.IF) system flag (SDM Vol. 3A; section 2.3). If the instruction following the MOV to SS or POP to SS instruction is an instruction like SYSCALL, SYSENTER, INT 3, etc. that transfers control to the operating system at CPL &lt; 3, the debug exception is delivered after the transfer to CPL &lt; 3 is complete. OS kernels may not expect this order of events and may therefore experience unexpected behavior when it occurs.</t>
  </si>
  <si>
    <t>Vulnerable OS: Oracle Linux 7.9_x000D_
_x000D_
_x000D_
Vulnerable software installed: Linux kernel-uek 4.1.12-94.3.9.el7uek_x000D_
_x000D_
 * Required patch [CVE-2018-8897] is not installed, no patches discovered._x000D_
_x000D_
_x000D_
 * _x000D_
      kernel-uek-firmware - version 4.1.12-94.3.9.el7uek is installed</t>
  </si>
  <si>
    <t>CVE-2018-8897</t>
  </si>
  <si>
    <t>http://nvd.nist.gov/vuln/detail/CVE-2018-8897</t>
  </si>
  <si>
    <t>http://www.rapid7.com/db/modules/exploit/windows/local/mov_ss,http://www.exploit-db.com/exploits/44697</t>
  </si>
  <si>
    <t>oracle_linux-cve-2018-9363</t>
  </si>
  <si>
    <t>Oracle Linux: (CVE-2018-9363) (Multiple Advisories): kernel security, bug fix, and enhancement update</t>
  </si>
  <si>
    <t>In the hidp_process_report in bluetooth, there is an integer overflow. This could lead to an out of bounds write with no additional execution privileges needed. User interaction is not needed for exploitation. Product: Android Versions: Android kernel Android ID: A-65853588 References: Upstream kernel.</t>
  </si>
  <si>
    <t>Vulnerable OS: Oracle Linux 7.9_x000D_
_x000D_
_x000D_
Vulnerable software installed: Linux kernel-uek 4.1.12-94.3.9.el7uek_x000D_
_x000D_
 * Required patch [CVE-2018-9363] is not installed, no patches discovered._x000D_
_x000D_
_x000D_
 * _x000D_
      kernel-uek-firmware - version 4.1.12-94.3.9.el7uek is installed</t>
  </si>
  <si>
    <t>CVE-2018-9363</t>
  </si>
  <si>
    <t>http://nvd.nist.gov/vuln/detail/CVE-2018-9363</t>
  </si>
  <si>
    <t>oracle_linux-cve-2018-9415</t>
  </si>
  <si>
    <t>Oracle Linux: (CVE-2018-9415) ELSA-2020-5866: Unbreakable Enterprise kernel security update</t>
  </si>
  <si>
    <t>In driver_override_store and driver_override_show of bus.c, there is a possible double free due to improper locking. This could lead to local escalation of privilege with System execution privileges needed. User interaction is not needed for exploitation. Product: Android Versions: Android kernel Android ID: A-69129004 References: Upstream kernel.</t>
  </si>
  <si>
    <t>Vulnerable OS: Oracle Linux 7.9_x000D_
_x000D_
_x000D_
Vulnerable software installed: Linux kernel-uek 4.1.12-94.3.9.el7uek_x000D_
_x000D_
 * Required patch [CVE-2018-9415] is not installed, no patches discovered._x000D_
_x000D_
_x000D_
 * _x000D_
      kernel-uek-firmware - version 4.1.12-94.3.9.el7uek is installed</t>
  </si>
  <si>
    <t>CVE-2018-9415</t>
  </si>
  <si>
    <t>http://nvd.nist.gov/vuln/detail/CVE-2018-9415</t>
  </si>
  <si>
    <t>oracle_linux-cve-2018-9516</t>
  </si>
  <si>
    <t>Oracle Linux: (CVE-2018-9516) (Multiple Advisories): kernel security, bug fix, and enhancement update</t>
  </si>
  <si>
    <t>In hid_debug_events_read of drivers/hid/hid-debug.c, there is a possible out of bounds write due to a missing bounds check. This could lead to local escalation of privilege with System execution privileges needed. User interaction is not needed for exploitation. Product: Android Versions: Android kernel Android ID: A-71361580.</t>
  </si>
  <si>
    <t>Vulnerable OS: Oracle Linux 7.9_x000D_
_x000D_
_x000D_
Vulnerable software installed: Linux kernel-uek 4.1.12-94.3.9.el7uek_x000D_
_x000D_
 * Required patch [CVE-2018-9516] is not installed, no patches discovered._x000D_
_x000D_
_x000D_
 * _x000D_
      kernel-uek-firmware - version 4.1.12-94.3.9.el7uek is installed</t>
  </si>
  <si>
    <t>CVE-2018-9516</t>
  </si>
  <si>
    <t>http://nvd.nist.gov/vuln/detail/CVE-2018-9516</t>
  </si>
  <si>
    <t>oracle_linux-cve-2018-9568</t>
  </si>
  <si>
    <t>Oracle Linux: (CVE-2018-9568) (Multiple Advisories): kernel security, bug fix, and enhancement update</t>
  </si>
  <si>
    <t>In sk_clone_lock of sock.c, there is a possible memory corruption due to type confusion. This could lead to local escalation of privilege with no additional execution privileges needed. User interaction is not needed for exploitation. Product: Android. Versions: Android kernel. Android ID: A-113509306. References: Upstream kernel.</t>
  </si>
  <si>
    <t>Vulnerable OS: Oracle Linux 7.9_x000D_
_x000D_
_x000D_
Vulnerable software installed: Linux kernel-uek 4.1.12-94.3.9.el7uek_x000D_
_x000D_
 * Required patch [CVE-2018-9568] is not installed, no patches discovered._x000D_
_x000D_
_x000D_
 * _x000D_
      kernel-uek-firmware - version 4.1.12-94.3.9.el7uek is installed</t>
  </si>
  <si>
    <t>CVE-2018-9568</t>
  </si>
  <si>
    <t>http://nvd.nist.gov/vuln/detail/CVE-2018-9568</t>
  </si>
  <si>
    <t>oracle_linux-cve-2019-0139</t>
  </si>
  <si>
    <t>Oracle Linux: (CVE-2019-0139) ELSA-2020-5670: Unbreakable Enterprise kernel security update</t>
  </si>
  <si>
    <t>Insufficient access control in firmware for Intel(R) Ethernet 700 Series Controllers before version 7.0 may allow a privileged user to potentially enable an escalation of privilege, denial of service, or information disclosure via local access.</t>
  </si>
  <si>
    <t>Vulnerable OS: Oracle Linux 7.9_x000D_
_x000D_
_x000D_
Vulnerable software installed: Linux kernel-uek 4.1.12-94.3.9.el7uek_x000D_
_x000D_
 * Required patch [CVE-2019-0139] is not installed, no patches discovered._x000D_
_x000D_
_x000D_
 * _x000D_
      kernel-uek-firmware - version 4.1.12-94.3.9.el7uek is installed</t>
  </si>
  <si>
    <t>CVE-2019-0139</t>
  </si>
  <si>
    <t>http://nvd.nist.gov/vuln/detail/CVE-2019-0139</t>
  </si>
  <si>
    <t>oracle_linux-cve-2019-0140</t>
  </si>
  <si>
    <t>Oracle Linux: (CVE-2019-0140) ELSA-2020-5670: Unbreakable Enterprise kernel security update</t>
  </si>
  <si>
    <t>Buffer overflow in firmware for Intel(R) Ethernet 700 Series Controllers before version 7.0 may allow an unauthenticated user to potentially enable an escalation of privilege via an adjacent access.</t>
  </si>
  <si>
    <t>Vulnerable OS: Oracle Linux 7.9_x000D_
_x000D_
_x000D_
Vulnerable software installed: Linux kernel-uek 4.1.12-94.3.9.el7uek_x000D_
_x000D_
 * Required patch [CVE-2019-0140] is not installed, no patches discovered._x000D_
_x000D_
_x000D_
 * _x000D_
      kernel-uek-firmware - version 4.1.12-94.3.9.el7uek is installed</t>
  </si>
  <si>
    <t>CVE-2019-0140</t>
  </si>
  <si>
    <t>http://nvd.nist.gov/vuln/detail/CVE-2019-0140</t>
  </si>
  <si>
    <t>oracle_linux-cve-2019-0144</t>
  </si>
  <si>
    <t>Oracle Linux: (CVE-2019-0144) ELSA-2020-5670: Unbreakable Enterprise kernel security update</t>
  </si>
  <si>
    <t>Unhandled exception in firmware for Intel(R) Ethernet 700 Series Controllers before version 7.0 may allow an authenticated user to potentially enable a denial of service via local access.</t>
  </si>
  <si>
    <t>Vulnerable OS: Oracle Linux 7.9_x000D_
_x000D_
_x000D_
Vulnerable software installed: Linux kernel-uek 4.1.12-94.3.9.el7uek_x000D_
_x000D_
 * Required patch [CVE-2019-0144] is not installed, no patches discovered._x000D_
_x000D_
_x000D_
 * _x000D_
      kernel-uek-firmware - version 4.1.12-94.3.9.el7uek is installed</t>
  </si>
  <si>
    <t>CVE-2019-0144</t>
  </si>
  <si>
    <t>http://nvd.nist.gov/vuln/detail/CVE-2019-0144</t>
  </si>
  <si>
    <t>oracle_linux-cve-2019-10638</t>
  </si>
  <si>
    <t>Oracle Linux: (CVE-2019-10638) (Multiple Advisories): Unbreakable Enterprise kernel security update</t>
  </si>
  <si>
    <t>In the Linux kernel before 5.1.7, a device can be tracked by an attacker using the IP ID values the kernel produces for connection-less protocols (e.g., UDP and ICMP). When such traffic is sent to multiple destination IP addresses, it is possible to obtain hash collisions (of indices to the counter array) and thereby obtain the hashing key (via enumeration). An attack may be conducted by hosting a crafted web page that uses WebRTC or gQUIC to force UDP traffic to attacker-controlled IP addresses.</t>
  </si>
  <si>
    <t>Vulnerable OS: Oracle Linux 7.9_x000D_
_x000D_
_x000D_
Vulnerable software installed: Linux kernel-uek 4.1.12-94.3.9.el7uek_x000D_
_x000D_
 * Required patch [CVE-2019-10638] is not installed, no patches discovered._x000D_
_x000D_
_x000D_
 * _x000D_
      kernel-uek-firmware - version 4.1.12-94.3.9.el7uek is installed</t>
  </si>
  <si>
    <t>CVE-2019-10638</t>
  </si>
  <si>
    <t>http://nvd.nist.gov/vuln/detail/CVE-2019-10638</t>
  </si>
  <si>
    <t>oracle_linux-cve-2019-10639</t>
  </si>
  <si>
    <t>Oracle Linux: (CVE-2019-10639) (Multiple Advisories): Unbreakable Enterprise kernel security update</t>
  </si>
  <si>
    <t>The Linux kernel 4.x (starting from 4.1) and 5.x before 5.0.8 allows Information Exposure (partial kernel address disclosure), leading to a KASLR bypass. Specifically, it is possible to extract the KASLR kernel image offset using the IP ID values the kernel produces for connection-less protocols (e.g., UDP and ICMP). When such traffic is sent to multiple destination IP addresses, it is possible to obtain hash collisions (of indices to the counter array) and thereby obtain the hashing key (via enumeration). This key contains enough bits from a kernel address (of a static variable) so when the key is extracted (via enumeration), the offset of the kernel image is exposed. This attack can be carried out remotely, by the attacker forcing the target device to send UDP or ICMP (or certain other) traffic to attacker-controlled IP addresses. Forcing a server to send UDP traffic is trivial if the server is a DNS server. ICMP traffic is trivial if the server answers ICMP Echo requests (ping). For client targets, if the target visits the attacker's web page, then WebRTC or gQUIC can be used to force UDP traffic to attacker-controlled IP addresses. NOTE: this attack against KASLR became viable in 4.1 because IP ID generation was changed to have a dependency on an address associated with a network namespace.</t>
  </si>
  <si>
    <t>Vulnerable OS: Oracle Linux 7.9_x000D_
_x000D_
_x000D_
Vulnerable software installed: Linux kernel-uek 4.1.12-94.3.9.el7uek_x000D_
_x000D_
 * Required patch [CVE-2019-10639] is not installed, no patches discovered._x000D_
_x000D_
_x000D_
 * _x000D_
      kernel-uek-firmware - version 4.1.12-94.3.9.el7uek is installed</t>
  </si>
  <si>
    <t>CVE-2019-10639</t>
  </si>
  <si>
    <t>http://nvd.nist.gov/vuln/detail/CVE-2019-10639</t>
  </si>
  <si>
    <t>oracle_linux-cve-2019-11091</t>
  </si>
  <si>
    <t>Oracle Linux: (CVE-2019-11091) (Multiple Advisories): libvirt security, bug fix, and enhancement update</t>
  </si>
  <si>
    <t>Vulnerable OS: Oracle Linux 7.9_x000D_
_x000D_
_x000D_
Vulnerable software installed: Linux kernel-uek 4.1.12-94.3.9.el7uek_x000D_
_x000D_
 * Required patch [CVE-2019-11091] is not installed, no patches discovered._x000D_
_x000D_
_x000D_
 * _x000D_
      kernel-uek-firmware - version 4.1.12-94.3.9.el7uek is installed</t>
  </si>
  <si>
    <t>oracle_linux-cve-2019-11135</t>
  </si>
  <si>
    <t>Oracle Linux: (CVE-2019-11135) (Multiple Advisories): qemu-kvm security, bug fix, and enhancement update</t>
  </si>
  <si>
    <t>* dtrace-modules on Oracle Linux_x000D_
      Upgrade dtrace-modules_x000D_
_x000D_
       Update dtrace-modules using yum or up2date. Please note that customers with support can use the  Unbreakable Linux Network (ULN) (https://linux.oracle.com) , and customers without support can use the  publicly available Oracle Linux yum repositories (http://public-yum.oracle.com) . _x000D_
_x000D_
_x000D_
 *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microcode_ctl on Oracle Linux_x000D_
      Upgrade microcode_ctl_x000D_
_x000D_
       Update microcode_ctl using yum or up2date. Please note that customers with support can use the  Unbreakable Linux Network (ULN) (https://linux.oracle.com) , and customers without support can use the  publicly available Oracle Linux yum repositories (http://public-yum.oracle.com) . _x000D_
_x000D_
_x000D_
 * qemu-img on Oracle Linux_x000D_
      Upgrade qemu-img_x000D_
_x000D_
       Update qemu-img using yum or up2date. Please note that customers with support can use the  Unbreakable Linux Network (ULN) (https://linux.oracle.com) , and customers without support can use the  publicly available Oracle Linux yum repositories (http://public-yum.oracle.com) . _x000D_
_x000D_
_x000D_
 * qemu-kvm on Oracle Linux_x000D_
      Upgrade qemu-kvm_x000D_
_x000D_
       Update qemu-kvm using yum or up2date. Please note that customers with support can use the  Unbreakable Linux Network (ULN) (https://linux.oracle.com) , and customers without support can use the  publicly available Oracle Linux yum repositories (http://public-yum.oracle.com) . _x000D_
_x000D_
_x000D_
 * qemu-kvm-common on Oracle Linux_x000D_
      Upgrade qemu-kvm-common_x000D_
_x000D_
       Update qemu-kvm-common using yum or up2date. Please note that customers with support can use the  Unbreakable Linux Network (ULN) (https://linux.oracle.com) , and customers without support can use the  publicly available Oracle Linux yum repositories (http://public-yum.oracle.com) . _x000D_
_x000D_
_x000D_
 * qemu-kvm-tools on Oracle Linux_x000D_
      Upgrade qemu-kvm-tools_x000D_
_x000D_
       Update qemu-kvm-tools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</si>
  <si>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[CVE-2019-11135] is not installed, no patches discovered._x000D_
_x000D_
_x000D_
 * _x000D_
      kernel-uek-firmware - version 4.1.12-94.3.9.el7uek is installed</t>
  </si>
  <si>
    <t>oracle_linux-cve-2019-11190</t>
  </si>
  <si>
    <t>Oracle Linux: (CVE-2019-11190) (Multiple Advisories): kernel security, bug fix, and enhancement update</t>
  </si>
  <si>
    <t>The Linux kernel before 4.8 allows local users to bypass ASLR on setuid programs (such as /bin/su) because install_exec_creds() is called too late in load_elf_binary() in fs/binfmt_elf.c, and thus the ptrace_may_access() check has a race condition when reading /proc/pid/stat.</t>
  </si>
  <si>
    <t>Vulnerable OS: Oracle Linux 7.9_x000D_
_x000D_
_x000D_
Vulnerable software installed: Linux kernel-uek 4.1.12-94.3.9.el7uek_x000D_
_x000D_
 * Required patch [CVE-2019-11190] is not installed, no patches discovered._x000D_
_x000D_
_x000D_
 * _x000D_
      kernel-uek-firmware - version 4.1.12-94.3.9.el7uek is installed</t>
  </si>
  <si>
    <t>CVE-2019-11190</t>
  </si>
  <si>
    <t>http://nvd.nist.gov/vuln/detail/CVE-2019-11190</t>
  </si>
  <si>
    <t>oracle_linux-cve-2019-1125</t>
  </si>
  <si>
    <t>Oracle Linux: (CVE-2019-1125) (Multiple Advisories): kernel security and bug fix update</t>
  </si>
  <si>
    <t>An information disclosure vulnerability exists when certain central processing units (CPU) speculatively access memory, aka 'Windows Kernel Information Disclosure Vulnerability'. This CVE ID is unique from CVE-2019-1071, CVE-2019-1073.</t>
  </si>
  <si>
    <t>Vulnerable OS: Oracle Linux 7.9_x000D_
_x000D_
_x000D_
Vulnerable software installed: Linux kernel-uek 4.1.12-94.3.9.el7uek_x000D_
_x000D_
 * Required patch [CVE-2019-1125] is not installed, no patches discovered._x000D_
_x000D_
_x000D_
 * _x000D_
      kernel-uek-firmware - version 4.1.12-94.3.9.el7uek is installed</t>
  </si>
  <si>
    <t>CVE-2019-1125</t>
  </si>
  <si>
    <t>http://nvd.nist.gov/vuln/detail/CVE-2019-1125</t>
  </si>
  <si>
    <t>http://www.exploit-db.com/exploits/48071</t>
  </si>
  <si>
    <t>oracle_linux-cve-2019-11477</t>
  </si>
  <si>
    <t>Oracle Linux: (CVE-2019-11477) (Multiple Advisories): kernel security, bug fix, and enhancement update</t>
  </si>
  <si>
    <t>Jonathan Looney discovered that the TCP_SKB_CB(skb)-&gt;tcp_gso_segs value was subject to an integer overflow in the Linux kernel when handling TCP Selective Acknowledgments (SACKs). A remote attacker could use this to cause a denial of service. This has been fixed in stable kernel releases 4.4.182, 4.9.182, 4.14.127, 4.19.52, 5.1.11, and is fixed in commit 3b4929f65b0d8249f19a50245cd88ed1a2f78cff.</t>
  </si>
  <si>
    <t>Vulnerable OS: Oracle Linux 7.9_x000D_
_x000D_
_x000D_
Vulnerable software installed: Linux kernel-uek 4.1.12-94.3.9.el7uek_x000D_
_x000D_
 * Required patch [CVE-2019-11477] is not installed, no patches discovered._x000D_
_x000D_
_x000D_
 * _x000D_
      kernel-uek-firmware - version 4.1.12-94.3.9.el7uek is installed</t>
  </si>
  <si>
    <t>CVE-2019-11477</t>
  </si>
  <si>
    <t>http://nvd.nist.gov/vuln/detail/CVE-2019-11477</t>
  </si>
  <si>
    <t>oracle_linux-cve-2019-11478</t>
  </si>
  <si>
    <t>Oracle Linux: (CVE-2019-11478) (Multiple Advisories): Unbreakable Enterprise kernel security update</t>
  </si>
  <si>
    <t>Jonathan Looney discovered that the TCP retransmission queue implementation in tcp_fragment in the Linux kernel could be fragmented when handling certain TCP Selective Acknowledgment (SACK) sequences. A remote attacker could use this to cause a denial of service. This has been fixed in stable kernel releases 4.4.182, 4.9.182, 4.14.127, 4.19.52, 5.1.11, and is fixed in commit f070ef2ac66716357066b683fb0baf55f8191a2e.</t>
  </si>
  <si>
    <t>Vulnerable OS: Oracle Linux 7.9_x000D_
_x000D_
_x000D_
Vulnerable software installed: Linux kernel-uek 4.1.12-94.3.9.el7uek_x000D_
_x000D_
 * Required patch [CVE-2019-11478] is not installed, no patches discovered._x000D_
_x000D_
_x000D_
 * _x000D_
      kernel-uek-firmware - version 4.1.12-94.3.9.el7uek is installed</t>
  </si>
  <si>
    <t>CVE-2019-11478</t>
  </si>
  <si>
    <t>http://nvd.nist.gov/vuln/detail/CVE-2019-11478</t>
  </si>
  <si>
    <t>oracle_linux-cve-2019-11479</t>
  </si>
  <si>
    <t>Oracle Linux: (CVE-2019-11479) (Multiple Advisories): kernel security, bug fix, and enhancement update</t>
  </si>
  <si>
    <t>Jonathan Looney discovered that the Linux kernel default MSS is hard-coded to 48 bytes. This allows a remote peer to fragment TCP resend queues significantly more than if a larger MSS were enforced. A remote attacker could use this to cause a denial of service. This has been fixed in stable kernel releases 4.4.182, 4.9.182, 4.14.127, 4.19.52, 5.1.11, and is fixed in commits 967c05aee439e6e5d7d805e195b3a20ef5c433d6 and 5f3e2bf008c2221478101ee72f5cb4654b9fc363.</t>
  </si>
  <si>
    <t>Vulnerable OS: Oracle Linux 7.9_x000D_
_x000D_
_x000D_
Vulnerable software installed: Linux kernel-uek 4.1.12-94.3.9.el7uek_x000D_
_x000D_
 * Required patch [CVE-2019-11479] is not installed, no patches discovered._x000D_
_x000D_
_x000D_
 * _x000D_
      kernel-uek-firmware - version 4.1.12-94.3.9.el7uek is installed</t>
  </si>
  <si>
    <t>CVE-2019-11479</t>
  </si>
  <si>
    <t>http://nvd.nist.gov/vuln/detail/CVE-2019-11479</t>
  </si>
  <si>
    <t>oracle_linux-cve-2019-11487</t>
  </si>
  <si>
    <t>Oracle Linux: (CVE-2019-11487) (Multiple Advisories): kernel security and bug fix update</t>
  </si>
  <si>
    <t>The Linux kernel before 5.1-rc5 allows page-&gt;_refcount reference count overflow, with resultant use-after-free issues, if about 140 GiB of RAM exists. This is related to fs/fuse/dev.c, fs/pipe.c, fs/splice.c, include/linux/mm.h, include/linux/pipe_fs_i.h, kernel/trace/trace.c, mm/gup.c, and mm/hugetlb.c. It can occur with FUSE requests.</t>
  </si>
  <si>
    <t>Vulnerable OS: Oracle Linux 7.9_x000D_
_x000D_
_x000D_
Vulnerable software installed: Linux kernel-uek 4.1.12-94.3.9.el7uek_x000D_
_x000D_
 * Required patch [CVE-2019-11487] is not installed, no patches discovered._x000D_
_x000D_
_x000D_
 * _x000D_
      kernel-uek-firmware - version 4.1.12-94.3.9.el7uek is installed</t>
  </si>
  <si>
    <t>CVE-2019-11487</t>
  </si>
  <si>
    <t>http://nvd.nist.gov/vuln/detail/CVE-2019-11487</t>
  </si>
  <si>
    <t>oracle_linux-cve-2019-11810</t>
  </si>
  <si>
    <t>Oracle Linux: (CVE-2019-11810) (Multiple Advisories): kernel security and bug fix update</t>
  </si>
  <si>
    <t>An issue was discovered in the Linux kernel before 5.0.7. A NULL pointer dereference can occur when megasas_create_frame_pool() fails in megasas_alloc_cmds() in drivers/scsi/megaraid/megaraid_sas_base.c. This causes a Denial of Service, related to a use-after-free.</t>
  </si>
  <si>
    <t>Vulnerable OS: Oracle Linux 7.9_x000D_
_x000D_
_x000D_
Vulnerable software installed: Linux kernel-uek 4.1.12-94.3.9.el7uek_x000D_
_x000D_
 * Required patch [CVE-2019-11810] is not installed, no patches discovered._x000D_
_x000D_
_x000D_
 * _x000D_
      kernel-uek-firmware - version 4.1.12-94.3.9.el7uek is installed</t>
  </si>
  <si>
    <t>CVE-2019-11810</t>
  </si>
  <si>
    <t>http://nvd.nist.gov/vuln/detail/CVE-2019-11810</t>
  </si>
  <si>
    <t>oracle_linux-cve-2019-11815</t>
  </si>
  <si>
    <t>Oracle Linux: (CVE-2019-11815) (Multiple Advisories): Unbreakable Enterprise kernel security update</t>
  </si>
  <si>
    <t>An issue was discovered in rds_tcp_kill_sock in net/rds/tcp.c in the Linux kernel before 5.0.8. There is a race condition leading to a use-after-free, related to net namespace cleanup.</t>
  </si>
  <si>
    <t>Vulnerable OS: Oracle Linux 7.9_x000D_
_x000D_
_x000D_
Vulnerable software installed: Linux kernel-uek 4.1.12-94.3.9.el7uek_x000D_
_x000D_
 * Required patch [CVE-2019-11815] is not installed, no patches discovered._x000D_
_x000D_
_x000D_
 * _x000D_
      kernel-uek-firmware - version 4.1.12-94.3.9.el7uek is installed</t>
  </si>
  <si>
    <t>CVE-2019-11815</t>
  </si>
  <si>
    <t>http://nvd.nist.gov/vuln/detail/CVE-2019-11815</t>
  </si>
  <si>
    <t>oracle_linux-cve-2019-11833</t>
  </si>
  <si>
    <t>Oracle Linux: (CVE-2019-11833) (Multiple Advisories): Unbreakable Enterprise kernel security update</t>
  </si>
  <si>
    <t>fs/ext4/extents.c in the Linux kernel through 5.1.2 does not zero out the unused memory region in the extent tree block, which might allow local users to obtain sensitive information by reading uninitialized data in the filesystem.</t>
  </si>
  <si>
    <t>Vulnerable OS: Oracle Linux 7.9_x000D_
_x000D_
_x000D_
Vulnerable software installed: Linux kernel-uek 4.1.12-94.3.9.el7uek_x000D_
_x000D_
 * Required patch [CVE-2019-11833] is not installed, no patches discovered._x000D_
_x000D_
_x000D_
 * _x000D_
      kernel-uek-firmware - version 4.1.12-94.3.9.el7uek is installed</t>
  </si>
  <si>
    <t>CVE-2019-11833</t>
  </si>
  <si>
    <t>http://nvd.nist.gov/vuln/detail/CVE-2019-11833</t>
  </si>
  <si>
    <t>oracle_linux-cve-2019-11884</t>
  </si>
  <si>
    <t>Oracle Linux: (CVE-2019-11884) (Multiple Advisories): kernel security, bug fix, and enhancement update</t>
  </si>
  <si>
    <t>The do_hidp_sock_ioctl function in net/bluetooth/hidp/sock.c in the Linux kernel before 5.0.15 allows a local user to obtain potentially sensitive information from kernel stack memory via a HIDPCONNADD command, because a name field may not end with a '\0' character.</t>
  </si>
  <si>
    <t>Vulnerable OS: Oracle Linux 7.9_x000D_
_x000D_
_x000D_
Vulnerable software installed: Linux kernel-uek 4.1.12-94.3.9.el7uek_x000D_
_x000D_
 * Required patch [CVE-2019-11884] is not installed, no patches discovered._x000D_
_x000D_
_x000D_
 * _x000D_
      kernel-uek-firmware - version 4.1.12-94.3.9.el7uek is installed</t>
  </si>
  <si>
    <t>CVE-2019-11884</t>
  </si>
  <si>
    <t>http://nvd.nist.gov/vuln/detail/CVE-2019-11884</t>
  </si>
  <si>
    <t>oracle_linux-cve-2019-12378</t>
  </si>
  <si>
    <t>Oracle Linux: (CVE-2019-12378) (Multiple Advisories): Unbreakable Enterprise kernel security update</t>
  </si>
  <si>
    <t>** DISPUTED ** An issue was discovered in ip6_ra_control in net/ipv6/ipv6_sockglue.c in the Linux kernel through 5.1.5. There is an unchecked kmalloc of new_ra, which might allow an attacker to cause a denial of service (NULL pointer dereference and system crash). NOTE: This has been disputed as not an issue.</t>
  </si>
  <si>
    <t>Vulnerable OS: Oracle Linux 7.9_x000D_
_x000D_
_x000D_
Vulnerable software installed: Linux kernel-uek 4.1.12-94.3.9.el7uek_x000D_
_x000D_
 * Required patch [CVE-2019-12378] is not installed, no patches discovered._x000D_
_x000D_
_x000D_
 * _x000D_
      kernel-uek-firmware - version 4.1.12-94.3.9.el7uek is installed</t>
  </si>
  <si>
    <t>CVE-2019-12378</t>
  </si>
  <si>
    <t>http://nvd.nist.gov/vuln/detail/CVE-2019-12378</t>
  </si>
  <si>
    <t>oracle_linux-cve-2019-12381</t>
  </si>
  <si>
    <t>Oracle Linux: (CVE-2019-12381) (Multiple Advisories): Unbreakable Enterprise kernel security update</t>
  </si>
  <si>
    <t>An issue was discovered in ip_ra_control in net/ipv4/ip_sockglue.c in the Linux kernel through 5.1.5. There is an unchecked kmalloc of new_ra, which might allow an attacker to cause a denial of service (NULL pointer dereference and system crash).</t>
  </si>
  <si>
    <t>Vulnerable OS: Oracle Linux 7.9_x000D_
_x000D_
_x000D_
Vulnerable software installed: Linux kernel-uek 4.1.12-94.3.9.el7uek_x000D_
_x000D_
 * Required patch [CVE-2019-12381] is not installed, no patches discovered._x000D_
_x000D_
_x000D_
 * _x000D_
      kernel-uek-firmware - version 4.1.12-94.3.9.el7uek is installed</t>
  </si>
  <si>
    <t>CVE-2019-12381</t>
  </si>
  <si>
    <t>http://nvd.nist.gov/vuln/detail/CVE-2019-12381</t>
  </si>
  <si>
    <t>oracle_linux-cve-2019-12819</t>
  </si>
  <si>
    <t>Oracle Linux: (CVE-2019-12819) ELSA-2020-5708: Unbreakable Enterprise kernel security update</t>
  </si>
  <si>
    <t>An issue was discovered in the Linux kernel before 5.0. The function __mdiobus_register() in drivers/net/phy/mdio_bus.c calls put_device(), which will trigger a fixed_mdio_bus_init use-after-free. This will cause a denial of service.</t>
  </si>
  <si>
    <t>Vulnerable OS: Oracle Linux 7.9_x000D_
_x000D_
_x000D_
Vulnerable software installed: Linux kernel-uek 4.1.12-94.3.9.el7uek_x000D_
_x000D_
 * Required patch [CVE-2019-12819] is not installed, no patches discovered._x000D_
_x000D_
_x000D_
 * _x000D_
      kernel-uek-firmware - version 4.1.12-94.3.9.el7uek is installed</t>
  </si>
  <si>
    <t>CVE-2019-12819</t>
  </si>
  <si>
    <t>http://nvd.nist.gov/vuln/detail/CVE-2019-12819</t>
  </si>
  <si>
    <t>oracle_linux-cve-2019-13631</t>
  </si>
  <si>
    <t>Oracle Linux: (CVE-2019-13631) (Multiple Advisories): Unbreakable Enterprise kernel security update</t>
  </si>
  <si>
    <t>In parse_hid_report_descriptor in drivers/input/tablet/gtco.c in the Linux kernel through 5.2.1, a malicious USB device can send an HID report that triggers an out-of-bounds write during generation of debugging messages.</t>
  </si>
  <si>
    <t>Vulnerable OS: Oracle Linux 7.9_x000D_
_x000D_
_x000D_
Vulnerable software installed: Linux kernel-uek 4.1.12-94.3.9.el7uek_x000D_
_x000D_
 * Required patch [CVE-2019-13631] is not installed, no patches discovered._x000D_
_x000D_
_x000D_
 * _x000D_
      kernel-uek-firmware - version 4.1.12-94.3.9.el7uek is installed</t>
  </si>
  <si>
    <t>CVE-2019-13631</t>
  </si>
  <si>
    <t>http://nvd.nist.gov/vuln/detail/CVE-2019-13631</t>
  </si>
  <si>
    <t>oracle_linux-cve-2019-14283</t>
  </si>
  <si>
    <t>Oracle Linux: (CVE-2019-14283) (Multiple Advisories): kernel security, bug fix, and enhancement update</t>
  </si>
  <si>
    <t>In the Linux kernel before 5.2.3, set_geometry in drivers/block/floppy.c does not validate the sect and head fields, as demonstrated by an integer overflow and out-of-bounds read. It can be triggered by an unprivileged local user when a floppy disk has been inserted. NOTE: QEMU creates the floppy device by default.</t>
  </si>
  <si>
    <t>Vulnerable OS: Oracle Linux 7.9_x000D_
_x000D_
_x000D_
Vulnerable software installed: Linux kernel-uek 4.1.12-94.3.9.el7uek_x000D_
_x000D_
 * Required patch [CVE-2019-14283] is not installed, no patches discovered._x000D_
_x000D_
_x000D_
 * _x000D_
      kernel-uek-firmware - version 4.1.12-94.3.9.el7uek is installed</t>
  </si>
  <si>
    <t>CVE-2019-14283</t>
  </si>
  <si>
    <t>http://nvd.nist.gov/vuln/detail/CVE-2019-14283</t>
  </si>
  <si>
    <t>oracle_linux-cve-2019-14284</t>
  </si>
  <si>
    <t>Oracle Linux: (CVE-2019-14284) (Multiple Advisories): Unbreakable Enterprise kernel security update</t>
  </si>
  <si>
    <t>In the Linux kernel before 5.2.3, drivers/block/floppy.c allows a denial of service by setup_format_params division-by-zero. Two consecutive ioctls can trigger the bug: the first one should set the drive geometry with .sect and .rate values that make F_SECT_PER_TRACK be zero. Next, the floppy format operation should be called. It can be triggered by an unprivileged local user even when a floppy disk has not been inserted. NOTE: QEMU creates the floppy device by default.</t>
  </si>
  <si>
    <t>Vulnerable OS: Oracle Linux 7.9_x000D_
_x000D_
_x000D_
Vulnerable software installed: Linux kernel-uek 4.1.12-94.3.9.el7uek_x000D_
_x000D_
 * Required patch [CVE-2019-14284] is not installed, no patches discovered._x000D_
_x000D_
_x000D_
 * _x000D_
      kernel-uek-firmware - version 4.1.12-94.3.9.el7uek is installed</t>
  </si>
  <si>
    <t>CVE-2019-14284</t>
  </si>
  <si>
    <t>http://nvd.nist.gov/vuln/detail/CVE-2019-14284</t>
  </si>
  <si>
    <t>oracle_linux-cve-2019-14814</t>
  </si>
  <si>
    <t>Oracle Linux: (CVE-2019-14814) ELSA-2020-5670: Unbreakable Enterprise kernel security update</t>
  </si>
  <si>
    <t>There is heap-based buffer overflow in Linux kernel, all versions up to, excluding 5.3, in the marvell wifi chip driver in Linux kernel, that allows local users to cause a denial of service(system crash) or possibly execute arbitrary code.</t>
  </si>
  <si>
    <t>Vulnerable OS: Oracle Linux 7.9_x000D_
_x000D_
_x000D_
Vulnerable software installed: Linux kernel-uek 4.1.12-94.3.9.el7uek_x000D_
_x000D_
 * Required patch [CVE-2019-14814] is not installed, no patches discovered._x000D_
_x000D_
_x000D_
 * _x000D_
      kernel-uek-firmware - version 4.1.12-94.3.9.el7uek is installed</t>
  </si>
  <si>
    <t>CVE-2019-14814</t>
  </si>
  <si>
    <t>http://nvd.nist.gov/vuln/detail/CVE-2019-14814</t>
  </si>
  <si>
    <t>oracle_linux-cve-2019-14815</t>
  </si>
  <si>
    <t>Oracle Linux: (CVE-2019-14815) ELSA-2020-5670: Unbreakable Enterprise kernel security update</t>
  </si>
  <si>
    <t>A vulnerability was found in Linux Kernel, where a Heap Overflow was found in mwifiex_set_wmm_params() function of Marvell Wifi Driver.</t>
  </si>
  <si>
    <t>Vulnerable OS: Oracle Linux 7.9_x000D_
_x000D_
_x000D_
Vulnerable software installed: Linux kernel-uek 4.1.12-94.3.9.el7uek_x000D_
_x000D_
 * Required patch [CVE-2019-14815] is not installed, no patches discovered._x000D_
_x000D_
_x000D_
 * _x000D_
      kernel-uek-firmware - version 4.1.12-94.3.9.el7uek is installed</t>
  </si>
  <si>
    <t>CVE-2019-14815</t>
  </si>
  <si>
    <t>http://nvd.nist.gov/vuln/detail/CVE-2019-14815</t>
  </si>
  <si>
    <t>oracle_linux-cve-2019-14816</t>
  </si>
  <si>
    <t>Oracle Linux: (CVE-2019-14816) (Multiple Advisories): Unbreakable Enterprise kernel security update</t>
  </si>
  <si>
    <t>There is heap-based buffer overflow in kernel, all versions up to, excluding 5.3, in the marvell wifi chip driver in Linux kernel, that allows local users to cause a denial of service(system crash) or possibly execute arbitrary code.</t>
  </si>
  <si>
    <t>Vulnerable OS: Oracle Linux 7.9_x000D_
_x000D_
_x000D_
Vulnerable software installed: Linux kernel-uek 4.1.12-94.3.9.el7uek_x000D_
_x000D_
 * Required patch [CVE-2019-14816] is not installed, no patches discovered._x000D_
_x000D_
_x000D_
 * _x000D_
      kernel-uek-firmware - version 4.1.12-94.3.9.el7uek is installed</t>
  </si>
  <si>
    <t>CVE-2019-14816</t>
  </si>
  <si>
    <t>http://nvd.nist.gov/vuln/detail/CVE-2019-14816</t>
  </si>
  <si>
    <t>oracle_linux-cve-2019-14821</t>
  </si>
  <si>
    <t>Oracle Linux: (CVE-2019-14821) (Multiple Advisories): kernel security and bug fix update</t>
  </si>
  <si>
    <t>An out-of-bounds access issue was found in the Linux kernel, all versions through 5.3, in the way Linux kernel's KVM hypervisor implements the Coalesced MMIO write operation. It operates on an MMIO ring buffer 'struct kvm_coalesced_mmio' object, wherein write indices 'ring-&gt;first' and 'ring-&gt;last' value could be supplied by a host user-space process. An unprivileged host user or process with access to '/dev/kvm' device could use this flaw to crash the host kernel, resulting in a denial of service or potentially escalating privileges on the system.</t>
  </si>
  <si>
    <t>Vulnerable OS: Oracle Linux 7.9_x000D_
_x000D_
_x000D_
Vulnerable software installed: Linux kernel-uek 4.1.12-94.3.9.el7uek_x000D_
_x000D_
 * Required patch [CVE-2019-14821] is not installed, no patches discovered._x000D_
_x000D_
_x000D_
 * _x000D_
      kernel-uek-firmware - version 4.1.12-94.3.9.el7uek is installed</t>
  </si>
  <si>
    <t>CVE-2019-14821</t>
  </si>
  <si>
    <t>http://nvd.nist.gov/vuln/detail/CVE-2019-14821</t>
  </si>
  <si>
    <t>oracle_linux-cve-2019-14835</t>
  </si>
  <si>
    <t>Oracle Linux: (CVE-2019-14835) (Multiple Advisories): Unbreakable Enterprise kernel security update</t>
  </si>
  <si>
    <t>A buffer overflow flaw was found, in versions from 2.6.34 to 5.2.x, in the way Linux kernel's vhost functionality that translates virtqueue buffers to IOVs, logged the buffer descriptors during migration. A privileged guest user able to pass descriptors with invalid length to the host when migration is underway, could use this flaw to increase their privileges on the host.</t>
  </si>
  <si>
    <t>Vulnerable OS: Oracle Linux 7.9_x000D_
_x000D_
_x000D_
Vulnerable software installed: Linux kernel-uek 4.1.12-94.3.9.el7uek_x000D_
_x000D_
 * Required patch [CVE-2019-14835] is not installed, no patches discovered._x000D_
_x000D_
_x000D_
 * _x000D_
      kernel-uek-firmware - version 4.1.12-94.3.9.el7uek is installed</t>
  </si>
  <si>
    <t>CVE-2019-14835</t>
  </si>
  <si>
    <t>http://nvd.nist.gov/vuln/detail/CVE-2019-14835</t>
  </si>
  <si>
    <t>oracle_linux-cve-2019-14897</t>
  </si>
  <si>
    <t>Oracle Linux: (CVE-2019-14897) ELSA-2020-5708: Unbreakable Enterprise kernel security update</t>
  </si>
  <si>
    <t>A stack-based buffer overflow was found in the Linux kernel, version kernel-2.6.32, in Marvell WiFi chip driver. An attacker is able to cause a denial of service (system crash) or, possibly execute arbitrary code, when a STA works in IBSS mode (allows connecting stations together without the use of an AP) and connects to another STA.</t>
  </si>
  <si>
    <t>Vulnerable OS: Oracle Linux 7.9_x000D_
_x000D_
_x000D_
Vulnerable software installed: Linux kernel-uek 4.1.12-94.3.9.el7uek_x000D_
_x000D_
 * Required patch [CVE-2019-14897] is not installed, no patches discovered._x000D_
_x000D_
_x000D_
 * _x000D_
      kernel-uek-firmware - version 4.1.12-94.3.9.el7uek is installed</t>
  </si>
  <si>
    <t>CVE-2019-14897</t>
  </si>
  <si>
    <t>http://nvd.nist.gov/vuln/detail/CVE-2019-14897</t>
  </si>
  <si>
    <t>oracle_linux-cve-2019-14898</t>
  </si>
  <si>
    <t>Oracle Linux: (CVE-2019-14898) (Multiple Advisories): Unbreakable Enterprise kernel security update</t>
  </si>
  <si>
    <t>The fix for CVE-2019-11599, affecting the Linux kernel before 5.0.10 was not complete. A local user could use this flaw to obtain sensitive information, cause a denial of service, or possibly have other unspecified impacts by triggering a race condition with mmget_not_zero or get_task_mm calls.</t>
  </si>
  <si>
    <t>Vulnerable OS: Oracle Linux 7.9_x000D_
_x000D_
_x000D_
Vulnerable software installed: Linux kernel-uek 4.1.12-94.3.9.el7uek_x000D_
_x000D_
 * Required patch [CVE-2019-14898] is not installed, no patches discovered._x000D_
_x000D_
_x000D_
 * _x000D_
      kernel-uek-firmware - version 4.1.12-94.3.9.el7uek is installed</t>
  </si>
  <si>
    <t>CVE-2019-14898</t>
  </si>
  <si>
    <t>http://nvd.nist.gov/vuln/detail/CVE-2019-14898</t>
  </si>
  <si>
    <t>oracle_linux-cve-2019-14901</t>
  </si>
  <si>
    <t>Oracle Linux: (CVE-2019-14901) ELSA-2020-0374: kernel security and bug fix update</t>
  </si>
  <si>
    <t>A heap overflow flaw was found in the Linux kernel, all versions 3.x.x and 4.x.x before 4.18.0, in Marvell WiFi chip driver. The vulnerability allows a remote attacker to cause a system crash, resulting in a denial of service, or execute arbitrary code. The highest threat with this vulnerability is with the availability of the system. If code execution occurs, the code will run with the permissions of root. This will affect both confidentiality and integrity of files on the system.</t>
  </si>
  <si>
    <t>kernel on Oracle Linux_x000D_
_x000D_
Upgrade kernel_x000D_
_x000D_
 Update kernel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</si>
  <si>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[CVE-2019-14901] is not installed, no patches discovered._x000D_
_x000D_
_x000D_
 * _x000D_
      kernel-uek-firmware - version 4.1.12-94.3.9.el7uek is installed</t>
  </si>
  <si>
    <t>CVE-2019-14901</t>
  </si>
  <si>
    <t>http://nvd.nist.gov/vuln/detail/CVE-2019-14901</t>
  </si>
  <si>
    <t>oracle_linux-cve-2019-15213</t>
  </si>
  <si>
    <t>Oracle Linux: (CVE-2019-15213) (Multiple Advisories): Unbreakable Enterprise kernel security update</t>
  </si>
  <si>
    <t>An issue was discovered in the Linux kernel before 5.2.3. There is a use-after-free caused by a malicious USB device in the drivers/media/usb/dvb-usb/dvb-usb-init.c driver.</t>
  </si>
  <si>
    <t>Vulnerable OS: Oracle Linux 7.9_x000D_
_x000D_
_x000D_
Vulnerable software installed: Linux kernel-uek 4.1.12-94.3.9.el7uek_x000D_
_x000D_
 * Required patch [CVE-2019-15213] is not installed, no patches discovered._x000D_
_x000D_
_x000D_
 * _x000D_
      kernel-uek-firmware - version 4.1.12-94.3.9.el7uek is installed</t>
  </si>
  <si>
    <t>CVE-2019-15213</t>
  </si>
  <si>
    <t>http://nvd.nist.gov/vuln/detail/CVE-2019-15213</t>
  </si>
  <si>
    <t>oracle_linux-cve-2019-15214</t>
  </si>
  <si>
    <t>Oracle Linux: (CVE-2019-15214) (Multiple Advisories): Unbreakable Enterprise kernel security update</t>
  </si>
  <si>
    <t>An issue was discovered in the Linux kernel before 5.0.10. There is a use-after-free in the sound subsystem because card disconnection causes certain data structures to be deleted too early. This is related to sound/core/init.c and sound/core/info.c.</t>
  </si>
  <si>
    <t>Vulnerable OS: Oracle Linux 7.9_x000D_
_x000D_
_x000D_
Vulnerable software installed: Linux kernel-uek 4.1.12-94.3.9.el7uek_x000D_
_x000D_
 * Required patch [CVE-2019-15214] is not installed, no patches discovered._x000D_
_x000D_
_x000D_
 * _x000D_
      kernel-uek-firmware - version 4.1.12-94.3.9.el7uek is installed</t>
  </si>
  <si>
    <t>CVE-2019-15214</t>
  </si>
  <si>
    <t>http://nvd.nist.gov/vuln/detail/CVE-2019-15214</t>
  </si>
  <si>
    <t>oracle_linux-cve-2019-15215</t>
  </si>
  <si>
    <t>Oracle Linux: (CVE-2019-15215) (Multiple Advisories): Unbreakable Enterprise kernel security update</t>
  </si>
  <si>
    <t>An issue was discovered in the Linux kernel before 5.2.6. There is a use-after-free caused by a malicious USB device in the drivers/media/usb/cpia2/cpia2_usb.c driver.</t>
  </si>
  <si>
    <t>Vulnerable OS: Oracle Linux 7.9_x000D_
_x000D_
_x000D_
Vulnerable software installed: Linux kernel-uek 4.1.12-94.3.9.el7uek_x000D_
_x000D_
 * Required patch [CVE-2019-15215] is not installed, no patches discovered._x000D_
_x000D_
_x000D_
 * _x000D_
      kernel-uek-firmware - version 4.1.12-94.3.9.el7uek is installed</t>
  </si>
  <si>
    <t>CVE-2019-15215</t>
  </si>
  <si>
    <t>http://nvd.nist.gov/vuln/detail/CVE-2019-15215</t>
  </si>
  <si>
    <t>oracle_linux-cve-2019-15217</t>
  </si>
  <si>
    <t>Oracle Linux: (CVE-2019-15217) (Multiple Advisories): kernel security, bug fix, and enhancement update</t>
  </si>
  <si>
    <t>An issue was discovered in the Linux kernel before 5.2.3. There is a NULL pointer dereference caused by a malicious USB device in the drivers/media/usb/zr364xx/zr364xx.c driver.</t>
  </si>
  <si>
    <t>Vulnerable OS: Oracle Linux 7.9_x000D_
_x000D_
_x000D_
Vulnerable software installed: Linux kernel-uek 4.1.12-94.3.9.el7uek_x000D_
_x000D_
 * Required patch [CVE-2019-15217] is not installed, no patches discovered._x000D_
_x000D_
_x000D_
 * _x000D_
      kernel-uek-firmware - version 4.1.12-94.3.9.el7uek is installed</t>
  </si>
  <si>
    <t>CVE-2019-15217</t>
  </si>
  <si>
    <t>http://nvd.nist.gov/vuln/detail/CVE-2019-15217</t>
  </si>
  <si>
    <t>oracle_linux-cve-2019-15218</t>
  </si>
  <si>
    <t>Oracle Linux: (CVE-2019-15218) (Multiple Advisories): Unbreakable Enterprise kernel security update</t>
  </si>
  <si>
    <t>An issue was discovered in the Linux kernel before 5.1.8. There is a NULL pointer dereference caused by a malicious USB device in the drivers/media/usb/siano/smsusb.c driver.</t>
  </si>
  <si>
    <t>Vulnerable OS: Oracle Linux 7.9_x000D_
_x000D_
_x000D_
Vulnerable software installed: Linux kernel-uek 4.1.12-94.3.9.el7uek_x000D_
_x000D_
 * Required patch [CVE-2019-15218] is not installed, no patches discovered._x000D_
_x000D_
_x000D_
 * _x000D_
      kernel-uek-firmware - version 4.1.12-94.3.9.el7uek is installed</t>
  </si>
  <si>
    <t>CVE-2019-15218</t>
  </si>
  <si>
    <t>http://nvd.nist.gov/vuln/detail/CVE-2019-15218</t>
  </si>
  <si>
    <t>oracle_linux-cve-2019-15219</t>
  </si>
  <si>
    <t>Oracle Linux: (CVE-2019-15219) (Multiple Advisories): Unbreakable Enterprise kernel security update</t>
  </si>
  <si>
    <t>An issue was discovered in the Linux kernel before 5.1.8. There is a NULL pointer dereference caused by a malicious USB device in the drivers/usb/misc/sisusbvga/sisusb.c driver.</t>
  </si>
  <si>
    <t>Vulnerable OS: Oracle Linux 7.9_x000D_
_x000D_
_x000D_
Vulnerable software installed: Linux kernel-uek 4.1.12-94.3.9.el7uek_x000D_
_x000D_
 * Required patch [CVE-2019-15219] is not installed, no patches discovered._x000D_
_x000D_
_x000D_
 * _x000D_
      kernel-uek-firmware - version 4.1.12-94.3.9.el7uek is installed</t>
  </si>
  <si>
    <t>CVE-2019-15219</t>
  </si>
  <si>
    <t>http://nvd.nist.gov/vuln/detail/CVE-2019-15219</t>
  </si>
  <si>
    <t>oracle_linux-cve-2019-15239</t>
  </si>
  <si>
    <t>Oracle Linux: (CVE-2019-15239) (Multiple Advisories): kernel security and bug fix update</t>
  </si>
  <si>
    <t>In the Linux kernel, a certain net/ipv4/tcp_output.c change, which was properly incorporated into 4.16.12, was incorrectly backported to the earlier longterm kernels, introducing a new vulnerability that was potentially more severe than the issue that was intended to be fixed by backporting. Specifically, by adding to a write queue between disconnection and re-connection, a local attacker can trigger multiple use-after-free conditions. This can result in a kernel crash, or potentially in privilege escalation. NOTE: this affects (for example) Linux distributions that use 4.9.x longterm kernels before 4.9.190 or 4.14.x longterm kernels before 4.14.139.</t>
  </si>
  <si>
    <t>Vulnerable OS: Oracle Linux 7.9_x000D_
_x000D_
_x000D_
Vulnerable software installed: Linux kernel-uek 4.1.12-94.3.9.el7uek_x000D_
_x000D_
 * Required patch [CVE-2019-15239] is not installed, no patches discovered._x000D_
_x000D_
_x000D_
 * _x000D_
      kernel-uek-firmware - version 4.1.12-94.3.9.el7uek is installed</t>
  </si>
  <si>
    <t>CVE-2019-15239</t>
  </si>
  <si>
    <t>http://nvd.nist.gov/vuln/detail/CVE-2019-15239</t>
  </si>
  <si>
    <t>oracle_linux-cve-2019-15291</t>
  </si>
  <si>
    <t>Oracle Linux: (CVE-2019-15291) (Multiple Advisories): Unbreakable Enterprise kernel security update</t>
  </si>
  <si>
    <t>An issue was discovered in the Linux kernel through 5.2.9. There is a NULL pointer dereference caused by a malicious USB device in the flexcop_usb_probe function in the drivers/media/usb/b2c2/flexcop-usb.c driver.</t>
  </si>
  <si>
    <t>Vulnerable OS: Oracle Linux 7.9_x000D_
_x000D_
_x000D_
Vulnerable software installed: Linux kernel-uek 4.1.12-94.3.9.el7uek_x000D_
_x000D_
 * Required patch [CVE-2019-15291] is not installed, no patches discovered._x000D_
_x000D_
_x000D_
 * _x000D_
      kernel-uek-firmware - version 4.1.12-94.3.9.el7uek is installed</t>
  </si>
  <si>
    <t>CVE-2019-15291</t>
  </si>
  <si>
    <t>http://nvd.nist.gov/vuln/detail/CVE-2019-15291</t>
  </si>
  <si>
    <t>oracle_linux-cve-2019-15505</t>
  </si>
  <si>
    <t>Oracle Linux: (CVE-2019-15505) ELSA-2020-5866: Unbreakable Enterprise kernel security update</t>
  </si>
  <si>
    <t>drivers/media/usb/dvb-usb/technisat-usb2.c in the Linux kernel through 5.2.9 has an out-of-bounds read via crafted USB device traffic (which may be remote via usbip or usbredir).</t>
  </si>
  <si>
    <t>Vulnerable OS: Oracle Linux 7.9_x000D_
_x000D_
_x000D_
Vulnerable software installed: Linux kernel-uek 4.1.12-94.3.9.el7uek_x000D_
_x000D_
 * Required patch [CVE-2019-15505] is not installed, no patches discovered._x000D_
_x000D_
_x000D_
 * _x000D_
      kernel-uek-firmware - version 4.1.12-94.3.9.el7uek is installed</t>
  </si>
  <si>
    <t>CVE-2019-15505</t>
  </si>
  <si>
    <t>http://nvd.nist.gov/vuln/detail/CVE-2019-15505</t>
  </si>
  <si>
    <t>oracle_linux-cve-2019-15666</t>
  </si>
  <si>
    <t>Oracle Linux: (CVE-2019-15666) ELSA-2019-4808: Unbreakable Enterprise kernel security update</t>
  </si>
  <si>
    <t>An issue was discovered in the Linux kernel before 5.0.19. There is an out-of-bounds array access in __xfrm_policy_unlink, which will cause denial of service, because verify_newpolicy_info in net/xfrm/xfrm_user.c mishandles directory validation.</t>
  </si>
  <si>
    <t>Vulnerable OS: Oracle Linux 7.9_x000D_
_x000D_
_x000D_
Vulnerable software installed: Linux kernel-uek 4.1.12-94.3.9.el7uek_x000D_
_x000D_
 * Required patch [CVE-2019-15666] is not installed, no patches discovered._x000D_
_x000D_
_x000D_
 * _x000D_
      kernel-uek-firmware - version 4.1.12-94.3.9.el7uek is installed</t>
  </si>
  <si>
    <t>CVE-2019-15666</t>
  </si>
  <si>
    <t>http://nvd.nist.gov/vuln/detail/CVE-2019-15666</t>
  </si>
  <si>
    <t>oracle_linux-cve-2019-15807</t>
  </si>
  <si>
    <t>Oracle Linux: (CVE-2019-15807) (Multiple Advisories): kernel security, bug fix, and enhancement update</t>
  </si>
  <si>
    <t>In the Linux kernel before 5.1.13, there is a memory leak in drivers/scsi/libsas/sas_expander.c when SAS expander discovery fails. This will cause a BUG and denial of service.</t>
  </si>
  <si>
    <t>Vulnerable OS: Oracle Linux 7.9_x000D_
_x000D_
_x000D_
Vulnerable software installed: Linux kernel-uek 4.1.12-94.3.9.el7uek_x000D_
_x000D_
 * Required patch [CVE-2019-15807] is not installed, no patches discovered._x000D_
_x000D_
_x000D_
 * _x000D_
      kernel-uek-firmware - version 4.1.12-94.3.9.el7uek is installed</t>
  </si>
  <si>
    <t>CVE-2019-15807</t>
  </si>
  <si>
    <t>http://nvd.nist.gov/vuln/detail/CVE-2019-15807</t>
  </si>
  <si>
    <t>oracle_linux-cve-2019-15916</t>
  </si>
  <si>
    <t>Oracle Linux: (CVE-2019-15916) (Multiple Advisories): kernel security, bug fix, and enhancement update</t>
  </si>
  <si>
    <t>An issue was discovered in the Linux kernel before 5.0.1. There is a memory leak in register_queue_kobjects() in net/core/net-sysfs.c, which will cause denial of service.</t>
  </si>
  <si>
    <t>Vulnerable OS: Oracle Linux 7.9_x000D_
_x000D_
_x000D_
Vulnerable software installed: Linux kernel-uek 4.1.12-94.3.9.el7uek_x000D_
_x000D_
 * Required patch [CVE-2019-15916] is not installed, no patches discovered._x000D_
_x000D_
_x000D_
 * _x000D_
      kernel-uek-firmware - version 4.1.12-94.3.9.el7uek is installed</t>
  </si>
  <si>
    <t>CVE-2019-15916</t>
  </si>
  <si>
    <t>http://nvd.nist.gov/vuln/detail/CVE-2019-15916</t>
  </si>
  <si>
    <t>oracle_linux-cve-2019-15927</t>
  </si>
  <si>
    <t>Oracle Linux: (CVE-2019-15927) ELSA-2020-5866: Unbreakable Enterprise kernel security update</t>
  </si>
  <si>
    <t>An issue was discovered in the Linux kernel before 4.20.2. An out-of-bounds access exists in the function build_audio_procunit in the file sound/usb/mixer.c.</t>
  </si>
  <si>
    <t>Vulnerable OS: Oracle Linux 7.9_x000D_
_x000D_
_x000D_
Vulnerable software installed: Linux kernel-uek 4.1.12-94.3.9.el7uek_x000D_
_x000D_
 * Required patch [CVE-2019-15927] is not installed, no patches discovered._x000D_
_x000D_
_x000D_
 * _x000D_
      kernel-uek-firmware - version 4.1.12-94.3.9.el7uek is installed</t>
  </si>
  <si>
    <t>CVE-2019-15927</t>
  </si>
  <si>
    <t>http://nvd.nist.gov/vuln/detail/CVE-2019-15927</t>
  </si>
  <si>
    <t>oracle_linux-cve-2019-16233</t>
  </si>
  <si>
    <t>Oracle Linux: (CVE-2019-16233) (Multiple Advisories): kernel security, bug fix, and enhancement update</t>
  </si>
  <si>
    <t>drivers/scsi/qla2xxx/qla_os.c in the Linux kernel 5.2.14 does not check the alloc_workqueue return value, leading to a NULL pointer dereference.</t>
  </si>
  <si>
    <t>Vulnerable OS: Oracle Linux 7.9_x000D_
_x000D_
_x000D_
Vulnerable software installed: Linux kernel-uek 4.1.12-94.3.9.el7uek_x000D_
_x000D_
 * Required patch [CVE-2019-16233] is not installed, no patches discovered._x000D_
_x000D_
_x000D_
 * _x000D_
      kernel-uek-firmware - version 4.1.12-94.3.9.el7uek is installed</t>
  </si>
  <si>
    <t>CVE-2019-16233</t>
  </si>
  <si>
    <t>http://nvd.nist.gov/vuln/detail/CVE-2019-16233</t>
  </si>
  <si>
    <t>oracle_linux-cve-2019-16746</t>
  </si>
  <si>
    <t>Oracle Linux: (CVE-2019-16746) (Multiple Advisories): Unbreakable Enterprise kernel security update</t>
  </si>
  <si>
    <t>An issue was discovered in net/wireless/nl80211.c in the Linux kernel through 5.2.17. It does not check the length of variable elements in a beacon head, leading to a buffer overflow.</t>
  </si>
  <si>
    <t>Vulnerable OS: Oracle Linux 7.9_x000D_
_x000D_
_x000D_
Vulnerable software installed: Linux kernel-uek 4.1.12-94.3.9.el7uek_x000D_
_x000D_
 * Required patch [CVE-2019-16746] is not installed, no patches discovered._x000D_
_x000D_
_x000D_
 * _x000D_
      kernel-uek-firmware - version 4.1.12-94.3.9.el7uek is installed</t>
  </si>
  <si>
    <t>CVE-2019-16746</t>
  </si>
  <si>
    <t>http://nvd.nist.gov/vuln/detail/CVE-2019-16746</t>
  </si>
  <si>
    <t>oracle_linux-cve-2019-16994</t>
  </si>
  <si>
    <t>Oracle Linux: (CVE-2019-16994) (Multiple Advisories): kernel security, bug fix, and enhancement update</t>
  </si>
  <si>
    <t>In the Linux kernel before 5.0, a memory leak exists in sit_init_net() in net/ipv6/sit.c when register_netdev() fails to register sitn-&gt;fb_tunnel_dev, which may cause denial of service, aka CID-07f12b26e21a.</t>
  </si>
  <si>
    <t>Vulnerable OS: Oracle Linux 7.9_x000D_
_x000D_
_x000D_
Vulnerable software installed: Linux kernel-uek 4.1.12-94.3.9.el7uek_x000D_
_x000D_
 * Required patch [CVE-2019-16994] is not installed, no patches discovered._x000D_
_x000D_
_x000D_
 * _x000D_
      kernel-uek-firmware - version 4.1.12-94.3.9.el7uek is installed</t>
  </si>
  <si>
    <t>CVE-2019-16994</t>
  </si>
  <si>
    <t>http://nvd.nist.gov/vuln/detail/CVE-2019-16994</t>
  </si>
  <si>
    <t>oracle_linux-cve-2019-16995</t>
  </si>
  <si>
    <t>Oracle Linux: (CVE-2019-16995) ELSA-2019-4850: Unbreakable Enterprise kernel security update</t>
  </si>
  <si>
    <t>In the Linux kernel before 5.0.3, a memory leak exits in hsr_dev_finalize() in net/hsr/hsr_device.c if hsr_add_port fails to add a port, which may cause denial of service, aka CID-6caabe7f197d.</t>
  </si>
  <si>
    <t>Vulnerable OS: Oracle Linux 7.9_x000D_
_x000D_
_x000D_
Vulnerable software installed: Linux kernel-uek 4.1.12-94.3.9.el7uek_x000D_
_x000D_
 * Required patch [CVE-2019-16995] is not installed, no patches discovered._x000D_
_x000D_
_x000D_
 * _x000D_
      kernel-uek-firmware - version 4.1.12-94.3.9.el7uek is installed</t>
  </si>
  <si>
    <t>CVE-2019-16995</t>
  </si>
  <si>
    <t>http://nvd.nist.gov/vuln/detail/CVE-2019-16995</t>
  </si>
  <si>
    <t>oracle_linux-cve-2019-17053</t>
  </si>
  <si>
    <t>Oracle Linux: (CVE-2019-17053) (Multiple Advisories): kernel security, bug fix, and enhancement update</t>
  </si>
  <si>
    <t>ieee802154_create in net/ieee802154/socket.c in the AF_IEEE802154 network module in the Linux kernel through 5.3.2 does not enforce CAP_NET_RAW, which means that unprivileged users can create a raw socket, aka CID-e69dbd4619e7.</t>
  </si>
  <si>
    <t>Vulnerable OS: Oracle Linux 7.9_x000D_
_x000D_
_x000D_
Vulnerable software installed: Linux kernel-uek 4.1.12-94.3.9.el7uek_x000D_
_x000D_
 * Required patch [CVE-2019-17053] is not installed, no patches discovered._x000D_
_x000D_
_x000D_
 * _x000D_
      kernel-uek-firmware - version 4.1.12-94.3.9.el7uek is installed</t>
  </si>
  <si>
    <t>CVE-2019-17053</t>
  </si>
  <si>
    <t>http://nvd.nist.gov/vuln/detail/CVE-2019-17053</t>
  </si>
  <si>
    <t>oracle_linux-cve-2019-17055</t>
  </si>
  <si>
    <t>Oracle Linux: (CVE-2019-17055) (Multiple Advisories): kernel security, bug fix, and enhancement update</t>
  </si>
  <si>
    <t>base_sock_create in drivers/isdn/mISDN/socket.c in the AF_ISDN network module in the Linux kernel through 5.3.2 does not enforce CAP_NET_RAW, which means that unprivileged users can create a raw socket, aka CID-b91ee4aa2a21.</t>
  </si>
  <si>
    <t>Vulnerable OS: Oracle Linux 7.9_x000D_
_x000D_
_x000D_
Vulnerable software installed: Linux kernel-uek 4.1.12-94.3.9.el7uek_x000D_
_x000D_
 * Required patch [CVE-2019-17055] is not installed, no patches discovered._x000D_
_x000D_
_x000D_
 * _x000D_
      kernel-uek-firmware - version 4.1.12-94.3.9.el7uek is installed</t>
  </si>
  <si>
    <t>CVE-2019-17055</t>
  </si>
  <si>
    <t>http://nvd.nist.gov/vuln/detail/CVE-2019-17055</t>
  </si>
  <si>
    <t>oracle_linux-cve-2019-17075</t>
  </si>
  <si>
    <t>Oracle Linux: (CVE-2019-17075) (Multiple Advisories): Unbreakable Enterprise kernel security update</t>
  </si>
  <si>
    <t>An issue was discovered in write_tpt_entry in drivers/infiniband/hw/cxgb4/mem.c in the Linux kernel through 5.3.2. The cxgb4 driver is directly calling dma_map_single (a DMA function) from a stack variable. This could allow an attacker to trigger a Denial of Service, exploitable if this driver is used on an architecture for which this stack/DMA interaction has security relevance.</t>
  </si>
  <si>
    <t>Vulnerable OS: Oracle Linux 7.9_x000D_
_x000D_
_x000D_
Vulnerable software installed: Linux kernel-uek 4.1.12-94.3.9.el7uek_x000D_
_x000D_
 * Required patch [CVE-2019-17075] is not installed, no patches discovered._x000D_
_x000D_
_x000D_
 * _x000D_
      kernel-uek-firmware - version 4.1.12-94.3.9.el7uek is installed</t>
  </si>
  <si>
    <t>CVE-2019-17075</t>
  </si>
  <si>
    <t>http://nvd.nist.gov/vuln/detail/CVE-2019-17075</t>
  </si>
  <si>
    <t>oracle_linux-cve-2019-17666</t>
  </si>
  <si>
    <t>Oracle Linux: (CVE-2019-17666) (Multiple Advisories): kernel security update</t>
  </si>
  <si>
    <t>rtl_p2p_noa_ie in drivers/net/wireless/realtek/rtlwifi/ps.c in the Linux kernel through 5.3.6 lacks a certain upper-bound check, leading to a buffer overflow.</t>
  </si>
  <si>
    <t>Vulnerable OS: Oracle Linux 7.9_x000D_
_x000D_
_x000D_
Vulnerable software installed: Linux kernel-uek 4.1.12-94.3.9.el7uek_x000D_
_x000D_
 * Required patch [CVE-2019-17666] is not installed, no patches discovered._x000D_
_x000D_
_x000D_
 * _x000D_
      kernel-uek-firmware - version 4.1.12-94.3.9.el7uek is installed</t>
  </si>
  <si>
    <t>CVE-2019-17666</t>
  </si>
  <si>
    <t>http://nvd.nist.gov/vuln/detail/CVE-2019-17666</t>
  </si>
  <si>
    <t>oracle_linux-cve-2019-18806</t>
  </si>
  <si>
    <t>Oracle Linux: (CVE-2019-18806) (Multiple Advisories): Unbreakable Enterprise kernel security update</t>
  </si>
  <si>
    <t>A memory leak in the ql_alloc_large_buffers() function in drivers/net/ethernet/qlogic/qla3xxx.c in the Linux kernel before 5.3.5 allows local users to cause a denial of service (memory consumption) by triggering pci_dma_mapping_error() failures, aka CID-1acb8f2a7a9f.</t>
  </si>
  <si>
    <t>Vulnerable OS: Oracle Linux 7.9_x000D_
_x000D_
_x000D_
Vulnerable software installed: Linux kernel-uek 4.1.12-94.3.9.el7uek_x000D_
_x000D_
 * Required patch [CVE-2019-18806] is not installed, no patches discovered._x000D_
_x000D_
_x000D_
 * _x000D_
      kernel-uek-firmware - version 4.1.12-94.3.9.el7uek is installed</t>
  </si>
  <si>
    <t>CVE-2019-18806</t>
  </si>
  <si>
    <t>http://nvd.nist.gov/vuln/detail/CVE-2019-18806</t>
  </si>
  <si>
    <t>oracle_linux-cve-2019-18885</t>
  </si>
  <si>
    <t>Oracle Linux: (CVE-2019-18885) (Multiple Advisories): Unbreakable Enterprise kernel security update</t>
  </si>
  <si>
    <t>fs/btrfs/volumes.c in the Linux kernel before 5.1 allows a btrfs_verify_dev_extents NULL pointer dereference via a crafted btrfs image because fs_devices-&gt;devices is mishandled within find_device, aka CID-09ba3bc9dd15.</t>
  </si>
  <si>
    <t>Vulnerable OS: Oracle Linux 7.9_x000D_
_x000D_
_x000D_
Vulnerable software installed: Linux kernel-uek 4.1.12-94.3.9.el7uek_x000D_
_x000D_
 * Required patch [CVE-2019-18885] is not installed, no patches discovered._x000D_
_x000D_
_x000D_
 * _x000D_
      kernel-uek-firmware - version 4.1.12-94.3.9.el7uek is installed</t>
  </si>
  <si>
    <t>CVE-2019-18885</t>
  </si>
  <si>
    <t>http://nvd.nist.gov/vuln/detail/CVE-2019-18885</t>
  </si>
  <si>
    <t>oracle_linux-cve-2019-19049</t>
  </si>
  <si>
    <t>Oracle Linux: (CVE-2019-19049) (Multiple Advisories): Unbreakable Enterprise kernel security update</t>
  </si>
  <si>
    <t>** DISPUTED ** A memory leak in the unittest_data_add() function in drivers/of/unittest.c in the Linux kernel before 5.3.10 allows attackers to cause a denial of service (memory consumption) by triggering of_fdt_unflatten_tree() failures, aka CID-e13de8fe0d6a. NOTE: third parties dispute the relevance of this because unittest.c can only be reached during boot.</t>
  </si>
  <si>
    <t>Vulnerable OS: Oracle Linux 7.9_x000D_
_x000D_
_x000D_
Vulnerable software installed: Linux kernel-uek 4.1.12-94.3.9.el7uek_x000D_
_x000D_
 * Required patch [CVE-2019-19049] is not installed, no patches discovered._x000D_
_x000D_
_x000D_
 * _x000D_
      kernel-uek-firmware - version 4.1.12-94.3.9.el7uek is installed</t>
  </si>
  <si>
    <t>CVE-2019-19049</t>
  </si>
  <si>
    <t>http://nvd.nist.gov/vuln/detail/CVE-2019-19049</t>
  </si>
  <si>
    <t>oracle_linux-cve-2019-19052</t>
  </si>
  <si>
    <t>Oracle Linux: (CVE-2019-19052) (Multiple Advisories): Unbreakable Enterprise kernel security update</t>
  </si>
  <si>
    <t>A memory leak in the gs_can_open() function in drivers/net/can/usb/gs_usb.c in the Linux kernel before 5.3.11 allows attackers to cause a denial of service (memory consumption) by triggering usb_submit_urb() failures, aka CID-fb5be6a7b486.</t>
  </si>
  <si>
    <t>Vulnerable OS: Oracle Linux 7.9_x000D_
_x000D_
_x000D_
Vulnerable software installed: Linux kernel-uek 4.1.12-94.3.9.el7uek_x000D_
_x000D_
 * Required patch [CVE-2019-19052] is not installed, no patches discovered._x000D_
_x000D_
_x000D_
 * _x000D_
      kernel-uek-firmware - version 4.1.12-94.3.9.el7uek is installed</t>
  </si>
  <si>
    <t>CVE-2019-19052</t>
  </si>
  <si>
    <t>http://nvd.nist.gov/vuln/detail/CVE-2019-19052</t>
  </si>
  <si>
    <t>oracle_linux-cve-2019-19054</t>
  </si>
  <si>
    <t>Oracle Linux: (CVE-2019-19054) (Multiple Advisories): Unbreakable Enterprise kernel security update</t>
  </si>
  <si>
    <t>A memory leak in the cx23888_ir_probe() function in drivers/media/pci/cx23885/cx23888-ir.c in the Linux kernel through 5.3.11 allows attackers to cause a denial of service (memory consumption) by triggering kfifo_alloc() failures, aka CID-a7b2df76b42b.</t>
  </si>
  <si>
    <t>Vulnerable OS: Oracle Linux 7.9_x000D_
_x000D_
_x000D_
Vulnerable software installed: Linux kernel-uek 4.1.12-94.3.9.el7uek_x000D_
_x000D_
 * Required patch [CVE-2019-19054] is not installed, no patches discovered._x000D_
_x000D_
_x000D_
 * _x000D_
      kernel-uek-firmware - version 4.1.12-94.3.9.el7uek is installed</t>
  </si>
  <si>
    <t>CVE-2019-19054</t>
  </si>
  <si>
    <t>http://nvd.nist.gov/vuln/detail/CVE-2019-19054</t>
  </si>
  <si>
    <t>oracle_linux-cve-2019-19056</t>
  </si>
  <si>
    <t>Oracle Linux: (CVE-2019-19056) ELSA-2020-5670: Unbreakable Enterprise kernel security update</t>
  </si>
  <si>
    <t>A memory leak in the mwifiex_pcie_alloc_cmdrsp_buf() function in drivers/net/wireless/marvell/mwifiex/pcie.c in the Linux kernel through 5.3.11 allows attackers to cause a denial of service (memory consumption) by triggering mwifiex_map_pci_memory() failures, aka CID-db8fd2cde932.</t>
  </si>
  <si>
    <t>Vulnerable OS: Oracle Linux 7.9_x000D_
_x000D_
_x000D_
Vulnerable software installed: Linux kernel-uek 4.1.12-94.3.9.el7uek_x000D_
_x000D_
 * Required patch [CVE-2019-19056] is not installed, no patches discovered._x000D_
_x000D_
_x000D_
 * _x000D_
      kernel-uek-firmware - version 4.1.12-94.3.9.el7uek is installed</t>
  </si>
  <si>
    <t>CVE-2019-19056</t>
  </si>
  <si>
    <t>http://nvd.nist.gov/vuln/detail/CVE-2019-19056</t>
  </si>
  <si>
    <t>oracle_linux-cve-2019-19057</t>
  </si>
  <si>
    <t>Oracle Linux: (CVE-2019-19057) ELSA-2020-5708: Unbreakable Enterprise kernel security update</t>
  </si>
  <si>
    <t>Two memory leaks in the mwifiex_pcie_init_evt_ring() function in drivers/net/wireless/marvell/mwifiex/pcie.c in the Linux kernel through 5.3.11 allow attackers to cause a denial of service (memory consumption) by triggering mwifiex_map_pci_memory() failures, aka CID-d10dcb615c8e.</t>
  </si>
  <si>
    <t>Vulnerable OS: Oracle Linux 7.9_x000D_
_x000D_
_x000D_
Vulnerable software installed: Linux kernel-uek 4.1.12-94.3.9.el7uek_x000D_
_x000D_
 * Required patch [CVE-2019-19057] is not installed, no patches discovered._x000D_
_x000D_
_x000D_
 * _x000D_
      kernel-uek-firmware - version 4.1.12-94.3.9.el7uek is installed</t>
  </si>
  <si>
    <t>CVE-2019-19057</t>
  </si>
  <si>
    <t>http://nvd.nist.gov/vuln/detail/CVE-2019-19057</t>
  </si>
  <si>
    <t>oracle_linux-cve-2019-19062</t>
  </si>
  <si>
    <t>Oracle Linux: (CVE-2019-19062) (Multiple Advisories): kernel security, bug fix, and enhancement update</t>
  </si>
  <si>
    <t>A memory leak in the crypto_report() function in crypto/crypto_user_base.c in the Linux kernel through 5.3.11 allows attackers to cause a denial of service (memory consumption) by triggering crypto_report_alg() failures, aka CID-ffdde5932042.</t>
  </si>
  <si>
    <t>Vulnerable OS: Oracle Linux 7.9_x000D_
_x000D_
_x000D_
Vulnerable software installed: Linux kernel-uek 4.1.12-94.3.9.el7uek_x000D_
_x000D_
 * Required patch [CVE-2019-19062] is not installed, no patches discovered._x000D_
_x000D_
_x000D_
 * _x000D_
      kernel-uek-firmware - version 4.1.12-94.3.9.el7uek is installed</t>
  </si>
  <si>
    <t>CVE-2019-19062</t>
  </si>
  <si>
    <t>http://nvd.nist.gov/vuln/detail/CVE-2019-19062</t>
  </si>
  <si>
    <t>oracle_linux-cve-2019-19073</t>
  </si>
  <si>
    <t>Oracle Linux: (CVE-2019-19073) (Multiple Advisories): Unbreakable Enterprise kernel security update</t>
  </si>
  <si>
    <t>Memory leaks in drivers/net/wireless/ath/ath9k/htc_hst.c in the Linux kernel through 5.3.11 allow attackers to cause a denial of service (memory consumption) by triggering wait_for_completion_timeout() failures. This affects the htc_config_pipe_credits() function, the htc_setup_complete() function, and the htc_connect_service() function, aka CID-853acf7caf10.</t>
  </si>
  <si>
    <t>Vulnerable OS: Oracle Linux 7.9_x000D_
_x000D_
_x000D_
Vulnerable software installed: Linux kernel-uek 4.1.12-94.3.9.el7uek_x000D_
_x000D_
 * Required patch [CVE-2019-19073] is not installed, no patches discovered._x000D_
_x000D_
_x000D_
 * _x000D_
      kernel-uek-firmware - version 4.1.12-94.3.9.el7uek is installed</t>
  </si>
  <si>
    <t>CVE-2019-19073</t>
  </si>
  <si>
    <t>http://nvd.nist.gov/vuln/detail/CVE-2019-19073</t>
  </si>
  <si>
    <t>oracle_linux-cve-2019-19332</t>
  </si>
  <si>
    <t>Oracle Linux: (CVE-2019-19332) (Multiple Advisories): kernel security, bug fix, and enhancement update</t>
  </si>
  <si>
    <t>An out-of-bounds memory write issue was found in the Linux Kernel, version 3.13 through 5.4, in the way the Linux kernel's KVM hypervisor handled the 'KVM_GET_EMULATED_CPUID' ioctl(2) request to get CPUID features emulated by the KVM hypervisor. A user or process able to access the '/dev/kvm' device could use this flaw to crash the system, resulting in a denial of service.</t>
  </si>
  <si>
    <t>Vulnerable OS: Oracle Linux 7.9_x000D_
_x000D_
_x000D_
Vulnerable software installed: Linux kernel-uek 4.1.12-94.3.9.el7uek_x000D_
_x000D_
 * Required patch [CVE-2019-19332] is not installed, no patches discovered._x000D_
_x000D_
_x000D_
 * _x000D_
      kernel-uek-firmware - version 4.1.12-94.3.9.el7uek is installed</t>
  </si>
  <si>
    <t>CVE-2019-19332</t>
  </si>
  <si>
    <t>http://nvd.nist.gov/vuln/detail/CVE-2019-19332</t>
  </si>
  <si>
    <t>oracle_linux-cve-2019-19523</t>
  </si>
  <si>
    <t>Oracle Linux: (CVE-2019-19523) (Multiple Advisories): kernel security, bug fix, and enhancement update</t>
  </si>
  <si>
    <t>In the Linux kernel before 5.3.7, there is a use-after-free bug that can be caused by a malicious USB device in the drivers/usb/misc/adutux.c driver, aka CID-44efc269db79.</t>
  </si>
  <si>
    <t>Vulnerable OS: Oracle Linux 7.9_x000D_
_x000D_
_x000D_
Vulnerable software installed: Linux kernel-uek 4.1.12-94.3.9.el7uek_x000D_
_x000D_
 * Required patch [CVE-2019-19523] is not installed, no patches discovered._x000D_
_x000D_
_x000D_
 * _x000D_
      kernel-uek-firmware - version 4.1.12-94.3.9.el7uek is installed</t>
  </si>
  <si>
    <t>CVE-2019-19523</t>
  </si>
  <si>
    <t>http://nvd.nist.gov/vuln/detail/CVE-2019-19523</t>
  </si>
  <si>
    <t>oracle_linux-cve-2019-19524</t>
  </si>
  <si>
    <t>Oracle Linux: (CVE-2019-19524) (Multiple Advisories): kernel security, bug fix, and enhancement update</t>
  </si>
  <si>
    <t>In the Linux kernel before 5.3.12, there is a use-after-free bug that can be caused by a malicious USB device in the drivers/input/ff-memless.c driver, aka CID-fa3a5a1880c9.</t>
  </si>
  <si>
    <t>Vulnerable OS: Oracle Linux 7.9_x000D_
_x000D_
_x000D_
Vulnerable software installed: Linux kernel-uek 4.1.12-94.3.9.el7uek_x000D_
_x000D_
 * Required patch [CVE-2019-19524] is not installed, no patches discovered._x000D_
_x000D_
_x000D_
 * _x000D_
      kernel-uek-firmware - version 4.1.12-94.3.9.el7uek is installed</t>
  </si>
  <si>
    <t>CVE-2019-19524</t>
  </si>
  <si>
    <t>http://nvd.nist.gov/vuln/detail/CVE-2019-19524</t>
  </si>
  <si>
    <t>oracle_linux-cve-2019-19527</t>
  </si>
  <si>
    <t>Oracle Linux: (CVE-2019-19527) (Multiple Advisories): kernel security and bug fix update</t>
  </si>
  <si>
    <t>In the Linux kernel before 5.2.10, there is a use-after-free bug that can be caused by a malicious USB device in the drivers/hid/usbhid/hiddev.c driver, aka CID-9c09b214f30e.</t>
  </si>
  <si>
    <t>Vulnerable OS: Oracle Linux 7.9_x000D_
_x000D_
_x000D_
Vulnerable software installed: Linux kernel-uek 4.1.12-94.3.9.el7uek_x000D_
_x000D_
 * Required patch [CVE-2019-19527] is not installed, no patches discovered._x000D_
_x000D_
_x000D_
 * _x000D_
      kernel-uek-firmware - version 4.1.12-94.3.9.el7uek is installed</t>
  </si>
  <si>
    <t>CVE-2019-19527</t>
  </si>
  <si>
    <t>http://nvd.nist.gov/vuln/detail/CVE-2019-19527</t>
  </si>
  <si>
    <t>oracle_linux-cve-2019-19528</t>
  </si>
  <si>
    <t>Oracle Linux: (CVE-2019-19528) (Multiple Advisories): Unbreakable Enterprise kernel security update</t>
  </si>
  <si>
    <t>In the Linux kernel before 5.3.7, there is a use-after-free bug that can be caused by a malicious USB device in the drivers/usb/misc/iowarrior.c driver, aka CID-edc4746f253d.</t>
  </si>
  <si>
    <t>Vulnerable OS: Oracle Linux 7.9_x000D_
_x000D_
_x000D_
Vulnerable software installed: Linux kernel-uek 4.1.12-94.3.9.el7uek_x000D_
_x000D_
 * Required patch [CVE-2019-19528] is not installed, no patches discovered._x000D_
_x000D_
_x000D_
 * _x000D_
      kernel-uek-firmware - version 4.1.12-94.3.9.el7uek is installed</t>
  </si>
  <si>
    <t>CVE-2019-19528</t>
  </si>
  <si>
    <t>http://nvd.nist.gov/vuln/detail/CVE-2019-19528</t>
  </si>
  <si>
    <t>oracle_linux-cve-2019-19530</t>
  </si>
  <si>
    <t>Oracle Linux: (CVE-2019-19530) (Multiple Advisories): Unbreakable Enterprise kernel security update</t>
  </si>
  <si>
    <t>In the Linux kernel before 5.2.10, there is a use-after-free bug that can be caused by a malicious USB device in the drivers/usb/class/cdc-acm.c driver, aka CID-c52873e5a1ef.</t>
  </si>
  <si>
    <t>Vulnerable OS: Oracle Linux 7.9_x000D_
_x000D_
_x000D_
Vulnerable software installed: Linux kernel-uek 4.1.12-94.3.9.el7uek_x000D_
_x000D_
 * Required patch [CVE-2019-19530] is not installed, no patches discovered._x000D_
_x000D_
_x000D_
 * _x000D_
      kernel-uek-firmware - version 4.1.12-94.3.9.el7uek is installed</t>
  </si>
  <si>
    <t>CVE-2019-19530</t>
  </si>
  <si>
    <t>http://nvd.nist.gov/vuln/detail/CVE-2019-19530</t>
  </si>
  <si>
    <t>oracle_linux-cve-2019-19532</t>
  </si>
  <si>
    <t>Oracle Linux: (CVE-2019-19532) (Multiple Advisories): Unbreakable Enterprise kernel security update</t>
  </si>
  <si>
    <t>In the Linux kernel before 5.3.9, there are multiple out-of-bounds write bugs that can be caused by a malicious USB device in the Linux kernel HID drivers, aka CID-d9d4b1e46d95. This affects drivers/hid/hid-axff.c, drivers/hid/hid-dr.c, drivers/hid/hid-emsff.c, drivers/hid/hid-gaff.c, drivers/hid/hid-holtekff.c, drivers/hid/hid-lg2ff.c, drivers/hid/hid-lg3ff.c, drivers/hid/hid-lg4ff.c, drivers/hid/hid-lgff.c, drivers/hid/hid-logitech-hidpp.c, drivers/hid/hid-microsoft.c, drivers/hid/hid-sony.c, drivers/hid/hid-tmff.c, and drivers/hid/hid-zpff.c.</t>
  </si>
  <si>
    <t>Vulnerable OS: Oracle Linux 7.9_x000D_
_x000D_
_x000D_
Vulnerable software installed: Linux kernel-uek 4.1.12-94.3.9.el7uek_x000D_
_x000D_
 * Required patch [CVE-2019-19532] is not installed, no patches discovered._x000D_
_x000D_
_x000D_
 * _x000D_
      kernel-uek-firmware - version 4.1.12-94.3.9.el7uek is installed</t>
  </si>
  <si>
    <t>CVE-2019-19532</t>
  </si>
  <si>
    <t>http://nvd.nist.gov/vuln/detail/CVE-2019-19532</t>
  </si>
  <si>
    <t>oracle_linux-cve-2019-19533</t>
  </si>
  <si>
    <t>Oracle Linux: (CVE-2019-19533) (Multiple Advisories): Unbreakable Enterprise kernel security update</t>
  </si>
  <si>
    <t>In the Linux kernel before 5.3.4, there is an info-leak bug that can be caused by a malicious USB device in the drivers/media/usb/ttusb-dec/ttusb_dec.c driver, aka CID-a10feaf8c464.</t>
  </si>
  <si>
    <t>Vulnerable OS: Oracle Linux 7.9_x000D_
_x000D_
_x000D_
Vulnerable software installed: Linux kernel-uek 4.1.12-94.3.9.el7uek_x000D_
_x000D_
 * Required patch [CVE-2019-19533] is not installed, no patches discovered._x000D_
_x000D_
_x000D_
 * _x000D_
      kernel-uek-firmware - version 4.1.12-94.3.9.el7uek is installed</t>
  </si>
  <si>
    <t>CVE-2019-19533</t>
  </si>
  <si>
    <t>http://nvd.nist.gov/vuln/detail/CVE-2019-19533</t>
  </si>
  <si>
    <t>oracle_linux-cve-2019-19534</t>
  </si>
  <si>
    <t>Oracle Linux: (CVE-2019-19534) (Multiple Advisories): kernel security, bug fix, and enhancement update</t>
  </si>
  <si>
    <t>In the Linux kernel before 5.3.11, there is an info-leak bug that can be caused by a malicious USB device in the drivers/net/can/usb/peak_usb/pcan_usb_core.c driver, aka CID-f7a1337f0d29.</t>
  </si>
  <si>
    <t>Vulnerable OS: Oracle Linux 7.9_x000D_
_x000D_
_x000D_
Vulnerable software installed: Linux kernel-uek 4.1.12-94.3.9.el7uek_x000D_
_x000D_
 * Required patch [CVE-2019-19534] is not installed, no patches discovered._x000D_
_x000D_
_x000D_
 * _x000D_
      kernel-uek-firmware - version 4.1.12-94.3.9.el7uek is installed</t>
  </si>
  <si>
    <t>CVE-2019-19534</t>
  </si>
  <si>
    <t>http://nvd.nist.gov/vuln/detail/CVE-2019-19534</t>
  </si>
  <si>
    <t>oracle_linux-cve-2019-19535</t>
  </si>
  <si>
    <t>Oracle Linux: (CVE-2019-19535) (Multiple Advisories): Unbreakable Enterprise kernel security update</t>
  </si>
  <si>
    <t>In the Linux kernel before 5.2.9, there is an info-leak bug that can be caused by a malicious USB device in the drivers/net/can/usb/peak_usb/pcan_usb_fd.c driver, aka CID-30a8beeb3042.</t>
  </si>
  <si>
    <t>Vulnerable OS: Oracle Linux 7.9_x000D_
_x000D_
_x000D_
Vulnerable software installed: Linux kernel-uek 4.1.12-94.3.9.el7uek_x000D_
_x000D_
 * Required patch [CVE-2019-19535] is not installed, no patches discovered._x000D_
_x000D_
_x000D_
 * _x000D_
      kernel-uek-firmware - version 4.1.12-94.3.9.el7uek is installed</t>
  </si>
  <si>
    <t>CVE-2019-19535</t>
  </si>
  <si>
    <t>http://nvd.nist.gov/vuln/detail/CVE-2019-19535</t>
  </si>
  <si>
    <t>oracle_linux-cve-2019-19536</t>
  </si>
  <si>
    <t>Oracle Linux: (CVE-2019-19536) (Multiple Advisories): Unbreakable Enterprise kernel security update</t>
  </si>
  <si>
    <t>In the Linux kernel before 5.2.9, there is an info-leak bug that can be caused by a malicious USB device in the drivers/net/can/usb/peak_usb/pcan_usb_pro.c driver, aka CID-ead16e53c2f0.</t>
  </si>
  <si>
    <t>Vulnerable OS: Oracle Linux 7.9_x000D_
_x000D_
_x000D_
Vulnerable software installed: Linux kernel-uek 4.1.12-94.3.9.el7uek_x000D_
_x000D_
 * Required patch [CVE-2019-19536] is not installed, no patches discovered._x000D_
_x000D_
_x000D_
 * _x000D_
      kernel-uek-firmware - version 4.1.12-94.3.9.el7uek is installed</t>
  </si>
  <si>
    <t>CVE-2019-19536</t>
  </si>
  <si>
    <t>http://nvd.nist.gov/vuln/detail/CVE-2019-19536</t>
  </si>
  <si>
    <t>oracle_linux-cve-2019-19537</t>
  </si>
  <si>
    <t>Oracle Linux: (CVE-2019-19537) (Multiple Advisories): kernel security, bug fix, and enhancement update</t>
  </si>
  <si>
    <t>In the Linux kernel before 5.2.10, there is a race condition bug that can be caused by a malicious USB device in the USB character device driver layer, aka CID-303911cfc5b9. This affects drivers/usb/core/file.c.</t>
  </si>
  <si>
    <t>Vulnerable OS: Oracle Linux 7.9_x000D_
_x000D_
_x000D_
Vulnerable software installed: Linux kernel-uek 4.1.12-94.3.9.el7uek_x000D_
_x000D_
 * Required patch [CVE-2019-19537] is not installed, no patches discovered._x000D_
_x000D_
_x000D_
 * _x000D_
      kernel-uek-firmware - version 4.1.12-94.3.9.el7uek is installed</t>
  </si>
  <si>
    <t>CVE-2019-19537</t>
  </si>
  <si>
    <t>http://nvd.nist.gov/vuln/detail/CVE-2019-19537</t>
  </si>
  <si>
    <t>oracle_linux-cve-2019-19768</t>
  </si>
  <si>
    <t>Oracle Linux: (CVE-2019-19768) (Multiple Advisories): Unbreakable Enterprise kernel security update</t>
  </si>
  <si>
    <t>In the Linux kernel 5.4.0-rc2, there is a use-after-free (read) in the __blk_add_trace function in kernel/trace/blktrace.c (which is used to fill out a blk_io_trace structure and place it in a per-cpu sub-buffer).</t>
  </si>
  <si>
    <t>Vulnerable OS: Oracle Linux 7.9_x000D_
_x000D_
_x000D_
Vulnerable software installed: Linux kernel-uek 4.1.12-94.3.9.el7uek_x000D_
_x000D_
 * Required patch [CVE-2019-19768] is not installed, no patches discovered._x000D_
_x000D_
_x000D_
 * _x000D_
      kernel-uek-firmware - version 4.1.12-94.3.9.el7uek is installed</t>
  </si>
  <si>
    <t>CVE-2019-19768</t>
  </si>
  <si>
    <t>http://nvd.nist.gov/vuln/detail/CVE-2019-19768</t>
  </si>
  <si>
    <t>oracle_linux-cve-2019-19965</t>
  </si>
  <si>
    <t>Oracle Linux: (CVE-2019-19965) (Multiple Advisories): Unbreakable Enterprise kernel security update</t>
  </si>
  <si>
    <t>In the Linux kernel through 5.4.6, there is a NULL pointer dereference in drivers/scsi/libsas/sas_discover.c because of mishandling of port disconnection during discovery, related to a PHY down race condition, aka CID-f70267f379b5.</t>
  </si>
  <si>
    <t>Vulnerable OS: Oracle Linux 7.9_x000D_
_x000D_
_x000D_
Vulnerable software installed: Linux kernel-uek 4.1.12-94.3.9.el7uek_x000D_
_x000D_
 * Required patch [CVE-2019-19965] is not installed, no patches discovered._x000D_
_x000D_
_x000D_
 * _x000D_
      kernel-uek-firmware - version 4.1.12-94.3.9.el7uek is installed</t>
  </si>
  <si>
    <t>CVE-2019-19965</t>
  </si>
  <si>
    <t>http://nvd.nist.gov/vuln/detail/CVE-2019-19965</t>
  </si>
  <si>
    <t>oracle_linux-cve-2019-20054</t>
  </si>
  <si>
    <t>Oracle Linux: (CVE-2019-20054) (Multiple Advisories): Unbreakable Enterprise kernel security update</t>
  </si>
  <si>
    <t>In the Linux kernel before 5.0.6, there is a NULL pointer dereference in drop_sysctl_table() in fs/proc/proc_sysctl.c, related to put_links, aka CID-23da9588037e.</t>
  </si>
  <si>
    <t>Vulnerable OS: Oracle Linux 7.9_x000D_
_x000D_
_x000D_
Vulnerable software installed: Linux kernel-uek 4.1.12-94.3.9.el7uek_x000D_
_x000D_
 * Required patch [CVE-2019-20054] is not installed, no patches discovered._x000D_
_x000D_
_x000D_
 * _x000D_
      kernel-uek-firmware - version 4.1.12-94.3.9.el7uek is installed</t>
  </si>
  <si>
    <t>CVE-2019-20054</t>
  </si>
  <si>
    <t>http://nvd.nist.gov/vuln/detail/CVE-2019-20054</t>
  </si>
  <si>
    <t>oracle_linux-cve-2019-20096</t>
  </si>
  <si>
    <t>Oracle Linux: (CVE-2019-20096) ELSA-2020-5866: Unbreakable Enterprise kernel security update</t>
  </si>
  <si>
    <t>In the Linux kernel before 5.1, there is a memory leak in __feat_register_sp() in net/dccp/feat.c, which may cause denial of service, aka CID-1d3ff0950e2b.</t>
  </si>
  <si>
    <t>Vulnerable OS: Oracle Linux 7.9_x000D_
_x000D_
_x000D_
Vulnerable software installed: Linux kernel-uek 4.1.12-94.3.9.el7uek_x000D_
_x000D_
 * Required patch [CVE-2019-20096] is not installed, no patches discovered._x000D_
_x000D_
_x000D_
 * _x000D_
      kernel-uek-firmware - version 4.1.12-94.3.9.el7uek is installed</t>
  </si>
  <si>
    <t>CVE-2019-20096</t>
  </si>
  <si>
    <t>http://nvd.nist.gov/vuln/detail/CVE-2019-20096</t>
  </si>
  <si>
    <t>oracle_linux-cve-2019-20636</t>
  </si>
  <si>
    <t>Oracle Linux: (CVE-2019-20636) (Multiple Advisories): kernel security, bug fix, and enhancement update</t>
  </si>
  <si>
    <t>In the Linux kernel before 5.4.12, drivers/input/input.c has out-of-bounds writes via a crafted keycode table, as demonstrated by input_set_keycode, aka CID-cb222aed03d7.</t>
  </si>
  <si>
    <t>Vulnerable OS: Oracle Linux 7.9_x000D_
_x000D_
_x000D_
Vulnerable software installed: Linux kernel-uek 4.1.12-94.3.9.el7uek_x000D_
_x000D_
 * Required patch [CVE-2019-20636] is not installed, no patches discovered._x000D_
_x000D_
_x000D_
 * _x000D_
      kernel-uek-firmware - version 4.1.12-94.3.9.el7uek is installed</t>
  </si>
  <si>
    <t>CVE-2019-20636</t>
  </si>
  <si>
    <t>http://nvd.nist.gov/vuln/detail/CVE-2019-20636</t>
  </si>
  <si>
    <t>oracle_linux-cve-2019-20811</t>
  </si>
  <si>
    <t>Oracle Linux: (CVE-2019-20811) (Multiple Advisories): kernel security and bug fix update</t>
  </si>
  <si>
    <t>An issue was discovered in the Linux kernel before 5.0.6. In rx_queue_add_kobject() and netdev_queue_add_kobject() in net/core/net-sysfs.c, a reference count is mishandled, aka CID-a3e23f719f5c.</t>
  </si>
  <si>
    <t>Vulnerable OS: Oracle Linux 7.9_x000D_
_x000D_
_x000D_
Vulnerable software installed: Linux kernel-uek 4.1.12-94.3.9.el7uek_x000D_
_x000D_
 * Required patch [CVE-2019-20811] is not installed, no patches discovered._x000D_
_x000D_
_x000D_
 * _x000D_
      kernel-uek-firmware - version 4.1.12-94.3.9.el7uek is installed</t>
  </si>
  <si>
    <t>CVE-2019-20811</t>
  </si>
  <si>
    <t>http://nvd.nist.gov/vuln/detail/CVE-2019-20811</t>
  </si>
  <si>
    <t>oracle_linux-cve-2019-20812</t>
  </si>
  <si>
    <t>Oracle Linux: (CVE-2019-20812) (Multiple Advisories): Unbreakable Enterprise kernel security update</t>
  </si>
  <si>
    <t>An issue was discovered in the Linux kernel before 5.4.7. The prb_calc_retire_blk_tmo() function in net/packet/af_packet.c can result in a denial of service (CPU consumption and soft lockup) in a certain failure case involving TPACKET_V3, aka CID-b43d1f9f7067.</t>
  </si>
  <si>
    <t>Vulnerable OS: Oracle Linux 7.9_x000D_
_x000D_
_x000D_
Vulnerable software installed: Linux kernel-uek 4.1.12-94.3.9.el7uek_x000D_
_x000D_
 * Required patch [CVE-2019-20812] is not installed, no patches discovered._x000D_
_x000D_
_x000D_
 * _x000D_
      kernel-uek-firmware - version 4.1.12-94.3.9.el7uek is installed</t>
  </si>
  <si>
    <t>CVE-2019-20812</t>
  </si>
  <si>
    <t>http://nvd.nist.gov/vuln/detail/CVE-2019-20812</t>
  </si>
  <si>
    <t>oracle_linux-cve-2019-20907</t>
  </si>
  <si>
    <t>Oracle Linux: (CVE-2019-20907) (Multiple Advisories): python3 security update</t>
  </si>
  <si>
    <t>In Lib/tarfile.py in Python through 3.8.3, an attacker is able to craft a TAR archive leading to an infinite loop when opened by tarfile.open, because _proc_pax lacks header validation.</t>
  </si>
  <si>
    <t>* platform-python on Oracle Linux_x000D_
      Upgrade platform-python_x000D_
_x000D_
       Update platform-python using yum or up2date. Please note that customers with support can use the  Unbreakable Linux Network (ULN) (https://linux.oracle.com) , and customers without support can use the  publicly available Oracle Linux yum repositories (http://public-yum.oracle.com) . _x000D_
_x000D_
_x000D_
 * platform-python-debug on Oracle Linux_x000D_
      Upgrade platform-python-debug_x000D_
_x000D_
       Update platform-python-debug using yum or up2date. Please note that customers with support can use the  Unbreakable Linux Network (ULN) (https://linux.oracle.com) , and customers without support can use the  publicly available Oracle Linux yum repositories (http://public-yum.oracle.com) . _x000D_
_x000D_
_x000D_
 * platform-python-devel on Oracle Linux_x000D_
      Upgrade platform-python-devel_x000D_
_x000D_
       Update platform-python-devel using yum or up2date. Please note that customers with support can use the  Unbreakable Linux Network (ULN) (https://linux.oracle.com) , and customers without support can use the  publicly available Oracle Linux yum repositories (http://public-yum.oracle.com) . _x000D_
_x000D_
_x000D_
 * python on Oracle Linux_x000D_
      Upgrade python_x000D_
_x000D_
       Update python using yum or up2date. Please note that customers with support can use the  Unbreakable Linux Network (ULN) (https://linux.oracle.com) , and customers without support can use the  publicly available Oracle Linux yum repositories (http://public-yum.oracle.com) . _x000D_
_x000D_
_x000D_
 * python-debug on Oracle Linux_x000D_
      Upgrade python-debug_x000D_
_x000D_
       Update python-debug using yum or up2date. Please note that customers with support can use the  Unbreakable Linux Network (ULN) (https://linux.oracle.com) , and customers without support can use the  publicly available Oracle Linux yum repositories (http://public-yum.oracle.com) . _x000D_
_x000D_
_x000D_
 * python-devel on Oracle Linux_x000D_
      Upgrade python-devel_x000D_
_x000D_
       Update python-devel using yum or up2date. Please note that customers with support can use the  Unbreakable Linux Network (ULN) (https://linux.oracle.com) , and customers without support can use the  publicly available Oracle Linux yum repositories (http://public-yum.oracle.com) . _x000D_
_x000D_
_x000D_
 * python-libs on Oracle Linux_x000D_
      Upgrade python-libs_x000D_
_x000D_
       Update python-libs using yum or up2date. Please note that customers with support can use the  Unbreakable Linux Network (ULN) (https://linux.oracle.com) , and customers without support can use the  publicly available Oracle Linux yum repositories (http://public-yum.oracle.com) . _x000D_
_x000D_
_x000D_
 * python-test on Oracle Linux_x000D_
      Upgrade python-test_x000D_
_x000D_
       Update python-test using yum or up2date. Please note that customers with support can use the  Unbreakable Linux Network (ULN) (https://linux.oracle.com) , and customers without support can use the  publicly available Oracle Linux yum repositories (http://public-yum.oracle.com) . _x000D_
_x000D_
_x000D_
 * python-tools on Oracle Linux_x000D_
      Upgrade python-tools_x000D_
_x000D_
       Update python-tools using yum or up2date. Please note that customers with support can use the  Unbreakable Linux Network (ULN) (https://linux.oracle.com) , and customers without support can use the  publicly available Oracle Linux yum repositories (http://public-yum.oracle.com) . _x000D_
_x000D_
_x000D_
 * python3 on Oracle Linux_x000D_
      Upgrade python3_x000D_
_x000D_
       Update python3 using yum or up2date. Please note that customers with support can use the  Unbreakable Linux Network (ULN) (https://linux.oracle.com) , and customers without support can use the  publicly available Oracle Linux yum repositories (http://public-yum.oracle.com) . _x000D_
_x000D_
_x000D_
 * python3-debug on Oracle Linux_x000D_
      Upgrade python3-debug_x000D_
_x000D_
       Update python3-debug using yum or up2date. Please note that customers with support can use the  Unbreakable Linux Network (ULN) (https://linux.oracle.com) , and customers without support can use the  publicly available Oracle Linux yum repositories (http://public-yum.oracle.com) . _x000D_
_x000D_
_x000D_
 * python3-devel on Oracle Linux_x000D_
      Upgrade python3-devel_x000D_
_x000D_
       Update python3-devel using yum or up2date. Please note that customers with support can use the  Unbreakable Linux Network (ULN) (https://linux.oracle.com) , and customers without support can use the  publicly available Oracle Linux yum repositories (http://public-yum.oracle.com) . _x000D_
_x000D_
_x000D_
 * python3-idle on Oracle Linux_x000D_
      Upgrade python3-idle_x000D_
_x000D_
       Update python3-idle using yum or up2date. Please note that customers with support can use the  Unbreakable Linux Network (ULN) (https://linux.oracle.com) , and customers without support can use the  publicly available Oracle Linux yum repositories (http://public-yum.oracle.com) . _x000D_
_x000D_
_x000D_
 * python3-libs on Oracle Linux_x000D_
      Upgrade python3-libs_x000D_
_x000D_
       Update python3-libs using yum or up2date. Please note that customers with support can use the  Unbreakable Linux Network (ULN) (https://linux.oracle.com) , and customers without support can use the  publicly available Oracle Linux yum repositories (http://public-yum.oracle.com) . _x000D_
_x000D_
_x000D_
 * python3-test on Oracle Linux_x000D_
      Upgrade python3-test_x000D_
_x000D_
       Update python3-test using yum or up2date. Please note that customers with support can use the  Unbreakable Linux Network (ULN) (https://linux.oracle.com) , and customers without support can use the  publicly available Oracle Linux yum repositories (http://public-yum.oracle.com) . _x000D_
_x000D_
_x000D_
 * python3-tkinter on Oracle Linux_x000D_
      Upgrade python3-tkinter_x000D_
_x000D_
       Update python3-tkinter using yum or up2date. Please note that customers with support can use the  Unbreakable Linux Network (ULN) (https://linux.oracle.com) , and customers without support can use the  publicly available Oracle Linux yum repositories (http://public-yum.oracle.com) . _x000D_
_x000D_
_x000D_
 * tkinter on Oracle Linux_x000D_
      Upgrade tkinter_x000D_
_x000D_
       Update tkinter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</si>
  <si>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_x000D_
 * _x000D_
      python - version 2.7.5-89.0.1.el7 is installed</t>
  </si>
  <si>
    <t>CVE-2019-20907</t>
  </si>
  <si>
    <t>http://nvd.nist.gov/vuln/detail/CVE-2019-20907</t>
  </si>
  <si>
    <t>oracle_linux-cve-2019-3459</t>
  </si>
  <si>
    <t>Oracle Linux: (CVE-2019-3459) (Multiple Advisories): kernel security, bug fix, and enhancement update</t>
  </si>
  <si>
    <t>A heap address information leak while using L2CAP_GET_CONF_OPT was discovered in the Linux kernel before 5.1-rc1.</t>
  </si>
  <si>
    <t>Vulnerable OS: Oracle Linux 7.9_x000D_
_x000D_
_x000D_
Vulnerable software installed: Linux kernel-uek 4.1.12-94.3.9.el7uek_x000D_
_x000D_
 * Required patch [CVE-2019-3459] is not installed, no patches discovered._x000D_
_x000D_
_x000D_
 * _x000D_
      kernel-uek-firmware - version 4.1.12-94.3.9.el7uek is installed</t>
  </si>
  <si>
    <t>CVE-2019-3459</t>
  </si>
  <si>
    <t>http://nvd.nist.gov/vuln/detail/CVE-2019-3459</t>
  </si>
  <si>
    <t>oracle_linux-cve-2019-3701</t>
  </si>
  <si>
    <t>Oracle Linux: (CVE-2019-3701) (Multiple Advisories): Unbreakable Enterprise kernel security update</t>
  </si>
  <si>
    <t>An issue was discovered in can_can_gw_rcv in net/can/gw.c in the Linux kernel through 4.19.13. The CAN frame modification rules allow bitwise logical operations that can be also applied to the can_dlc field. The privileged user "root" with CAP_NET_ADMIN can create a CAN frame modification rule that makes the data length code a higher value than the available CAN frame data size. In combination with a configured checksum calculation where the result is stored relatively to the end of the data (e.g. cgw_csum_xor_rel) the tail of the skb (e.g. frag_list pointer in skb_shared_info) can be rewritten which finally can cause a system crash. Because of a missing check, the CAN drivers may write arbitrary content beyond the data registers in the CAN controller's I/O memory when processing can-gw manipulated outgoing frames.</t>
  </si>
  <si>
    <t>Vulnerable OS: Oracle Linux 7.9_x000D_
_x000D_
_x000D_
Vulnerable software installed: Linux kernel-uek 4.1.12-94.3.9.el7uek_x000D_
_x000D_
 * Required patch [CVE-2019-3701] is not installed, no patches discovered._x000D_
_x000D_
_x000D_
 * _x000D_
      kernel-uek-firmware - version 4.1.12-94.3.9.el7uek is installed</t>
  </si>
  <si>
    <t>CVE-2019-3701</t>
  </si>
  <si>
    <t>http://nvd.nist.gov/vuln/detail/CVE-2019-3701</t>
  </si>
  <si>
    <t>oracle_linux-cve-2019-3819</t>
  </si>
  <si>
    <t>Oracle Linux: (CVE-2019-3819) ELSA-2019-4670: Unbreakable Enterprise kernel security update</t>
  </si>
  <si>
    <t>A flaw was found in the Linux kernel in the function hid_debug_events_read() in drivers/hid/hid-debug.c file which may enter an infinite loop with certain parameters passed from a userspace. A local privileged user ("root") can cause a system lock up and a denial of service. Versions from v4.18 and newer are vulnerable.</t>
  </si>
  <si>
    <t>Vulnerable OS: Oracle Linux 7.9_x000D_
_x000D_
_x000D_
Vulnerable software installed: Linux kernel-uek 4.1.12-94.3.9.el7uek_x000D_
_x000D_
 * Required patch [CVE-2019-3819] is not installed, no patches discovered._x000D_
_x000D_
_x000D_
 * _x000D_
      kernel-uek-firmware - version 4.1.12-94.3.9.el7uek is installed</t>
  </si>
  <si>
    <t>CVE-2019-3819</t>
  </si>
  <si>
    <t>http://nvd.nist.gov/vuln/detail/CVE-2019-3819</t>
  </si>
  <si>
    <t>oracle_linux-cve-2019-3846</t>
  </si>
  <si>
    <t>Oracle Linux: (CVE-2019-3846) (Multiple Advisories): Unbreakable Enterprise kernel security update</t>
  </si>
  <si>
    <t>A flaw that allowed an attacker to corrupt memory and possibly escalate privileges was found in the mwifiex kernel module while connecting to a malicious wireless network.</t>
  </si>
  <si>
    <t>Vulnerable OS: Oracle Linux 7.9_x000D_
_x000D_
_x000D_
Vulnerable software installed: Linux kernel-uek 4.1.12-94.3.9.el7uek_x000D_
_x000D_
 * Required patch [CVE-2019-3846] is not installed, no patches discovered._x000D_
_x000D_
_x000D_
 * _x000D_
      kernel-uek-firmware - version 4.1.12-94.3.9.el7uek is installed</t>
  </si>
  <si>
    <t>CVE-2019-3846</t>
  </si>
  <si>
    <t>http://nvd.nist.gov/vuln/detail/CVE-2019-3846</t>
  </si>
  <si>
    <t>oracle_linux-cve-2019-3874</t>
  </si>
  <si>
    <t>Oracle Linux: (CVE-2019-3874) (Multiple Advisories): Unbreakable Enterprise kernel security update</t>
  </si>
  <si>
    <t>The SCTP socket buffer used by a userspace application is not accounted by the cgroups subsystem. An attacker can use this flaw to cause a denial of service attack. Kernel 3.10.x and 4.18.x branches are believed to be vulnerable.</t>
  </si>
  <si>
    <t>Vulnerable OS: Oracle Linux 7.9_x000D_
_x000D_
_x000D_
Vulnerable software installed: Linux kernel-uek 4.1.12-94.3.9.el7uek_x000D_
_x000D_
 * Required patch [CVE-2019-3874] is not installed, no patches discovered._x000D_
_x000D_
_x000D_
 * _x000D_
      kernel-uek-firmware - version 4.1.12-94.3.9.el7uek is installed</t>
  </si>
  <si>
    <t>CVE-2019-3874</t>
  </si>
  <si>
    <t>http://nvd.nist.gov/vuln/detail/CVE-2019-3874</t>
  </si>
  <si>
    <t>oracle_linux-cve-2019-5108</t>
  </si>
  <si>
    <t>Oracle Linux: (CVE-2019-5108) (Multiple Advisories): Unbreakable Enterprise kernel security update</t>
  </si>
  <si>
    <t>An exploitable denial-of-service vulnerability exists in the Linux kernel prior to mainline 5.3. An attacker could exploit this vulnerability by triggering AP to send IAPP location updates for stations before the required authentication process has completed. This could lead to different denial-of-service scenarios, either by causing CAM table attacks, or by leading to traffic flapping if faking already existing clients in other nearby APs of the same wireless infrastructure. An attacker can forge Authentication and Association Request packets to trigger this vulnerability.</t>
  </si>
  <si>
    <t>Vulnerable OS: Oracle Linux 7.9_x000D_
_x000D_
_x000D_
Vulnerable software installed: Linux kernel-uek 4.1.12-94.3.9.el7uek_x000D_
_x000D_
 * Required patch [CVE-2019-5108] is not installed, no patches discovered._x000D_
_x000D_
_x000D_
 * _x000D_
      kernel-uek-firmware - version 4.1.12-94.3.9.el7uek is installed</t>
  </si>
  <si>
    <t>CVE-2019-5108</t>
  </si>
  <si>
    <t>http://nvd.nist.gov/vuln/detail/CVE-2019-5108</t>
  </si>
  <si>
    <t>oracle_linux-cve-2019-5489</t>
  </si>
  <si>
    <t>Oracle Linux: (CVE-2019-5489) (Multiple Advisories): kernel security and bug fix update</t>
  </si>
  <si>
    <t>The mincore() implementation in mm/mincore.c in the Linux kernel through 4.19.13 allowed local attackers to observe page cache access patterns of other processes on the same system, potentially allowing sniffing of secret information. (Fixing this affects the output of the fincore program.) Limited remote exploitation may be possible, as demonstrated by latency differences in accessing public files from an Apache HTTP Server.</t>
  </si>
  <si>
    <t>Vulnerable OS: Oracle Linux 7.9_x000D_
_x000D_
_x000D_
Vulnerable software installed: Linux kernel-uek 4.1.12-94.3.9.el7uek_x000D_
_x000D_
 * Required patch [CVE-2019-5489] is not installed, no patches discovered._x000D_
_x000D_
_x000D_
 * _x000D_
      kernel-uek-firmware - version 4.1.12-94.3.9.el7uek is installed</t>
  </si>
  <si>
    <t>CVE-2019-5489</t>
  </si>
  <si>
    <t>http://nvd.nist.gov/vuln/detail/CVE-2019-5489</t>
  </si>
  <si>
    <t>oracle_linux-cve-2019-6133</t>
  </si>
  <si>
    <t>Oracle Linux: (CVE-2019-6133) (Multiple Advisories): Unbreakable Enterprise kernel security update</t>
  </si>
  <si>
    <t>In PolicyKit (aka polkit) 0.115, the "start time" protection mechanism can be bypassed because fork() is not atomic, and therefore authorization decisions are improperly cached. This is related to lack of uid checking in polkitbackend/polkitbackendinteractiveauthority.c.</t>
  </si>
  <si>
    <t>*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kernel-uek-headers on Oracle Linux_x000D_
      Upgrade kernel-uek-headers_x000D_
_x000D_
       Update kernel-uek-headers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 on Oracle Linux_x000D_
      Upgrade kernel-uek-tools_x000D_
_x000D_
       Update kernel-uek-tools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 on Oracle Linux_x000D_
      Upgrade kernel-uek-tools-libs_x000D_
_x000D_
       Update kernel-uek-tools-libs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kernel-uek-tools-libs-devel on Oracle Linux_x000D_
      Upgrade kernel-uek-tools-libs-devel_x000D_
_x000D_
       Update kernel-uek-tools-libs-devel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polkit on Oracle Linux_x000D_
      Upgrade polkit_x000D_
_x000D_
       Update polkit using yum or up2date. Please note that customers with support can use the  Unbreakable Linux Network (ULN) (https://linux.oracle.com) , and customers without support can use the  publicly available Oracle Linux yum repositories (http://public-yum.oracle.com) . _x000D_
_x000D_
_x000D_
 * polkit-desktop-policy on Oracle Linux_x000D_
      Upgrade polkit-desktop-policy_x000D_
_x000D_
       Update polkit-desktop-policy using yum or up2date. Please note that customers with support can use the  Unbreakable Linux Network (ULN) (https://linux.oracle.com) , and customers without support can use the  publicly available Oracle Linux yum repositories (http://public-yum.oracle.com) . _x000D_
_x000D_
_x000D_
 * polkit-devel on Oracle Linux_x000D_
      Upgrade polkit-devel_x000D_
_x000D_
       Update polkit-devel using yum or up2date. Please note that customers with support can use the  Unbreakable Linux Network (ULN) (https://linux.oracle.com) , and customers without support can use the  publicly available Oracle Linux yum repositories (http://public-yum.oracle.com) . _x000D_
_x000D_
_x000D_
 * polkit-docs on Oracle Linux_x000D_
      Upgrade polkit-docs_x000D_
_x000D_
       Update polkit-docs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</si>
  <si>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[CVE-2019-6133] is not installed, no patches discovered._x000D_
_x000D_
_x000D_
 * _x000D_
      kernel-uek-firmware - version 4.1.12-94.3.9.el7uek is installed</t>
  </si>
  <si>
    <t>CVE-2019-6133</t>
  </si>
  <si>
    <t>http://nvd.nist.gov/vuln/detail/CVE-2019-6133</t>
  </si>
  <si>
    <t>oracle_linux-cve-2019-6974</t>
  </si>
  <si>
    <t>Oracle Linux: (CVE-2019-6974) (Multiple Advisories): Unbreakable Enterprise kernel security update</t>
  </si>
  <si>
    <t>In the Linux kernel before 4.20.8, kvm_ioctl_create_device in virt/kvm/kvm_main.c mishandles reference counting because of a race condition, leading to a use-after-free.</t>
  </si>
  <si>
    <t>Vulnerable OS: Oracle Linux 7.9_x000D_
_x000D_
_x000D_
Vulnerable software installed: Linux kernel-uek 4.1.12-94.3.9.el7uek_x000D_
_x000D_
 * Required patch [CVE-2019-6974] is not installed, no patches discovered._x000D_
_x000D_
_x000D_
 * _x000D_
      kernel-uek-firmware - version 4.1.12-94.3.9.el7uek is installed</t>
  </si>
  <si>
    <t>CVE-2019-6974</t>
  </si>
  <si>
    <t>http://nvd.nist.gov/vuln/detail/CVE-2019-6974</t>
  </si>
  <si>
    <t>http://www.exploit-db.com/exploits/46388</t>
  </si>
  <si>
    <t>oracle_linux-cve-2019-7221</t>
  </si>
  <si>
    <t>Oracle Linux: (CVE-2019-7221) (Multiple Advisories): Unbreakable Enterprise kernel security update</t>
  </si>
  <si>
    <t>The KVM implementation in the Linux kernel through 4.20.5 has a Use-after-Free.</t>
  </si>
  <si>
    <t>Vulnerable OS: Oracle Linux 7.9_x000D_
_x000D_
_x000D_
Vulnerable software installed: Linux kernel-uek 4.1.12-94.3.9.el7uek_x000D_
_x000D_
 * Required patch [CVE-2019-7221] is not installed, no patches discovered._x000D_
_x000D_
_x000D_
 * _x000D_
      kernel-uek-firmware - version 4.1.12-94.3.9.el7uek is installed</t>
  </si>
  <si>
    <t>CVE-2019-7221</t>
  </si>
  <si>
    <t>http://nvd.nist.gov/vuln/detail/CVE-2019-7221</t>
  </si>
  <si>
    <t>oracle_linux-cve-2019-7222</t>
  </si>
  <si>
    <t>Oracle Linux: (CVE-2019-7222) (Multiple Advisories): Unbreakable Enterprise kernel security update</t>
  </si>
  <si>
    <t>The KVM implementation in the Linux kernel through 4.20.5 has an Information Leak.</t>
  </si>
  <si>
    <t>Vulnerable OS: Oracle Linux 7.9_x000D_
_x000D_
_x000D_
Vulnerable software installed: Linux kernel-uek 4.1.12-94.3.9.el7uek_x000D_
_x000D_
 * Required patch [CVE-2019-7222] is not installed, no patches discovered._x000D_
_x000D_
_x000D_
 * _x000D_
      kernel-uek-firmware - version 4.1.12-94.3.9.el7uek is installed</t>
  </si>
  <si>
    <t>CVE-2019-7222</t>
  </si>
  <si>
    <t>http://nvd.nist.gov/vuln/detail/CVE-2019-7222</t>
  </si>
  <si>
    <t>oracle_linux-cve-2019-9503</t>
  </si>
  <si>
    <t>Oracle Linux: (CVE-2019-9503) (Multiple Advisories): Unbreakable Enterprise kernel security update</t>
  </si>
  <si>
    <t>The Broadcom brcmfmac WiFi driver prior to commit a4176ec356c73a46c07c181c6d04039fafa34a9f is vulnerable to a frame validation bypass. If the brcmfmac driver receives a firmware event frame from a remote source, the is_wlc_event_frame function will cause this frame to be discarded and unprocessed. If the driver receives the firmware event frame from the host, the appropriate handler is called. This frame validation can be bypassed if the bus used is USB (for instance by a wifi dongle). This can allow firmware event frames from a remote source to be processed. In the worst case scenario, by sending specially-crafted WiFi packets, a remote, unauthenticated attacker may be able to execute arbitrary code on a vulnerable system. More typically, this vulnerability will result in denial-of-service conditions.</t>
  </si>
  <si>
    <t>Vulnerable OS: Oracle Linux 7.9_x000D_
_x000D_
_x000D_
Vulnerable software installed: Linux kernel-uek 4.1.12-94.3.9.el7uek_x000D_
_x000D_
 * Required patch [CVE-2019-9503] is not installed, no patches discovered._x000D_
_x000D_
_x000D_
 * _x000D_
      kernel-uek-firmware - version 4.1.12-94.3.9.el7uek is installed</t>
  </si>
  <si>
    <t>CVE-2019-9503</t>
  </si>
  <si>
    <t>http://nvd.nist.gov/vuln/detail/CVE-2019-9503</t>
  </si>
  <si>
    <t>oracle_linux-cve-2020-0543</t>
  </si>
  <si>
    <t>Oracle Linux: (CVE-2020-0543) (Multiple Advisories): Unbreakable Enterprise kernel security update</t>
  </si>
  <si>
    <t>Incomplete cleanup from specific special register read operations in some Intel(R) Processors may allow an authenticated user to potentially enable information disclosure via local access.</t>
  </si>
  <si>
    <t>*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kernel-uek-headers on Oracle Linux_x000D_
      Upgrade kernel-uek-headers_x000D_
_x000D_
       Update kernel-uek-headers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 on Oracle Linux_x000D_
      Upgrade kernel-uek-tools_x000D_
_x000D_
       Update kernel-uek-tools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 on Oracle Linux_x000D_
      Upgrade kernel-uek-tools-libs_x000D_
_x000D_
       Update kernel-uek-tools-libs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kernel-uek-tools-libs-devel on Oracle Linux_x000D_
      Upgrade kernel-uek-tools-libs-devel_x000D_
_x000D_
       Update kernel-uek-tools-libs-devel using yum or up2date. Please note that customers with support can use the  Unbreakable Linux Network (ULN) (https://linux.oracle.com) , and customers without support can use the  publicly available Oracle Linux yum repositories (http://public-yum.oracle.com) . _x000D_
_x000D_
_x000D_
 * microcode_ctl on Oracle Linux_x000D_
      Upgrade microcode_ctl_x000D_
_x000D_
       Update microcode_ctl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</si>
  <si>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[CVE-2020-0543] is not installed, no patches discovered._x000D_
_x000D_
_x000D_
 * _x000D_
      kernel-uek-firmware - version 4.1.12-94.3.9.el7uek is installed</t>
  </si>
  <si>
    <t>CVE-2020-0543</t>
  </si>
  <si>
    <t>http://nvd.nist.gov/vuln/detail/CVE-2020-0543</t>
  </si>
  <si>
    <t>oracle_linux-cve-2020-10720</t>
  </si>
  <si>
    <t>Oracle Linux: (CVE-2020-10720) ELSA-2020-5866: Unbreakable Enterprise kernel security update</t>
  </si>
  <si>
    <t>A flaw was found in the Linux kernel's implementation of GRO in versions before 5.2. This flaw allows an attacker with local access to crash the system.</t>
  </si>
  <si>
    <t>Vulnerable OS: Oracle Linux 7.9_x000D_
_x000D_
_x000D_
Vulnerable software installed: Linux kernel-uek 4.1.12-94.3.9.el7uek_x000D_
_x000D_
 * Required patch [CVE-2020-10720] is not installed, no patches discovered._x000D_
_x000D_
_x000D_
 * _x000D_
      kernel-uek-firmware - version 4.1.12-94.3.9.el7uek is installed</t>
  </si>
  <si>
    <t>CVE-2020-10720</t>
  </si>
  <si>
    <t>http://nvd.nist.gov/vuln/detail/CVE-2020-10720</t>
  </si>
  <si>
    <t>oracle_linux-cve-2020-10732</t>
  </si>
  <si>
    <t>Oracle Linux: (CVE-2020-10732) (Multiple Advisories): kernel security, bug fix, and enhancement update</t>
  </si>
  <si>
    <t>A flaw was found in the Linux kernel's implementation of Userspace core dumps. This flaw allows an attacker with a local account to crash a trivial program and exfiltrate private kernel data.</t>
  </si>
  <si>
    <t>Vulnerable OS: Oracle Linux 7.9_x000D_
_x000D_
_x000D_
Vulnerable software installed: Linux kernel-uek 4.1.12-94.3.9.el7uek_x000D_
_x000D_
 * Required patch [CVE-2020-10732] is not installed, no patches discovered._x000D_
_x000D_
_x000D_
 * _x000D_
      kernel-uek-firmware - version 4.1.12-94.3.9.el7uek is installed</t>
  </si>
  <si>
    <t>CVE-2020-10732</t>
  </si>
  <si>
    <t>http://nvd.nist.gov/vuln/detail/CVE-2020-10732</t>
  </si>
  <si>
    <t>oracle_linux-cve-2020-10751</t>
  </si>
  <si>
    <t>Oracle Linux: (CVE-2020-10751) (Multiple Advisories): Unbreakable Enterprise kernel security update</t>
  </si>
  <si>
    <t>A flaw was found in the Linux kernels SELinux LSM hook implementation before version 5.7, where it incorrectly assumed that an skb would only contain a single netlink message. The hook would incorrectly only validate the first netlink message in the skb and allow or deny the rest of the messages within the skb with the granted permission without further processing.</t>
  </si>
  <si>
    <t>Vulnerable OS: Oracle Linux 7.9_x000D_
_x000D_
_x000D_
Vulnerable software installed: Linux kernel-uek 4.1.12-94.3.9.el7uek_x000D_
_x000D_
 * Required patch [CVE-2020-10751] is not installed, no patches discovered._x000D_
_x000D_
_x000D_
 * _x000D_
      kernel-uek-firmware - version 4.1.12-94.3.9.el7uek is installed</t>
  </si>
  <si>
    <t>CVE-2020-10751</t>
  </si>
  <si>
    <t>http://nvd.nist.gov/vuln/detail/CVE-2020-10751</t>
  </si>
  <si>
    <t>oracle_linux-cve-2020-10769</t>
  </si>
  <si>
    <t>Oracle Linux: (CVE-2020-10769) (Multiple Advisories): kernel security and bug fix update</t>
  </si>
  <si>
    <t>A buffer over-read flaw was found in RH kernel versions before 5.0 in crypto_authenc_extractkeys in crypto/authenc.c in the IPsec Cryptographic algorithm's module, authenc. When a payload longer than 4 bytes, and is not following 4-byte alignment boundary guidelines, it causes a buffer over-read threat, leading to a system crash. This flaw allows a local attacker with user privileges to cause a denial of service.</t>
  </si>
  <si>
    <t>Vulnerable OS: Oracle Linux 7.9_x000D_
_x000D_
_x000D_
Vulnerable software installed: Linux kernel-uek 4.1.12-94.3.9.el7uek_x000D_
_x000D_
 * Required patch [CVE-2020-10769] is not installed, no patches discovered._x000D_
_x000D_
_x000D_
 * _x000D_
      kernel-uek-firmware - version 4.1.12-94.3.9.el7uek is installed</t>
  </si>
  <si>
    <t>CVE-2020-10769</t>
  </si>
  <si>
    <t>http://nvd.nist.gov/vuln/detail/CVE-2020-10769</t>
  </si>
  <si>
    <t>oracle_linux-cve-2020-10942</t>
  </si>
  <si>
    <t>Oracle Linux: (CVE-2020-10942) (Multiple Advisories): kernel security, bug fix, and enhancement update</t>
  </si>
  <si>
    <t>In the Linux kernel before 5.5.8, get_raw_socket in drivers/vhost/net.c lacks validation of an sk_family field, which might allow attackers to trigger kernel stack corruption via crafted system calls.</t>
  </si>
  <si>
    <t>Vulnerable OS: Oracle Linux 7.9_x000D_
_x000D_
_x000D_
Vulnerable software installed: Linux kernel-uek 4.1.12-94.3.9.el7uek_x000D_
_x000D_
 * Required patch [CVE-2020-10942] is not installed, no patches discovered._x000D_
_x000D_
_x000D_
 * _x000D_
      kernel-uek-firmware - version 4.1.12-94.3.9.el7uek is installed</t>
  </si>
  <si>
    <t>CVE-2020-10942</t>
  </si>
  <si>
    <t>http://nvd.nist.gov/vuln/detail/CVE-2020-10942</t>
  </si>
  <si>
    <t>oracle_linux-cve-2020-11494</t>
  </si>
  <si>
    <t>Oracle Linux: (CVE-2020-11494) ELSA-2020-5670: Unbreakable Enterprise kernel security update</t>
  </si>
  <si>
    <t>An issue was discovered in slc_bump in drivers/net/can/slcan.c in the Linux kernel through 5.6.2. It allows attackers to read uninitialized can_frame data, potentially containing sensitive information from kernel stack memory, if the configuration lacks CONFIG_INIT_STACK_ALL, aka CID-b9258a2cece4.</t>
  </si>
  <si>
    <t>Vulnerable OS: Oracle Linux 7.9_x000D_
_x000D_
_x000D_
Vulnerable software installed: Linux kernel-uek 4.1.12-94.3.9.el7uek_x000D_
_x000D_
 * Required patch [CVE-2020-11494] is not installed, no patches discovered._x000D_
_x000D_
_x000D_
 * _x000D_
      kernel-uek-firmware - version 4.1.12-94.3.9.el7uek is installed</t>
  </si>
  <si>
    <t>CVE-2020-11494</t>
  </si>
  <si>
    <t>http://nvd.nist.gov/vuln/detail/CVE-2020-11494</t>
  </si>
  <si>
    <t>oracle_linux-cve-2020-11608</t>
  </si>
  <si>
    <t>Oracle Linux: (CVE-2020-11608) ELSA-2020-5708: Unbreakable Enterprise kernel security update</t>
  </si>
  <si>
    <t>An issue was discovered in the Linux kernel before 5.6.1. drivers/media/usb/gspca/ov519.c allows NULL pointer dereferences in ov511_mode_init_regs and ov518_mode_init_regs when there are zero endpoints, aka CID-998912346c0d.</t>
  </si>
  <si>
    <t>Vulnerable OS: Oracle Linux 7.9_x000D_
_x000D_
_x000D_
Vulnerable software installed: Linux kernel-uek 4.1.12-94.3.9.el7uek_x000D_
_x000D_
 * Required patch [CVE-2020-11608] is not installed, no patches discovered._x000D_
_x000D_
_x000D_
 * _x000D_
      kernel-uek-firmware - version 4.1.12-94.3.9.el7uek is installed</t>
  </si>
  <si>
    <t>CVE-2020-11608</t>
  </si>
  <si>
    <t>http://nvd.nist.gov/vuln/detail/CVE-2020-11608</t>
  </si>
  <si>
    <t>oracle_linux-cve-2020-11609</t>
  </si>
  <si>
    <t>Oracle Linux: (CVE-2020-11609) ELSA-2020-5708: Unbreakable Enterprise kernel security update</t>
  </si>
  <si>
    <t>An issue was discovered in the stv06xx subsystem in the Linux kernel before 5.6.1. drivers/media/usb/gspca/stv06xx/stv06xx.c and drivers/media/usb/gspca/stv06xx/stv06xx_pb0100.c mishandle invalid descriptors, as demonstrated by a NULL pointer dereference, aka CID-485b06aadb93.</t>
  </si>
  <si>
    <t>Vulnerable OS: Oracle Linux 7.9_x000D_
_x000D_
_x000D_
Vulnerable software installed: Linux kernel-uek 4.1.12-94.3.9.el7uek_x000D_
_x000D_
 * Required patch [CVE-2020-11609] is not installed, no patches discovered._x000D_
_x000D_
_x000D_
 * _x000D_
      kernel-uek-firmware - version 4.1.12-94.3.9.el7uek is installed</t>
  </si>
  <si>
    <t>CVE-2020-11609</t>
  </si>
  <si>
    <t>http://nvd.nist.gov/vuln/detail/CVE-2020-11609</t>
  </si>
  <si>
    <t>oracle_linux-cve-2020-11668</t>
  </si>
  <si>
    <t>Oracle Linux: (CVE-2020-11668) ELSA-2020-5708: Unbreakable Enterprise kernel security update</t>
  </si>
  <si>
    <t>In the Linux kernel before 5.6.1, drivers/media/usb/gspca/xirlink_cit.c (aka the Xirlink camera USB driver) mishandles invalid descriptors, aka CID-a246b4d54770.</t>
  </si>
  <si>
    <t>Vulnerable OS: Oracle Linux 7.9_x000D_
_x000D_
_x000D_
Vulnerable software installed: Linux kernel-uek 4.1.12-94.3.9.el7uek_x000D_
_x000D_
 * Required patch [CVE-2020-11668] is not installed, no patches discovered._x000D_
_x000D_
_x000D_
 * _x000D_
      kernel-uek-firmware - version 4.1.12-94.3.9.el7uek is installed</t>
  </si>
  <si>
    <t>CVE-2020-11668</t>
  </si>
  <si>
    <t>http://nvd.nist.gov/vuln/detail/CVE-2020-11668</t>
  </si>
  <si>
    <t>oracle_linux-cve-2020-12888</t>
  </si>
  <si>
    <t>Oracle Linux: (CVE-2020-12888) (Multiple Advisories): Unbreakable Enterprise kernel security update</t>
  </si>
  <si>
    <t>The VFIO PCI driver in the Linux kernel through 5.6.13 mishandles attempts to access disabled memory space.</t>
  </si>
  <si>
    <t>Vulnerable OS: Oracle Linux 7.9_x000D_
_x000D_
_x000D_
Vulnerable software installed: Linux kernel-uek 4.1.12-94.3.9.el7uek_x000D_
_x000D_
 * Required patch [CVE-2020-12888] is not installed, no patches discovered._x000D_
_x000D_
_x000D_
 * _x000D_
      kernel-uek-firmware - version 4.1.12-94.3.9.el7uek is installed</t>
  </si>
  <si>
    <t>CVE-2020-12888</t>
  </si>
  <si>
    <t>http://nvd.nist.gov/vuln/detail/CVE-2020-12888</t>
  </si>
  <si>
    <t>oracle_linux-cve-2020-14314</t>
  </si>
  <si>
    <t>Oracle Linux: (CVE-2020-14314) (Multiple Advisories): kernel security and bug fix update</t>
  </si>
  <si>
    <t>A memory out-of-bounds read flaw was found in the Linux kernel before 5.9-rc2 with the ext3/ext4 file system, in the way it accesses a directory with broken indexing. This flaw allows a local user to crash the system if the directory exists. The highest threat from this vulnerability is to system availability.</t>
  </si>
  <si>
    <t>Vulnerable OS: Oracle Linux 7.9_x000D_
_x000D_
_x000D_
Vulnerable software installed: Linux kernel-uek 4.1.12-94.3.9.el7uek_x000D_
_x000D_
 * Required patch [CVE-2020-14314] is not installed, no patches discovered._x000D_
_x000D_
_x000D_
 * _x000D_
      kernel-uek-firmware - version 4.1.12-94.3.9.el7uek is installed</t>
  </si>
  <si>
    <t>CVE-2020-14314</t>
  </si>
  <si>
    <t>http://nvd.nist.gov/vuln/detail/CVE-2020-14314</t>
  </si>
  <si>
    <t>oracle_linux-cve-2020-14318</t>
  </si>
  <si>
    <t>Oracle Linux: (CVE-2020-14318) ELSA-2020-5439: samba security and bug fix update</t>
  </si>
  <si>
    <t>A flaw was found in the way samba handled file and directory permissions. An authenticated user could use this flaw to gain access to certain file and directory information which otherwise would be unavailable to the attacker.</t>
  </si>
  <si>
    <t>* ctdb on Oracle Linux_x000D_
      Upgrade ctdb_x000D_
_x000D_
       Update ctdb using yum or up2date. Please note that customers with support can use the  Unbreakable Linux Network (ULN) (https://linux.oracle.com) , and customers without support can use the  publicly available Oracle Linux yum repositories (http://public-yum.oracle.com) . _x000D_
_x000D_
_x000D_
 * ctdb-tests on Oracle Linux_x000D_
      Upgrade ctdb-tests_x000D_
_x000D_
       Update ctdb-tests using yum or up2date. Please note that customers with support can use the  Unbreakable Linux Network (ULN) (https://linux.oracle.com) , and customers without support can use the  publicly available Oracle Linux yum repositories (http://public-yum.oracle.com) . _x000D_
_x000D_
_x000D_
 * libsmbclient on Oracle Linux_x000D_
      Upgrade libsmbclient_x000D_
_x000D_
       Update libsmbclient using yum or up2date. Please note that customers with support can use the  Unbreakable Linux Network (ULN) (https://linux.oracle.com) , and customers without support can use the  publicly available Oracle Linux yum repositories (http://public-yum.oracle.com) . _x000D_
_x000D_
_x000D_
 * libsmbclient-devel on Oracle Linux_x000D_
      Upgrade libsmbclient-devel_x000D_
_x000D_
       Update libsmbclient-devel using yum or up2date. Please note that customers with support can use the  Unbreakable Linux Network (ULN) (https://linux.oracle.com) , and customers without support can use the  publicly available Oracle Linux yum repositories (http://public-yum.oracle.com) . _x000D_
_x000D_
_x000D_
 * libwbclient on Oracle Linux_x000D_
      Upgrade libwbclient_x000D_
_x000D_
       Update libwbclient using yum or up2date. Please note that customers with support can use the  Unbreakable Linux Network (ULN) (https://linux.oracle.com) , and customers without support can use the  publicly available Oracle Linux yum repositories (http://public-yum.oracle.com) . _x000D_
_x000D_
_x000D_
 * libwbclient-devel on Oracle Linux_x000D_
      Upgrade libwbclient-devel_x000D_
_x000D_
       Update libwbclient-devel using yum or up2date. Please note that customers with support can use the  Unbreakable Linux Network (ULN) (https://linux.oracle.com) , and customers without support can use the  publicly available Oracle Linux yum repositories (http://public-yum.oracle.com) . _x000D_
_x000D_
_x000D_
 * samba on Oracle Linux_x000D_
      Upgrade samba_x000D_
_x000D_
       Update samba using yum or up2date. Please note that customers with support can use the  Unbreakable Linux Network (ULN) (https://linux.oracle.com) , and customers without support can use the  publicly available Oracle Linux yum repositories (http://public-yum.oracle.com) . _x000D_
_x000D_
_x000D_
 * samba-client on Oracle Linux_x000D_
      Upgrade samba-client_x000D_
_x000D_
       Update samba-client using yum or up2date. Please note that customers with support can use the  Unbreakable Linux Network (ULN) (https://linux.oracle.com) , and customers without support can use the  publicly available Oracle Linux yum repositories (http://public-yum.oracle.com) . _x000D_
_x000D_
_x000D_
 * samba-client-libs on Oracle Linux_x000D_
      Upgrade samba-client-libs_x000D_
_x000D_
       Update samba-client-libs using yum or up2date. Please note that customers with support can use the  Unbreakable Linux Network (ULN) (https://linux.oracle.com) , and customers without support can use the  publicly available Oracle Linux yum repositories (http://public-yum.oracle.com) . _x000D_
_x000D_
_x000D_
 * samba-common on Oracle Linux_x000D_
      Upgrade samba-common_x000D_
_x000D_
       Update samba-common using yum or up2date. Please note that customers with support can use the  Unbreakable Linux Network (ULN) (https://linux.oracle.com) , and customers without support can use the  publicly available Oracle Linux yum repositories (http://public-yum.oracle.com) . _x000D_
_x000D_
_x000D_
 * samba-common-libs on Oracle Linux_x000D_
      Upgrade samba-common-libs_x000D_
_x000D_
       Update samba-common-libs using yum or up2date. Please note that customers with support can use the  Unbreakable Linux Network (ULN) (https://linux.oracle.com) , and customers without support can use the  publicly available Oracle Linux yum repositories (http://public-yum.oracle.com) . _x000D_
_x000D_
_x000D_
 * samba-common-tools on Oracle Linux_x000D_
      Upgrade samba-common-tools_x000D_
_x000D_
       Update samba-common-tools using yum or up2date. Please note that customers with support can use the  Unbreakable Linux Network (ULN) (https://linux.oracle.com) , and customers without support can use the  publicly available Oracle Linux yum repositories (http://public-yum.oracle.com) . _x000D_
_x000D_
_x000D_
 * samba-dc on Oracle Linux_x000D_
      Upgrade samba-dc_x000D_
_x000D_
       Update samba-dc using yum or up2date. Please note that customers with support can use the  Unbreakable Linux Network (ULN) (https://linux.oracle.com) , and customers without support can use the  publicly available Oracle Linux yum repositories (http://public-yum.oracle.com) . _x000D_
_x000D_
_x000D_
 * samba-dc-libs on Oracle Linux_x000D_
      Upgrade samba-dc-libs_x000D_
_x000D_
       Update samba-dc-libs using yum or up2date. Please note that customers with support can use the  Unbreakable Linux Network (ULN) (https://linux.oracle.com) , and customers without support can use the  publicly available Oracle Linux yum repositories (http://public-yum.oracle.com) . _x000D_
_x000D_
_x000D_
 * samba-devel on Oracle Linux_x000D_
      Upgrade samba-devel_x000D_
_x000D_
       Update samba-devel using yum or up2date. Please note that customers with support can use the  Unbreakable Linux Network (ULN) (https://linux.oracle.com) , and customers without support can use the  publicly available Oracle Linux yum repositories (http://public-yum.oracle.com) . _x000D_
_x000D_
_x000D_
 * samba-krb5-printing on Oracle Linux_x000D_
      Upgrade samba-krb5-printing_x000D_
_x000D_
       Update samba-krb5-printing using yum or up2date. Please note that customers with support can use the  Unbreakable Linux Network (ULN) (https://linux.oracle.com) , and customers without support can use the  publicly available Oracle Linux yum repositories (http://public-yum.oracle.com) . _x000D_
_x000D_
_x000D_
 * samba-libs on Oracle Linux_x000D_
      Upgrade samba-libs_x000D_
_x000D_
       Update samba-libs using yum or up2date. Please note that customers with support can use the  Unbreakable Linux Network (ULN) (https://linux.oracle.com) , and customers without support can use the  publicly available Oracle Linux yum repositories (http://public-yum.oracle.com) . _x000D_
_x000D_
_x000D_
 * samba-pidl on Oracle Linux_x000D_
      Upgrade samba-pidl_x000D_
_x000D_
       Update samba-pidl using yum or up2date. Please note that customers with support can use the  Unbreakable Linux Network (ULN) (https://linux.oracle.com) , and customers without support can use the  publicly available Oracle Linux yum repositories (http://public-yum.oracle.com) . _x000D_
_x000D_
_x000D_
 * samba-python on Oracle Linux_x000D_
      Upgrade samba-python_x000D_
_x000D_
       Update samba-python using yum or up2date. Please note that customers with support can use the  Unbreakable Linux Network (ULN) (https://linux.oracle.com) , and customers without support can use the  publicly available Oracle Linux yum repositories (http://public-yum.oracle.com) . _x000D_
_x000D_
_x000D_
 * samba-python-test on Oracle Linux_x000D_
      Upgrade samba-python-test_x000D_
_x000D_
       Update samba-python-test using yum or up2date. Please note that customers with support can use the  Unbreakable Linux Network (ULN) (https://linux.oracle.com) , and customers without support can use the  publicly available Oracle Linux yum repositories (http://public-yum.oracle.com) . _x000D_
_x000D_
_x000D_
 * samba-test on Oracle Linux_x000D_
      Upgrade samba-test_x000D_
_x000D_
       Update samba-test using yum or up2date. Please note that customers with support can use the  Unbreakable Linux Network (ULN) (https://linux.oracle.com) , and customers without support can use the  publicly available Oracle Linux yum repositories (http://public-yum.oracle.com) . _x000D_
_x000D_
_x000D_
 * samba-test-libs on Oracle Linux_x000D_
      Upgrade samba-test-libs_x000D_
_x000D_
       Update samba-test-libs using yum or up2date. Please note that customers with support can use the  Unbreakable Linux Network (ULN) (https://linux.oracle.com) , and customers without support can use the  publicly available Oracle Linux yum repositories (http://public-yum.oracle.com) . _x000D_
_x000D_
_x000D_
 * samba-vfs-glusterfs on Oracle Linux_x000D_
      Upgrade samba-vfs-glusterfs_x000D_
_x000D_
       Update samba-vfs-glusterfs using yum or up2date. Please note that customers with support can use the  Unbreakable Linux Network (ULN) (https://linux.oracle.com) , and customers without support can use the  publicly available Oracle Linux yum repositories (http://public-yum.oracle.com) . _x000D_
_x000D_
_x000D_
 * samba-winbind on Oracle Linux_x000D_
      Upgrade samba-winbind_x000D_
_x000D_
       Update samba-winbind using yum or up2date. Please note that customers with support can use the  Unbreakable Linux Network (ULN) (https://linux.oracle.com) , and customers without support can use the  publicly available Oracle Linux yum repositories (http://public-yum.oracle.com) . _x000D_
_x000D_
_x000D_
 * samba-winbind-clients on Oracle Linux_x000D_
      Upgrade samba-winbind-clients_x000D_
_x000D_
       Update samba-winbind-clients using yum or up2date. Please note that customers with support can use the  Unbreakable Linux Network (ULN) (https://linux.oracle.com) , and customers without support can use the  publicly available Oracle Linux yum repositories (http://public-yum.oracle.com) . _x000D_
_x000D_
_x000D_
 * samba-winbind-krb5-locator on Oracle Linux_x000D_
      Upgrade samba-winbind-krb5-locator_x000D_
_x000D_
       Update samba-winbind-krb5-locator using yum or up2date. Please note that customers with support can use the  Unbreakable Linux Network (ULN) (https://linux.oracle.com) , and customers without support can use the  publicly available Oracle Linux yum repositories (http://public-yum.oracle.com) . _x000D_
_x000D_
_x000D_
 * samba-winbind-modules on Oracle Linux_x000D_
      Upgrade samba-winbind-modules_x000D_
_x000D_
       Update samba-winbind-modules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</si>
  <si>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_x000D_
 * _x000D_
      samba - version 0:4.10.16-7.el7_9 is installed</t>
  </si>
  <si>
    <t>CVE-2020-14318</t>
  </si>
  <si>
    <t>http://nvd.nist.gov/vuln/detail/CVE-2020-14318</t>
  </si>
  <si>
    <t>oracle_linux-cve-2020-14323</t>
  </si>
  <si>
    <t>Oracle Linux: (CVE-2020-14323) ELSA-2020-5439: samba security and bug fix update</t>
  </si>
  <si>
    <t>A null pointer dereference flaw was found in samba's Winbind service in versions before 4.11.15, before 4.12.9 and before 4.13.1. A local user could use this flaw to crash the winbind service causing denial of service.</t>
  </si>
  <si>
    <t>CVE-2020-14323</t>
  </si>
  <si>
    <t>http://nvd.nist.gov/vuln/detail/CVE-2020-14323</t>
  </si>
  <si>
    <t>oracle_linux-cve-2020-14331</t>
  </si>
  <si>
    <t>Oracle Linux: (CVE-2020-14331) (Multiple Advisories): kernel security and bug fix update</t>
  </si>
  <si>
    <t>A flaw was found in the Linux kernelâ€™s implementation of the invert video code on VGA consoles when a local attacker attempts to resize the console, calling an ioctl VT_RESIZE, which causes an out-of-bounds write to occur. This flaw allows a local user with access to the VGA console to crash the system, potentially escalating their privileges on the system. The highest threat from this vulnerability is to data confidentiality and integrity as well as system availability.</t>
  </si>
  <si>
    <t>Vulnerable OS: Oracle Linux 7.9_x000D_
_x000D_
_x000D_
Vulnerable software installed: Linux kernel-uek 4.1.12-94.3.9.el7uek_x000D_
_x000D_
 * Required patch [CVE-2020-14331] is not installed, no patches discovered._x000D_
_x000D_
_x000D_
 * _x000D_
      kernel-uek-firmware - version 4.1.12-94.3.9.el7uek is installed</t>
  </si>
  <si>
    <t>CVE-2020-14331</t>
  </si>
  <si>
    <t>http://nvd.nist.gov/vuln/detail/CVE-2020-14331</t>
  </si>
  <si>
    <t>oracle_linux-cve-2020-14363</t>
  </si>
  <si>
    <t>Oracle Linux: (CVE-2020-14363) (Multiple Advisories): libX11 security update</t>
  </si>
  <si>
    <t>An integer overflow vulnerability leading to a double-free was found in libX11. This flaw allows a local privileged attacker to cause an application compiled with libX11 to crash, or in some cases, result in arbitrary code execution. The highest threat from this flaw is to confidentiality, integrity as well as system availability.</t>
  </si>
  <si>
    <t>* libX11 on Oracle Linux_x000D_
      Upgrade libX11_x000D_
_x000D_
       Update libX11 using yum or up2date. Please note that customers with support can use the  Unbreakable Linux Network (ULN) (https://linux.oracle.com) , and customers without support can use the  publicly available Oracle Linux yum repositories (http://public-yum.oracle.com) . _x000D_
_x000D_
_x000D_
 * libX11-common on Oracle Linux_x000D_
      Upgrade libX11-common_x000D_
_x000D_
       Update libX11-common using yum or up2date. Please note that customers with support can use the  Unbreakable Linux Network (ULN) (https://linux.oracle.com) , and customers without support can use the  publicly available Oracle Linux yum repositories (http://public-yum.oracle.com) . _x000D_
_x000D_
_x000D_
 * libX11-devel on Oracle Linux_x000D_
      Upgrade libX11-devel_x000D_
_x000D_
       Update libX11-devel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</si>
  <si>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_x000D_
 * _x000D_
      libX11 - version 1.6.7-2.el7 is installed</t>
  </si>
  <si>
    <t>CVE-2020-14363</t>
  </si>
  <si>
    <t>http://nvd.nist.gov/vuln/detail/CVE-2020-14363</t>
  </si>
  <si>
    <t>oracle_linux-cve-2020-14416</t>
  </si>
  <si>
    <t>Oracle Linux: (CVE-2020-14416) ELSA-2020-5801: Unbreakable Enterprise kernel security update</t>
  </si>
  <si>
    <t>In the Linux kernel before 5.4.16, a race condition in tty-&gt;disc_data handling in the slip and slcan line discipline could lead to a use-after-free, aka CID-0ace17d56824. This affects drivers/net/slip/slip.c and drivers/net/can/slcan.c.</t>
  </si>
  <si>
    <t>Vulnerable OS: Oracle Linux 7.9_x000D_
_x000D_
_x000D_
Vulnerable software installed: Linux kernel-uek 4.1.12-94.3.9.el7uek_x000D_
_x000D_
 * Required patch [CVE-2020-14416] is not installed, no patches discovered._x000D_
_x000D_
_x000D_
 * _x000D_
      kernel-uek-firmware - version 4.1.12-94.3.9.el7uek is installed</t>
  </si>
  <si>
    <t>CVE-2020-14416</t>
  </si>
  <si>
    <t>http://nvd.nist.gov/vuln/detail/CVE-2020-14416</t>
  </si>
  <si>
    <t>oracle_linux-cve-2020-1472</t>
  </si>
  <si>
    <t>Oracle Linux: (CVE-2020-1472) ELSA-2020-5439: samba security and bug fix update</t>
  </si>
  <si>
    <t>An elevation of privilege vulnerability exists when an attacker establishes a vulnerable Netlogon secure channel connection to a domain controller, using the Netlogon Remote Protocol (MS-NRPC), aka 'Netlogon Elevation of Privilege Vulnerability'.</t>
  </si>
  <si>
    <t>CVE-2020-1472</t>
  </si>
  <si>
    <t>http://nvd.nist.gov/vuln/detail/CVE-2020-1472</t>
  </si>
  <si>
    <t>http://www.exploit-db.com/exploits/49071,http://www.rapid7.com/db/modules/auxiliary/admin/dcerpc/cve_2020_1472_zerologon</t>
  </si>
  <si>
    <t>oracle_linux-cve-2020-15999</t>
  </si>
  <si>
    <t>Oracle Linux: (CVE-2020-15999) (Multiple Advisories): freetype security update</t>
  </si>
  <si>
    <t>Heap buffer overflow in Freetype in Google Chrome prior to 86.0.4240.111 allowed a remote attacker to potentially exploit heap corruption via a crafted HTML page.</t>
  </si>
  <si>
    <t>* freetype on Oracle Linux_x000D_
      Upgrade freetype_x000D_
_x000D_
       Update freetype using yum or up2date. Please note that customers with support can use the  Unbreakable Linux Network (ULN) (https://linux.oracle.com) , and customers without support can use the  publicly available Oracle Linux yum repositories (http://public-yum.oracle.com) . _x000D_
_x000D_
_x000D_
 * freetype-demos on Oracle Linux_x000D_
      Upgrade freetype-demos_x000D_
_x000D_
       Update freetype-demos using yum or up2date. Please note that customers with support can use the  Unbreakable Linux Network (ULN) (https://linux.oracle.com) , and customers without support can use the  publicly available Oracle Linux yum repositories (http://public-yum.oracle.com) . _x000D_
_x000D_
_x000D_
 * freetype-devel on Oracle Linux_x000D_
      Upgrade freetype-devel_x000D_
_x000D_
       Update freetype-devel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</si>
  <si>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_x000D_
 * _x000D_
      freetype - version 2.8-14.el7 is installed</t>
  </si>
  <si>
    <t>CVE-2020-15999</t>
  </si>
  <si>
    <t>http://nvd.nist.gov/vuln/detail/CVE-2020-15999</t>
  </si>
  <si>
    <t>oracle_linux-cve-2020-16166</t>
  </si>
  <si>
    <t>Oracle Linux: (CVE-2020-16166) (Multiple Advisories): kernel security and bug fix update</t>
  </si>
  <si>
    <t>The Linux kernel through 5.7.11 allows remote attackers to make observations that help to obtain sensitive information about the internal state of the network RNG, aka CID-f227e3ec3b5c. This is related to drivers/char/random.c and kernel/time/timer.c.</t>
  </si>
  <si>
    <t>Vulnerable OS: Oracle Linux 7.9_x000D_
_x000D_
_x000D_
Vulnerable software installed: Linux kernel-uek 4.1.12-94.3.9.el7uek_x000D_
_x000D_
 * Required patch [CVE-2020-16166] is not installed, no patches discovered._x000D_
_x000D_
_x000D_
 * _x000D_
      kernel-uek-firmware - version 4.1.12-94.3.9.el7uek is installed</t>
  </si>
  <si>
    <t>CVE-2020-16166</t>
  </si>
  <si>
    <t>http://nvd.nist.gov/vuln/detail/CVE-2020-16166</t>
  </si>
  <si>
    <t>oracle_linux-cve-2020-1749</t>
  </si>
  <si>
    <t>Oracle Linux: (CVE-2020-1749) (Multiple Advisories): Unbreakable Enterprise kernel security update</t>
  </si>
  <si>
    <t>A flaw was found in the Linux kernel's implementation of some networking protocols in IPsec, such as VXLAN and GENEVE tunnels over IPv6. When an encrypted tunnel is created between two hosts, the kernel isn't correctly routing tunneled data over the encrypted link; rather sending the data unencrypted. This would allow anyone in between the two endpoints to read the traffic unencrypted. The main threat from this vulnerability is to data confidentiality.</t>
  </si>
  <si>
    <t>Vulnerable OS: Oracle Linux 7.9_x000D_
_x000D_
_x000D_
Vulnerable software installed: Linux kernel-uek 4.1.12-94.3.9.el7uek_x000D_
_x000D_
 * Required patch [CVE-2020-1749] is not installed, no patches discovered._x000D_
_x000D_
_x000D_
 * _x000D_
      kernel-uek-firmware - version 4.1.12-94.3.9.el7uek is installed</t>
  </si>
  <si>
    <t>CVE-2020-1749</t>
  </si>
  <si>
    <t>http://nvd.nist.gov/vuln/detail/CVE-2020-1749</t>
  </si>
  <si>
    <t>oracle_linux-cve-2020-1971</t>
  </si>
  <si>
    <t>Oracle Linux: (CVE-2020-1971) (Multiple Advisories): openssl security update</t>
  </si>
  <si>
    <t>The X.509 GeneralName type is a generic type for representing different types of names. One of those name types is known as EDIPartyName. OpenSSL provides a function GENERAL_NAME_cmp which compares different instances of a GENERAL_NAME to see if they are equal or not. This function behaves incorrectly when both GENERAL_NAMEs contain an EDIPARTYNAME. A NULL pointer dereference and a crash may occur leading to a possible denial of service attack. OpenSSL itself uses the GENERAL_NAME_cmp function for two purposes: 1) Comparing CRL distribution point names between an available CRL and a CRL distribution point embedded in an X509 certificate 2) When verifying that a timestamp response token signer matches the timestamp authority name (exposed via the API functions TS_RESP_verify_response and TS_RESP_verify_token) If an attacker can control both items being compared then that attacker could trigger a crash. For example if the attacker can trick a client or server into checking a malicious certificate against a malicious CRL then this may occur. Note that some applications automatically download CRLs based on a URL embedded in a certificate. This checking happens prior to the signatures on the certificate and CRL being verified. OpenSSL's s_server, s_client and verify tools have support for the "-crl_download" option which implements automatic CRL downloading and this attack has been demonstrated to work against those tools. Note that an unrelated bug means that affected versions of OpenSSL cannot parse or construct correct encodings of EDIPARTYNAME. However it is possible to construct a malformed EDIPARTYNAME that OpenSSL's parser will accept and hence trigger this attack. All OpenSSL 1.1.1 and 1.0.2 versions are affected by this issue. Other OpenSSL releases are out of support and have not been checked. Fixed in OpenSSL 1.1.1i (Affected 1.1.1-1.1.1h). Fixed in OpenSSL 1.0.2x (Affected 1.0.2-1.0.2w).</t>
  </si>
  <si>
    <t>* openssl on Oracle Linux_x000D_
      Upgrade openssl_x000D_
_x000D_
       Update openssl using yum or up2date. Please note that customers with support can use the  Unbreakable Linux Network (ULN) (https://linux.oracle.com) , and customers without support can use the  publicly available Oracle Linux yum repositories (http://public-yum.oracle.com) . _x000D_
_x000D_
_x000D_
 * openssl-devel on Oracle Linux_x000D_
      Upgrade openssl-devel_x000D_
_x000D_
       Update openssl-devel using yum or up2date. Please note that customers with support can use the  Unbreakable Linux Network (ULN) (https://linux.oracle.com) , and customers without support can use the  publicly available Oracle Linux yum repositories (http://public-yum.oracle.com) . _x000D_
_x000D_
_x000D_
 * openssl-libs on Oracle Linux_x000D_
      Upgrade openssl-libs_x000D_
_x000D_
       Update openssl-libs using yum or up2date. Please note that customers with support can use the  Unbreakable Linux Network (ULN) (https://linux.oracle.com) , and customers without support can use the  publicly available Oracle Linux yum repositories (http://public-yum.oracle.com) . _x000D_
_x000D_
_x000D_
 * openssl-perl on Oracle Linux_x000D_
      Upgrade openssl-perl_x000D_
_x000D_
       Update openssl-perl using yum or up2date. Please note that customers with support can use the  Unbreakable Linux Network (ULN) (https://linux.oracle.com) , and customers without support can use the  publicly available Oracle Linux yum repositories (http://public-yum.oracle.com) . _x000D_
_x000D_
_x000D_
 * openssl-static on Oracle Linux_x000D_
      Upgrade openssl-static_x000D_
_x000D_
       Update openssl-static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</si>
  <si>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_x000D_
 * _x000D_
      openssl - version 1:1.0.2k-19.0.1.el7 is installed</t>
  </si>
  <si>
    <t>CVE-2020-1971</t>
  </si>
  <si>
    <t>http://nvd.nist.gov/vuln/detail/CVE-2020-1971</t>
  </si>
  <si>
    <t>oracle_linux-cve-2020-25211</t>
  </si>
  <si>
    <t>Oracle Linux: (CVE-2020-25211) (Multiple Advisories): Unbreakable Enterprise kernel security update</t>
  </si>
  <si>
    <t>In the Linux kernel through 5.8.7, local attackers able to inject conntrack netlink configuration could overflow a local buffer, causing crashes or triggering use of incorrect protocol numbers in ctnetlink_parse_tuple_filter in net/netfilter/nf_conntrack_netlink.c, aka CID-1cc5ef91d2ff.</t>
  </si>
  <si>
    <t>Vulnerable OS: Oracle Linux 7.9_x000D_
_x000D_
_x000D_
Vulnerable software installed: Linux kernel-uek 4.1.12-94.3.9.el7uek_x000D_
_x000D_
 * Required patch [CVE-2020-25211] is not installed, no patches discovered._x000D_
_x000D_
_x000D_
 * _x000D_
      kernel-uek-firmware - version 4.1.12-94.3.9.el7uek is installed</t>
  </si>
  <si>
    <t>CVE-2020-25211</t>
  </si>
  <si>
    <t>http://nvd.nist.gov/vuln/detail/CVE-2020-25211</t>
  </si>
  <si>
    <t>oracle_linux-cve-2020-25212</t>
  </si>
  <si>
    <t>Oracle Linux: (CVE-2020-25212) (Multiple Advisories): kernel security and bug fix update</t>
  </si>
  <si>
    <t>A TOCTOU mismatch in the NFS client code in the Linux kernel before 5.8.3 could be used by local attackers to corrupt memory or possibly have unspecified other impact because a size check is in fs/nfs/nfs4proc.c instead of fs/nfs/nfs4xdr.c, aka CID-b4487b935452.</t>
  </si>
  <si>
    <t>Vulnerable OS: Oracle Linux 7.9_x000D_
_x000D_
_x000D_
Vulnerable software installed: Linux kernel-uek 4.1.12-94.3.9.el7uek_x000D_
_x000D_
 * Required patch [CVE-2020-25212] is not installed, no patches discovered._x000D_
_x000D_
_x000D_
 * _x000D_
      kernel-uek-firmware - version 4.1.12-94.3.9.el7uek is installed</t>
  </si>
  <si>
    <t>CVE-2020-25212</t>
  </si>
  <si>
    <t>http://nvd.nist.gov/vuln/detail/CVE-2020-25212</t>
  </si>
  <si>
    <t>oracle_linux-cve-2020-25284</t>
  </si>
  <si>
    <t>Oracle Linux: (CVE-2020-25284) (Multiple Advisories): Unbreakable Enterprise kernel security update</t>
  </si>
  <si>
    <t>The rbd block device driver in drivers/block/rbd.c in the Linux kernel through 5.8.9 used incomplete permission checking for access to rbd devices, which could be leveraged by local attackers to map or unmap rbd block devices, aka CID-f44d04e696fe.</t>
  </si>
  <si>
    <t>Vulnerable OS: Oracle Linux 7.9_x000D_
_x000D_
_x000D_
Vulnerable software installed: Linux kernel-uek 4.1.12-94.3.9.el7uek_x000D_
_x000D_
 * Required patch [CVE-2020-25284] is not installed, no patches discovered._x000D_
_x000D_
_x000D_
 * _x000D_
      kernel-uek-firmware - version 4.1.12-94.3.9.el7uek is installed</t>
  </si>
  <si>
    <t>CVE-2020-25284</t>
  </si>
  <si>
    <t>http://nvd.nist.gov/vuln/detail/CVE-2020-25284</t>
  </si>
  <si>
    <t>oracle_linux-cve-2020-25285</t>
  </si>
  <si>
    <t>Oracle Linux: (CVE-2020-25285) (Multiple Advisories): Unbreakable Enterprise kernel security update</t>
  </si>
  <si>
    <t>A race condition between hugetlb sysctl handlers in mm/hugetlb.c in the Linux kernel before 5.8.8 could be used by local attackers to corrupt memory, cause a NULL pointer dereference, or possibly have unspecified other impact, aka CID-17743798d812.</t>
  </si>
  <si>
    <t>Vulnerable OS: Oracle Linux 7.9_x000D_
_x000D_
_x000D_
Vulnerable software installed: Linux kernel-uek 4.1.12-94.3.9.el7uek_x000D_
_x000D_
 * Required patch [CVE-2020-25285] is not installed, no patches discovered._x000D_
_x000D_
_x000D_
 * _x000D_
      kernel-uek-firmware - version 4.1.12-94.3.9.el7uek is installed</t>
  </si>
  <si>
    <t>CVE-2020-25285</t>
  </si>
  <si>
    <t>http://nvd.nist.gov/vuln/detail/CVE-2020-25285</t>
  </si>
  <si>
    <t>oracle_linux-cve-2020-2732</t>
  </si>
  <si>
    <t>Oracle Linux: (CVE-2020-2732) (Multiple Advisories): kernel security, bug fix, and enhancement update</t>
  </si>
  <si>
    <t>A flaw was discovered in the way that the KVM hypervisor handled instruction emulation for an L2 guest when nested virtualisation is enabled. Under some circumstances, an L2 guest may trick the L0 guest into accessing sensitive L1 resources that should be inaccessible to the L2 guest.</t>
  </si>
  <si>
    <t>Vulnerable OS: Oracle Linux 7.9_x000D_
_x000D_
_x000D_
Vulnerable software installed: Linux kernel-uek 4.1.12-94.3.9.el7uek_x000D_
_x000D_
 * Required patch [CVE-2020-2732] is not installed, no patches discovered._x000D_
_x000D_
_x000D_
 * _x000D_
      kernel-uek-firmware - version 4.1.12-94.3.9.el7uek is installed</t>
  </si>
  <si>
    <t>CVE-2020-2732</t>
  </si>
  <si>
    <t>http://nvd.nist.gov/vuln/detail/CVE-2020-2732</t>
  </si>
  <si>
    <t>oracle_linux-cve-2020-8177</t>
  </si>
  <si>
    <t>Oracle Linux: (CVE-2020-8177) (Multiple Advisories): curl security update</t>
  </si>
  <si>
    <t>curl 7.20.0 through 7.70.0 is vulnerable to improper restriction of names for files and other resources that can lead too overwriting a local file when the -J flag is used.</t>
  </si>
  <si>
    <t>* curl on Oracle Linux_x000D_
      Upgrade curl_x000D_
_x000D_
       Update curl using yum or up2date. Please note that customers with support can use the  Unbreakable Linux Network (ULN) (https://linux.oracle.com) , and customers without support can use the  publicly available Oracle Linux yum repositories (http://public-yum.oracle.com) . _x000D_
_x000D_
_x000D_
 * libcurl on Oracle Linux_x000D_
      Upgrade libcurl_x000D_
_x000D_
       Update libcurl using yum or up2date. Please note that customers with support can use the  Unbreakable Linux Network (ULN) (https://linux.oracle.com) , and customers without support can use the  publicly available Oracle Linux yum repositories (http://public-yum.oracle.com) . _x000D_
_x000D_
_x000D_
 * libcurl-devel on Oracle Linux_x000D_
      Upgrade libcurl-devel_x000D_
_x000D_
       Update libcurl-devel using yum or up2date. Please note that customers with support can use the  Unbreakable Linux Network (ULN) (https://linux.oracle.com) , and customers without support can use the  publicly available Oracle Linux yum repositories (http://public-yum.oracle.com) . _x000D_
_x000D_
_x000D_
 * libcurl-minimal on Oracle Linux_x000D_
      Upgrade libcurl-minimal_x000D_
_x000D_
       Update libcurl-minimal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</si>
  <si>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_x000D_
 * _x000D_
      curl - version 7.29.0-59.0.1.el7 is installed</t>
  </si>
  <si>
    <t>CVE-2020-8177</t>
  </si>
  <si>
    <t>http://nvd.nist.gov/vuln/detail/CVE-2020-8177</t>
  </si>
  <si>
    <t>oracle_linux-cve-2020-8622</t>
  </si>
  <si>
    <t>Oracle Linux: (CVE-2020-8622) (Multiple Advisories): bind security and bug fix update</t>
  </si>
  <si>
    <t>In BIND 9.0.0 -&gt; 9.11.21, 9.12.0 -&gt; 9.16.5, 9.17.0 -&gt; 9.17.3, also affects 9.9.3-S1 -&gt; 9.11.21-S1 of the BIND 9 Supported Preview Edition, An attacker on the network path for a TSIG-signed request, or operating the server receiving the TSIG-signed request, could send a truncated response to that request, triggering an assertion failure, causing the server to exit. Alternately, an off-path attacker would have to correctly guess when a TSIG-signed request was sent, along with other characteristics of the packet and message, and spoof a truncated response to trigger an assertion failure, causing the server to exit.</t>
  </si>
  <si>
    <t>* bind on Oracle Linux_x000D_
      Upgrade bind_x000D_
_x000D_
       Update bind using yum or up2date. Please note that customers with support can use the  Unbreakable Linux Network (ULN) (https://linux.oracle.com) , and customers without support can use the  publicly available Oracle Linux yum repositories (http://public-yum.oracle.com) . _x000D_
_x000D_
_x000D_
 * bind-chroot on Oracle Linux_x000D_
      Upgrade bind-chroot_x000D_
_x000D_
       Update bind-chroot using yum or up2date. Please note that customers with support can use the  Unbreakable Linux Network (ULN) (https://linux.oracle.com) , and customers without support can use the  publicly available Oracle Linux yum repositories (http://public-yum.oracle.com) . _x000D_
_x000D_
_x000D_
 * bind-devel on Oracle Linux_x000D_
      Upgrade bind-devel_x000D_
_x000D_
       Update bind-devel using yum or up2date. Please note that customers with support can use the  Unbreakable Linux Network (ULN) (https://linux.oracle.com) , and customers without support can use the  publicly available Oracle Linux yum repositories (http://public-yum.oracle.com) . _x000D_
_x000D_
_x000D_
 * bind-export-devel on Oracle Linux_x000D_
      Upgrade bind-export-devel_x000D_
_x000D_
       Update bind-export-devel using yum or up2date. Please note that customers with support can use the  Unbreakable Linux Network (ULN) (https://linux.oracle.com) , and customers without support can use the  publicly available Oracle Linux yum repositories (http://public-yum.oracle.com) . _x000D_
_x000D_
_x000D_
 * bind-export-libs on Oracle Linux_x000D_
      Upgrade bind-export-libs_x000D_
_x000D_
       Update bind-export-libs using yum or up2date. Please note that customers with support can use the  Unbreakable Linux Network (ULN) (https://linux.oracle.com) , and customers without support can use the  publicly available Oracle Linux yum repositories (http://public-yum.oracle.com) . _x000D_
_x000D_
_x000D_
 * bind-libs on Oracle Linux_x000D_
      Upgrade bind-libs_x000D_
_x000D_
       Update bind-libs using yum or up2date. Please note that customers with support can use the  Unbreakable Linux Network (ULN) (https://linux.oracle.com) , and customers without support can use the  publicly available Oracle Linux yum repositories (http://public-yum.oracle.com) . _x000D_
_x000D_
_x000D_
 * bind-libs-lite on Oracle Linux_x000D_
      Upgrade bind-libs-lite_x000D_
_x000D_
       Update bind-libs-lite using yum or up2date. Please note that customers with support can use the  Unbreakable Linux Network (ULN) (https://linux.oracle.com) , and customers without support can use the  publicly available Oracle Linux yum repositories (http://public-yum.oracle.com) . _x000D_
_x000D_
_x000D_
 * bind-license on Oracle Linux_x000D_
      Upgrade bind-license_x000D_
_x000D_
       Update bind-license using yum or up2date. Please note that customers with support can use the  Unbreakable Linux Network (ULN) (https://linux.oracle.com) , and customers without support can use the  publicly available Oracle Linux yum repositories (http://public-yum.oracle.com) . _x000D_
_x000D_
_x000D_
 * bind-lite-devel on Oracle Linux_x000D_
      Upgrade bind-lite-devel_x000D_
_x000D_
       Update bind-lite-devel using yum or up2date. Please note that customers with support can use the  Unbreakable Linux Network (ULN) (https://linux.oracle.com) , and customers without support can use the  publicly available Oracle Linux yum repositories (http://public-yum.oracle.com) . _x000D_
_x000D_
_x000D_
 * bind-pkcs11 on Oracle Linux_x000D_
      Upgrade bind-pkcs11_x000D_
_x000D_
       Update bind-pkcs11 using yum or up2date. Please note that customers with support can use the  Unbreakable Linux Network (ULN) (https://linux.oracle.com) , and customers without support can use the  publicly available Oracle Linux yum repositories (http://public-yum.oracle.com) . _x000D_
_x000D_
_x000D_
 * bind-pkcs11-devel on Oracle Linux_x000D_
      Upgrade bind-pkcs11-devel_x000D_
_x000D_
       Update bind-pkcs11-devel using yum or up2date. Please note that customers with support can use the  Unbreakable Linux Network (ULN) (https://linux.oracle.com) , and customers without support can use the  publicly available Oracle Linux yum repositories (http://public-yum.oracle.com) . _x000D_
_x000D_
_x000D_
 * bind-pkcs11-libs on Oracle Linux_x000D_
      Upgrade bind-pkcs11-libs_x000D_
_x000D_
       Update bind-pkcs11-libs using yum or up2date. Please note that customers with support can use the  Unbreakable Linux Network (ULN) (https://linux.oracle.com) , and customers without support can use the  publicly available Oracle Linux yum repositories (http://public-yum.oracle.com) . _x000D_
_x000D_
_x000D_
 * bind-pkcs11-utils on Oracle Linux_x000D_
      Upgrade bind-pkcs11-utils_x000D_
_x000D_
       Update bind-pkcs11-utils using yum or up2date. Please note that customers with support can use the  Unbreakable Linux Network (ULN) (https://linux.oracle.com) , and customers without support can use the  publicly available Oracle Linux yum repositories (http://public-yum.oracle.com) . _x000D_
_x000D_
_x000D_
 * bind-sdb on Oracle Linux_x000D_
      Upgrade bind-sdb_x000D_
_x000D_
       Update bind-sdb using yum or up2date. Please note that customers with support can use the  Unbreakable Linux Network (ULN) (https://linux.oracle.com) , and customers without support can use the  publicly available Oracle Linux yum repositories (http://public-yum.oracle.com) . _x000D_
_x000D_
_x000D_
 * bind-sdb-chroot on Oracle Linux_x000D_
      Upgrade bind-sdb-chroot_x000D_
_x000D_
       Update bind-sdb-chroot using yum or up2date. Please note that customers with support can use the  Unbreakable Linux Network (ULN) (https://linux.oracle.com) , and customers without support can use the  publicly available Oracle Linux yum repositories (http://public-yum.oracle.com) . _x000D_
_x000D_
_x000D_
 * bind-utils on Oracle Linux_x000D_
      Upgrade bind-utils_x000D_
_x000D_
       Update bind-utils using yum or up2date. Please note that customers with support can use the  Unbreakable Linux Network (ULN) (https://linux.oracle.com) , and customers without support can use the  publicly available Oracle Linux yum repositories (http://public-yum.oracle.com) . _x000D_
_x000D_
_x000D_
 * python3-bind on Oracle Linux_x000D_
      Upgrade python3-bind_x000D_
_x000D_
       Update python3-bind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</si>
  <si>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_x000D_
 * _x000D_
      bind-export-libs - version 32:9.11.4-26.P2.el7 is installed</t>
  </si>
  <si>
    <t>CVE-2020-8622</t>
  </si>
  <si>
    <t>http://nvd.nist.gov/vuln/detail/CVE-2020-8622</t>
  </si>
  <si>
    <t>oracle_linux-cve-2020-8623</t>
  </si>
  <si>
    <t>Oracle Linux: (CVE-2020-8623) (Multiple Advisories): bind security and bug fix update</t>
  </si>
  <si>
    <t>In BIND 9.10.0 -&gt; 9.11.21, 9.12.0 -&gt; 9.16.5, 9.17.0 -&gt; 9.17.3, also affects 9.10.5-S1 -&gt; 9.11.21-S1 of the BIND 9 Supported Preview Edition, An attacker that can reach a vulnerable system with a specially crafted query packet can trigger a crash. To be vulnerable, the system must: * be running BIND that was built with "--enable-native-pkcs11" * be signing one or more zones with an RSA key * be able to receive queries from a possible attacker</t>
  </si>
  <si>
    <t>CVE-2020-8623</t>
  </si>
  <si>
    <t>http://nvd.nist.gov/vuln/detail/CVE-2020-8623</t>
  </si>
  <si>
    <t>oracle_linux-cve-2020-8624</t>
  </si>
  <si>
    <t>Oracle Linux: (CVE-2020-8624) (Multiple Advisories): bind security and bug fix update</t>
  </si>
  <si>
    <t>In BIND 9.9.12 -&gt; 9.9.13, 9.10.7 -&gt; 9.10.8, 9.11.3 -&gt; 9.11.21, 9.12.1 -&gt; 9.16.5, 9.17.0 -&gt; 9.17.3, also affects 9.9.12-S1 -&gt; 9.9.13-S1, 9.11.3-S1 -&gt; 9.11.21-S1 of the BIND 9 Supported Preview Edition, An attacker who has been granted privileges to change a specific subset of the zone's content could abuse these unintended additional privileges to update other contents of the zone.</t>
  </si>
  <si>
    <t>CVE-2020-8624</t>
  </si>
  <si>
    <t>http://nvd.nist.gov/vuln/detail/CVE-2020-8624</t>
  </si>
  <si>
    <t>oracle_linux-cve-2020-8647</t>
  </si>
  <si>
    <t>Oracle Linux: (CVE-2020-8647) (Multiple Advisories): kernel security, bug fix, and enhancement update</t>
  </si>
  <si>
    <t>There is a use-after-free vulnerability in the Linux kernel through 5.5.2 in the vc_do_resize function in drivers/tty/vt/vt.c.</t>
  </si>
  <si>
    <t>Vulnerable OS: Oracle Linux 7.9_x000D_
_x000D_
_x000D_
Vulnerable software installed: Linux kernel-uek 4.1.12-94.3.9.el7uek_x000D_
_x000D_
 * Required patch [CVE-2020-8647] is not installed, no patches discovered._x000D_
_x000D_
_x000D_
 * _x000D_
      kernel-uek-firmware - version 4.1.12-94.3.9.el7uek is installed</t>
  </si>
  <si>
    <t>CVE-2020-8647</t>
  </si>
  <si>
    <t>http://nvd.nist.gov/vuln/detail/CVE-2020-8647</t>
  </si>
  <si>
    <t>oracle_linux-cve-2020-8648</t>
  </si>
  <si>
    <t>Oracle Linux: (CVE-2020-8648) ELSA-2020-5670: Unbreakable Enterprise kernel security update</t>
  </si>
  <si>
    <t>There is a use-after-free vulnerability in the Linux kernel through 5.5.2 in the n_tty_receive_buf_common function in drivers/tty/n_tty.c.</t>
  </si>
  <si>
    <t>Vulnerable OS: Oracle Linux 7.9_x000D_
_x000D_
_x000D_
Vulnerable software installed: Linux kernel-uek 4.1.12-94.3.9.el7uek_x000D_
_x000D_
 * Required patch [CVE-2020-8648] is not installed, no patches discovered._x000D_
_x000D_
_x000D_
 * _x000D_
      kernel-uek-firmware - version 4.1.12-94.3.9.el7uek is installed</t>
  </si>
  <si>
    <t>CVE-2020-8648</t>
  </si>
  <si>
    <t>http://nvd.nist.gov/vuln/detail/CVE-2020-8648</t>
  </si>
  <si>
    <t>oracle_linux-cve-2020-8649</t>
  </si>
  <si>
    <t>Oracle Linux: (CVE-2020-8649) (Multiple Advisories): kernel security, bug fix, and enhancement update</t>
  </si>
  <si>
    <t>There is a use-after-free vulnerability in the Linux kernel through 5.5.2 in the vgacon_invert_region function in drivers/video/console/vgacon.c.</t>
  </si>
  <si>
    <t>Vulnerable OS: Oracle Linux 7.9_x000D_
_x000D_
_x000D_
Vulnerable software installed: Linux kernel-uek 4.1.12-94.3.9.el7uek_x000D_
_x000D_
 * Required patch [CVE-2020-8649] is not installed, no patches discovered._x000D_
_x000D_
_x000D_
 * _x000D_
      kernel-uek-firmware - version 4.1.12-94.3.9.el7uek is installed</t>
  </si>
  <si>
    <t>CVE-2020-8649</t>
  </si>
  <si>
    <t>http://nvd.nist.gov/vuln/detail/CVE-2020-8649</t>
  </si>
  <si>
    <t>oracle_linux-cve-2020-8694</t>
  </si>
  <si>
    <t>Oracle Linux: (CVE-2020-8694) (Multiple Advisories): Unbreakable Enterprise kernel security update</t>
  </si>
  <si>
    <t>Insufficient access control in the Linux kernel driver for some Intel(R) Processors may allow an authenticated user to potentially enable information disclosure via local access.</t>
  </si>
  <si>
    <t>*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kernel-uek-container on Oracle Linux_x000D_
      Upgrade kernel-uek-container_x000D_
_x000D_
       Update kernel-uek-container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kernel-uek-headers on Oracle Linux_x000D_
      Upgrade kernel-uek-headers_x000D_
_x000D_
       Update kernel-uek-headers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 on Oracle Linux_x000D_
      Upgrade kernel-uek-tools_x000D_
_x000D_
       Update kernel-uek-tools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 on Oracle Linux_x000D_
      Upgrade kernel-uek-tools-libs_x000D_
_x000D_
       Update kernel-uek-tools-libs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kernel-uek-tools-libs-devel on Oracle Linux_x000D_
      Upgrade kernel-uek-tools-libs-devel_x000D_
_x000D_
       Update kernel-uek-tools-libs-devel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</si>
  <si>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[CVE-2020-8694] is not installed, no patches discovered._x000D_
_x000D_
_x000D_
 * _x000D_
      kernel-uek-firmware - version 4.1.12-94.3.9.el7uek is installed</t>
  </si>
  <si>
    <t>CVE-2020-8694</t>
  </si>
  <si>
    <t>http://nvd.nist.gov/vuln/detail/CVE-2020-8694</t>
  </si>
  <si>
    <t>oracle_linux-cve-2020-8695</t>
  </si>
  <si>
    <t>Oracle Linux: (CVE-2020-8695) (Multiple Advisories): microcode_ctl security, bug fix and enhancement update</t>
  </si>
  <si>
    <t>Observable discrepancy in the RAPL interface for some Intel(R) Processors may allow a privileged user to potentially enable information disclosure via local access.</t>
  </si>
  <si>
    <t>* kernel-uek on Oracle Linux_x000D_
      Upgrade kernel-uek_x000D_
_x000D_
       Update kernel-uek using yum or up2date. Please note that customers with support can use the  Unbreakable Linux Network (ULN) (https://linux.oracle.com) , and customers without support can use the  publicly available Oracle Linux yum repositories (http://public-yum.oracle.com) . _x000D_
_x000D_
_x000D_
 * kernel-uek-container on Oracle Linux_x000D_
      Upgrade kernel-uek-container_x000D_
_x000D_
       Update kernel-uek-container using yum or up2date. Please note that customers with support can use the  Unbreakable Linux Network (ULN) (https://linux.oracle.com) , and customers without support can use the  publicly available Oracle Linux yum repositories (http://public-yum.oracle.com) . _x000D_
_x000D_
_x000D_
 * kernel-uek-debug on Oracle Linux_x000D_
      Upgrade kernel-uek-debug_x000D_
_x000D_
       Update kernel-uek-debug using yum or up2date. Please note that customers with support can use the  Unbreakable Linux Network (ULN) (https://linux.oracle.com) , and customers without support can use the  publicly available Oracle Linux yum repositories (http://public-yum.oracle.com) . _x000D_
_x000D_
_x000D_
 * kernel-uek-debug-devel on Oracle Linux_x000D_
      Upgrade kernel-uek-debug-devel_x000D_
_x000D_
       Update kernel-uek-debug-devel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kernel-uek-devel on Oracle Linux_x000D_
      Upgrade kernel-uek-devel_x000D_
_x000D_
       Update kernel-uek-devel using yum or up2date. Please note that customers with support can use the  Unbreakable Linux Network (ULN) (https://linux.oracle.com) , and customers without support can use the  publicly available Oracle Linux yum repositories (http://public-yum.oracle.com) . _x000D_
_x000D_
_x000D_
 * kernel-uek-doc on Oracle Linux_x000D_
      Upgrade kernel-uek-doc_x000D_
_x000D_
       Update kernel-uek-doc using yum or up2date. Please note that customers with support can use the  Unbreakable Linux Network (ULN) (https://linux.oracle.com) , and customers without support can use the  publicly available Oracle Linux yum repositories (http://public-yum.oracle.com) . _x000D_
_x000D_
_x000D_
 * kernel-uek-firmware on Oracle Linux_x000D_
      Upgrade kernel-uek-firmware_x000D_
_x000D_
       Update kernel-uek-firmware using yum or up2date. Please note that customers with support can use the  Unbreakable Linux Network (ULN) (https://linux.oracle.com) , and customers without support can use the  publicly available Oracle Linux yum repositories (http://public-yum.oracle.com) . _x000D_
_x000D_
_x000D_
 * kernel-uek-headers on Oracle Linux_x000D_
      Upgrade kernel-uek-headers_x000D_
_x000D_
       Update kernel-uek-headers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 on Oracle Linux_x000D_
      Upgrade kernel-uek-tools_x000D_
_x000D_
       Update kernel-uek-tools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 on Oracle Linux_x000D_
      Upgrade kernel-uek-tools-libs_x000D_
_x000D_
       Update kernel-uek-tools-libs using yum or up2date. Please note that customers with support can use the  Unbreakable Linux Network (ULN) (https://linux.oracle.com) , and customers without support can use the  publicly available Oracle Linux yum repositories (http://public-yum.oracle.com) . _x000D_
_x000D_
_x000D_
 * kernel-uek-tools-libs-devel on Oracle Linux_x000D_
      Upgrade kernel-uek-tools-libs-devel_x000D_
_x000D_
       Update kernel-uek-tools-libs-devel using yum or up2date. Please note that customers with support can use the  Unbreakable Linux Network (ULN) (https://linux.oracle.com) , and customers without support can use the  publicly available Oracle Linux yum repositories (http://public-yum.oracle.com) . _x000D_
_x000D_
_x000D_
 * microcode_ctl on Oracle Linux_x000D_
      Upgrade microcode_ctl_x000D_
_x000D_
       Update microcode_ctl using yum or up2date. Please note that customers with support can use the  Unbreakable Linux Network (ULN) (https://linux.oracle.com) , and customers without support can use the  publicly available Oracle Linux yum repositories (http://public-yum.oracle.com) . _x000D_
_x000D_
_x000D_
 * perf on Oracle Linux_x000D_
      Upgrade perf_x000D_
_x000D_
       Update perf using yum or up2date. Please note that customers with support can use the  Unbreakable Linux Network (ULN) (https://linux.oracle.com) , and customers without support can use the  publicly available Oracle Linux yum repositories (http://public-yum.oracle.com) . _x000D_
_x000D_
_x000D_
 * python-perf on Oracle Linux_x000D_
      Upgrade python-perf_x000D_
_x000D_
       Update python-perf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</si>
  <si>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Vulnerable software installed: Linux kernel-uek 4.1.12-94.3.9.el7uek_x000D_
_x000D_
 * Required patch [CVE-2020-8695] is not installed, no patches discovered._x000D_
_x000D_
_x000D_
 * _x000D_
      kernel-uek-firmware - version 4.1.12-94.3.9.el7uek is installed</t>
  </si>
  <si>
    <t>CVE-2020-8695</t>
  </si>
  <si>
    <t>http://nvd.nist.gov/vuln/detail/CVE-2020-8695</t>
  </si>
  <si>
    <t>oracle_linux-cve-2020-8696</t>
  </si>
  <si>
    <t>Oracle Linux: (CVE-2020-8696) (Multiple Advisories): microcode_ctl security, bug fix and enhancement update</t>
  </si>
  <si>
    <t>Improper removal of sensitive information before storage or transfer in some Intel(R) Processors may allow an authenticated user to potentially enable information disclosure via local access.</t>
  </si>
  <si>
    <t>microcode_ctl on Oracle Linux_x000D_
_x000D_
Upgrade microcode_ctl_x000D_
_x000D_
 Update microcode_ctl using yum or up2date. Please note that customers with support can use the  Unbreakable Linux Network (ULN) (https://linux.oracle.com) , and customers without support can use the  publicly available Oracle Linux yum repositories (http://public-yum.oracle.com) .</t>
  </si>
  <si>
    <t>Vulnerable OS: Oracle Linux 7.9_x000D_
_x000D_
_x000D_
_x000D_
 * _x000D_
      microcode_ctl - version 2:2.1-73.0.1.el7 is installed</t>
  </si>
  <si>
    <t>CVE-2020-8696</t>
  </si>
  <si>
    <t>http://nvd.nist.gov/vuln/detail/CVE-2020-8696</t>
  </si>
  <si>
    <t>oracle_linux-cve-2020-8698</t>
  </si>
  <si>
    <t>Oracle Linux: (CVE-2020-8698) (Multiple Advisories): microcode_ctl security, bug fix and enhancement update</t>
  </si>
  <si>
    <t>Improper isolation of shared resources in some Intel(R) Processors may allow an authenticated user to potentially enable information disclosure via local access.</t>
  </si>
  <si>
    <t>CVE-2020-8698</t>
  </si>
  <si>
    <t>http://nvd.nist.gov/vuln/detail/CVE-2020-8698</t>
  </si>
  <si>
    <t>oracle_linux-cve-2020-9383</t>
  </si>
  <si>
    <t>Oracle Linux: (CVE-2020-9383) (Multiple Advisories): kernel security, bug fix, and enhancement update</t>
  </si>
  <si>
    <t>An issue was discovered in the Linux kernel through 5.5.6. set_fdc in drivers/block/floppy.c leads to a wait_til_ready out-of-bounds read because the FDC index is not checked for errors before assigning it, aka CID-2e90ca68b0d2.</t>
  </si>
  <si>
    <t>Vulnerable OS: Oracle Linux 7.9_x000D_
_x000D_
_x000D_
Vulnerable software installed: Linux kernel-uek 4.1.12-94.3.9.el7uek_x000D_
_x000D_
 * Required patch [CVE-2020-9383] is not installed, no patches discovered._x000D_
_x000D_
_x000D_
 * _x000D_
      kernel-uek-firmware - version 4.1.12-94.3.9.el7uek is installed</t>
  </si>
  <si>
    <t>CVE-2020-9383</t>
  </si>
  <si>
    <t>http://nvd.nist.gov/vuln/detail/CVE-2020-9383</t>
  </si>
  <si>
    <t>oracle_linux-elsa-2018-4011</t>
  </si>
  <si>
    <t>Oracle Linux: ELSA-2018-4011: Unbreakable Enterprise kernel security update</t>
  </si>
  <si>
    <t>[4.1.12-112.14.11] - x86/pti/efi: broken conversion from efi to kernel page table (Pavel Tatashin) [Orabug: 27363926] [Orabug: 27352353] {CVE-2017-5754} - x86/spec: Always set IBRS to guest value on VMENTER and host on VMEXIT (redux) (Konrad Rzeszutek Wilk) [Orabug: 27369994] - x86/IBRS: Make sure we restore MSR_IA32_SPEC_CTRL to a valid value (Boris Ostrovsky) [Orabug: 27362581] - x86/IBRS/IBPB: Set sysctl_ibrs/ibpb_enabled properly (Boris Ostrovsky) [Orabug: 27363792] - x86/spec_ctrl: Add missing 'lfence' when IBRS is not supported. (Konrad Rzeszutek Wilk) [Orabug: 27339995] {CVE-2017-5715} - x86/entry_64: TRACE_IRQS_OFF before re-enabling. (Jamie Iles) [Orabug: 27339995] {CVE-2017-5715} - ptrace: remove unlocked RCU dereference. (Jamie Iles) [Orabug: 27339995] {CVE-2017-5715} - x86/ia32: Adds code hygiene for 32bit SYSCALL instruction entry. (Konrad Rzeszutek Wilk) [Orabug: 27339995] {CVE-2017-5715} - x86/ia32: don't save registers on audit call (Konrad Rzeszutek Wilk) [Orabug: 27339995] {CVE-2017-5715} - x86/spec/ia32: Sprinkle IBRS and RSB at the 32-bit SYSCALL (Konrad Rzeszutek Wilk) [Orabug: 27339995] {CVE-2017-5715} - x86/ia32: Move STUFF_RSB And ENABLE_IBRS (Konrad Rzeszutek Wilk) [Orabug: 27339995] {CVE-2017-5715} - x86/spec: Always set IBRS to guest value on VMENTER and host on VMEXIT. (Konrad Rzeszutek Wilk) [Orabug: 27365544] {CVE-2017-5715}</t>
  </si>
  <si>
    <t>Vulnerable OS: Oracle Linux 7.9_x000D_
_x000D_
_x000D_
Vulnerable software installed: Linux kernel-uek 4.1.12-94.3.9.el7uek_x000D_
_x000D_
 * Required patch [ELSA-2018-4011] is not installed, no patches discovered._x000D_
_x000D_
_x000D_
 * _x000D_
      kernel-uek-firmware - version 4.1.12-94.3.9.el7uek is installed</t>
  </si>
  <si>
    <t>oracle_linux-elsa-2018-4012</t>
  </si>
  <si>
    <t>Oracle Linux: ELSA-2018-4012: Unbreakable Enterprise kernel security update</t>
  </si>
  <si>
    <t>kernel-uek [4.1.12-94.7.8] - x86/pti/efi: broken conversion from efi to kernel page table (Pavel Tatashin) [Orabug: 27378087] [Orabug: 27352353] {CVE-2017-5754} - x86/spec: Always set IBRS to guest value on VMENTER and host on VMEXIT (redux) (Konrad Rzeszutek Wilk) [Orabug: 27378074] - x86/IBRS: Make sure we restore MSR_IA32_SPEC_CTRL to a valid value (Boris Ostrovsky) [Orabug: 27378063] - x86/IBRS/IBPB: Set sysctl_ibrs/ibpb_enabled properly (Boris Ostrovsky) [Orabug: 27378035] - x86/spec_ctrl: Add missing 'lfence' when IBRS is not supported. (Konrad Rzeszutek Wilk) [Orabug: 27345388] {CVE-2017-5715} - x86/entry_64: TRACE_IRQS_OFF before re-enabling. (Jamie Iles) [Orabug: 27345388] {CVE-2017-5715} - ptrace: remove unlocked RCU dereference. (Jamie Iles) [Orabug: 27345388] {CVE-2017-5715} - x86/ia32: Adds code hygiene for 32bit SYSCALL instruction entry. (Konrad Rzeszutek Wilk) [Orabug: 27345388] {CVE-2017-5715} - x86/ia32: dont save registers on audit call (Konrad Rzeszutek Wilk) [Orabug: 27345388] {CVE-2017-5715} - x86/spec/ia32: Sprinkle IBRS and RSB at the 32-bit SYSCALL (Konrad Rzeszutek Wilk) [Orabug: 27345388] {CVE-2017-5715} - x86/ia32: Move STUFF_RSB And ENABLE_IBRS (Konrad Rzeszutek Wilk) [Orabug: 27345388] {CVE-2017-5715} [4.1.12-94.7.7] - x86/spec: Always set IBRS to guest value on VMENTER and host on VMEXIT. (Konrad Rzeszutek Wilk) [Orabug: 27365568] {CVE-2017-5715} - x86/ia32: save and clear registers on syscall. (Jamie Iles) [Orabug: 27364707] {CVE-2017-5754} - x86/IBRS: Save current status of MSR_IA32_SPEC_CTRL (Boris Ostrovsky) [Orabug: 27364720] - pti: Rename X86_FEATURE_KAISER to X86_FEATURE_PTI (Pavel Tatashin) [Orabug: 27358615] {CVE-2017-5754} - x86/spec_ctrl: Add missing IBRS_DISABLE (Konrad Rzeszutek Wilk) - Make use of ibrs_inuse consistent. (Jun Nakajima) - x86/kvm: Set IBRS on VMEXIT if guest disabled it. (Konrad Rzeszutek Wilk) - Re-introduce clearing of r12-15, rbp, rbx (Kris Van Hees) [Orabug: 27345388] {CVE-2017-5715} - x86: more ibrs/pti fixes (Pavel Tatashin) [Orabug: 27358615] {CVE-2017-5754} - x86/spec: Actually do the check for in_use on ENABLE_IBRS (Konrad Rzeszutek Wilk) {CVE-2017-5715} - kvm: svm: Expose the CPUID.0x80000008 ebx flag. (Konrad Rzeszutek Wilk) {CVE-2017-5715} - x86/spec_ctrl: Provide the sysfs version of the ibrs_enabled (Konrad Rzeszutek Wilk) {CVE-2017-5715} - x86: Use better #define for FEATURE_ENABLE_IBRS and 0 (Konrad Rzeszutek Wilk) {CVE-2017-5715} - x86: Instead of 0x2, 0x4, and 0x1 use #defines. (Konrad Rzeszutek Wilk) {CVE-2017-5715} - kpti: Disable when running under Xen PV (Konrad Rzeszutek Wilk) [Orabug: 27358615] {CVE-2017-5754} - x86: Dont ENABLE_IBRS in nmi when we are still running on user cr3 (Konrad Rzeszutek Wilk) {CVE-2017-5715} - x86/enter: Use IBRS on syscall and interrupts - fix ia32 path (Konrad Rzeszutek Wilk) {CVE-2017-5715} - x86: Fix spectre/kpti integration (Konrad Rzeszutek Wilk) [Orabug: 27358615] {CVE-2017-5754} - PTI: unbreak EFI old_memmap (Jiri Kosina) [Orabug: 27358615] {CVE-2017-5754} - KAISER KABI tweaks. (Martin K. Petersen) [Orabug: 27358615] {CVE-2017-5754} - x86/ldt: fix crash in ldt freeing. (Jamie Iles) [Orabug: 27358615] {CVE-2017-5754} - x86/entry: Define 'cpu_current_top_of_stack' for 64-bit code (Denys Vlasenko) [Orabug: 27358615] {CVE-2017-5754} - x86/entry: Remove unused 'kernel_stack' per-cpu variable (Denys Vlasenko) [Orabug: 27358615] {CVE-2017-5754} - x86/entry: Stop using PER_CPU_VAR(kernel_stack) (Denys Vlasenko) [Orabug: 27358615] {CVE-2017-5754} - kaiser: Set _PAGE_NX only if supported (Guenter Roeck) [Orabug: 27358615] {CVE-2017-5754} - x86/vdso: Get pvclock data from the vvar VMA instead of the fixmap (Andy Lutomirski) [Orabug: 27358615] {CVE-2017-5754} - KPTI: Report when enabled (Kees Cook) [Orabug: 27358615] {CVE-2017-5754} - KPTI: Rename to PAGE_TABLE_ISOLATION (Kees Cook) [Orabug: 27358615] {CVE-2017-5754} - x86/kaiser: Move feature detection up (Borislav Petkov) [Orabug: 27358615] {CVE-2017-5754} - x86/kaiser: Reenable PARAVIRT (Borislav Petkov) [Orabug: 27358615] {CVE-2017-5754} - x86/paravirt: Dont patch flush_tlb_single (Thomas Gleixner) [Orabug: 27358615] {CVE-2017-5754} - kaiser: kaiser_flush_tlb_on_return_to_user() check PCID (Hugh Dickins) [Orabug: 27358615] {CVE-2017-5754} - kaiser: asm/tlbflush.h handle noPGE at lower level (Hugh Dickins) [Orabug: 27358615] {CVE-2017-5754} - kaiser: drop is_atomic arg to kaiser_pagetable_walk() (Hugh Dickins) [Orabug: 27358615] {CVE-2017-5754} - kaiser: use ALTERNATIVE instead of x86_cr3_pcid_noflush (Hugh Dickins) [Orabug: 27358615] {CVE-2017-5754} - x86/kaiser: Check boottime cmdline params (Borislav Petkov) [Orabug: 27358615] {CVE-2017-5754} - x86/kaiser: Rename and simplify X86_FEATURE_KAISER handling (Borislav Petkov) [Orabug: 27358615] {CVE-2017-5754} - kaiser: add 'nokaiser' boot option, using ALTERNATIVE (Hugh Dickins) [Orabug: 27358615] {CVE-2017-5754} - kaiser: fix unlikely error in alloc_ldt_struct() (Hugh Dickins) [Orabug: 27358615] {CVE-2017-5754} - kaiser: _pgd_alloc() without __GFP_REPEAT to avoid stalls (Hugh Dickins) [Orabug: 27358615] {CVE-2017-5754} - kaiser: paranoid_entry pass cr3 need to paranoid_exit (Hugh Dickins) [Orabug: 27358615] {CVE-2017-5754} - kaiser: x86_cr3_pcid_noflush and x86_cr3_pcid_user (Hugh Dickins) [Orabug: 27358615] {CVE-2017-5754} - kaiser: PCID 0 for kernel and 128 for user (Hugh Dickins) [Orabug: 27358615] {CVE-2017-5754} - kaiser: load_new_mm_cr3() let SWITCH_USER_CR3 flush user (Hugh Dickins) [Orabug: 27358615] {CVE-2017-5754} - kaiser: enhanced by kernel and user PCIDs (Dave Hansen) [Orabug: 27358615] {CVE-2017-5754} - kaiser: vmstat show NR_KAISERTABLE as nr_overhead (Hugh Dickins) [Orabug: 27358615] {CVE-2017-5754} - kaiser: delete KAISER_REAL_SWITCH option (Hugh Dickins) [Orabug: 27358615] {CVE-2017-5754} - kaiser: name that 0x1000 KAISER_SHADOW_PGD_OFFSET (Hugh Dickins) [Orabug: 27358615] {CVE-2017-5754} - kaiser: cleanups while trying for gold link (Hugh Dickins) [Orabug: 27358615] {CVE-2017-5754} - kaiser: kaiser_remove_mapping() move along the pgd (Hugh Dickins) [Orabug: 27358615] {CVE-2017-5754} - kaiser: tidied up kaiser_add/remove_mapping slightly (Hugh Dickins) [Orabug: 27358615] {CVE-2017-5754} - kaiser: tidied up asm/kaiser.h somewhat (Hugh Dickins) [Orabug: 27358615] {CVE-2017-5754} - kaiser: ENOMEM if kaiser_pagetable_walk() NULL (Hugh Dickins) [Orabug: 27358615] {CVE-2017-5754} - kaiser: fix perf crashes (Hugh Dickins) [Orabug: 27358615] {CVE-2017-5754} - kaiser: fix regs to do_nmi() ifndef CONFIG_KAISER (Hugh Dickins) [Orabug: 27358615] {CVE-2017-5754} - kaiser: KAISER depends on SMP (Hugh Dickins) [Orabug: 27358615] {CVE-2017-5754} - kaiser: fix build and FIXME in alloc_ldt_struct() (Hugh Dickins) [Orabug: 27358615] {CVE-2017-5754} - kaiser: stack map PAGE_SIZE at THREAD_SIZE-PAGE_SIZE (Hugh Dickins) [Orabug: 27358615] {CVE-2017-5754} - kaiser: do not set _PAGE_NX on pgd_none (Hugh Dickins) [Orabug: 27358615] {CVE-2017-5754} - kaiser: merged update (Dave Hansen) [Orabug: 27358615] {CVE-2017-5754} - KAISER: Kernel Address Isolation (Richard Fellner) [Orabug: 27358615] {CVE-2017-5754} - x86/boot: Add early cmdline parsing for options with arguments (Tom Lendacky) [Orabug: 27358615] {CVE-2017-5754} - x86/mm/64: Fix reboot interaction with CR4.PCIDE (Andy Lutomirski) [Orabug: 27358615] {CVE-2017-5754} - x86/mm: Enable CR4.PCIDE on supported systems (Andy Lutomirski) [Orabug: 27358615] {CVE-2017-5754} - x86/mm: Add the 'nopcid' boot option to turn off PCID (Andy Lutomirski) [Orabug: 27358615] {CVE-2017-5754} - x86/mm: Disable PCID on 32-bit kernels (Andy Lutomirski) [Orabug: 27358615] {CVE-2017-5754} - x86/mm: Remove the UP asm/tlbflush.h code, always use the (formerly) SMP code (Andy Lutomirski) [Orabug: 27358615] {CVE-2017-5754} - x86/mm: Reimplement flush_tlb_page() using flush_tlb_mm_range() (Andy Lutomirski) [Orabug: 27358615] {CVE-2017-5754} - x86/mm: Make flush_tlb_mm_range() more predictable (Andy Lutomirski) [Orabug: 27358615] {CVE-2017-5754} - x86/mm: Remove flush_tlb() and flush_tlb_current_task() (Andy Lutomirski) [Orabug: 27358615] {CVE-2017-5754} - x86/vm86/32: Switch to flush_tlb_mm_range() in mark_screen_rdonly() (Andy Lutomirski) [Orabug: 27358615] {CVE-2017-5754} - x86/irq: Do not substract irq_tlb_count from irq_call_count (Aaron Lu) [Orabug: 27358615] {CVE-2017-5754} - sched/core: Idle_task_exit() shouldnt use switch_mm_irqs_off() (Andy Lutomirski) [Orabug: 27358615] {CVE-2017-5754} - ARM: Hide finish_arch_post_lock_switch() from modules (Steven Rostedt) [Orabug: 27358615] {CVE-2017-5754} - x86/mm, sched/core: Turn off IRQs in switch_mm() (Andy Lutomirski) [Orabug: 27358615] {CVE-2017-5754} - x86/mm, sched/core: Uninline switch_mm() (Andy Lutomirski) [Orabug: 27358615] {CVE-2017-5754} - x86/mm: Build arch/x86/mm/tlb.c even on !SMP (Andy Lutomirski) [Orabug: 27358615] {CVE-2017-5754} - sched/core: Add switch_mm_irqs_off() and use it in the scheduler (Andy Lutomirski) [Orabug: 27358615] {CVE-2017-5754} - mm/mmu_context, sched/core: Fix mmu_context.h assumption (Ingo Molnar) [Orabug: 27358615] {CVE-2017-5754} - x86/mm: If INVPCID is available, use it to flush global mappings (Andy Lutomirski) [Orabug: 27358615] {CVE-2017-5754} - x86/mm: Add a 'noinvpcid' boot option to turn off INVPCID (Andy Lutomirski) [Orabug: 27358615] {CVE-2017-5754} - x86/mm: Fix INVPCID asm constraint (Borislav Petkov) [Orabug: 27358615] {CVE-2017-5754} - x86/mm: Add INVPCID helpers (Andy Lutomirski) [Orabug: 27358615] {CVE-2017-5754} [4.1.12-94.7.6] - x86/ibrs: Remove 'ibrs_dump' and remove the pr_debug (Konrad Rzeszutek Wilk) [Orabug: 27351275] - kABI: Revert kABI: Make the boot_cpu_data look normal (Konrad Rzeszutek Wilk) {CVE-2017-5715} [4.1.12-94.7.5] - userns: prevent speculative execution (Elena Reshetova) [Orabug: 27345402] {CVE-2017-5753} - udf: prevent speculative execution (Elena Reshetova) [Orabug: 27345402] {CVE-2017-5753} - net: mpls: prevent speculative execution (Elena Reshetova) [Orabug: 27345402] {CVE-2017-5753} - fs: prevent speculative execution (Elena Reshetova) [Orabug: 27345402] {CVE-2017-5753} - ipv6: prevent speculative execution (Elena Reshetova) [Orabug: 27345402] {CVE-2017-5753} - ipv4: prevent speculative execution (Elena Reshetova) [Orabug: 27345402] {CVE-2017-5753} - Thermal/int340x: prevent speculative execution (Elena Reshetova) [Orabug: 27345402] {CVE-2017-5753} - cw1200: prevent speculative execution (Elena Reshetova) [Orabug: 27345402] {CVE-2017-5753} - qla2xxx: prevent speculative execution (Elena Reshetova) [Orabug: 27345402] {CVE-2017-5753} - p54: prevent speculative execution (Elena Reshetova) [Orabug: 27345402] {CVE-2017-5753} - carl9170: prevent speculative execution (Elena Reshetova) [Orabug: 27345402] {CVE-2017-5753} - uvcvideo: prevent speculative execution (Elena Reshetova) [Orabug: 27345402] {CVE-2017-5753} - bpf: prevent speculative execution in eBPF interpreter (Elena Reshetova) [Orabug: 27345402] {CVE-2017-5753} - locking/barriers: introduce new observable speculation barrier (Elena Reshetova) [Orabug: 27345402] {CVE-2017-5753} - x86/cpu/AMD: Remove now unused definition of MFENCE_RDTSC feature (Elena Reshetova) [Orabug: 27345402] {CVE-2017-5753} - x86/cpu/AMD: Make the LFENCE instruction serialized (Elena Reshetova) [Orabug: 27345402] {CVE-2017-5753} - kABI: Make the boot_cpu_data look normal. (Konrad Rzeszutek Wilk) [Orabug: 27345388] {CVE-2017-5715} - kernel.spec: Require the new microcode_ctl. (Konrad Rzeszutek Wilk) [Orabug: 27345388] {CVE-2017-5715} {CVE-2017-5715} - x86/microcode/AMD: Add support for fam17h microcode loading (Tom Lendacky) [Orabug: 27345388] {CVE-2017-5715} - x86/spec_ctrl: Disable if running as Xen PV guest. (Konrad Rzeszutek Wilk) [Orabug: 27345388] {CVE-2017-5715} - Set IBPB when running a different VCPU (Dave Hansen) [Orabug: 27345388] {CVE-2017-5715} - Clear the host registers after setbe (Jun Nakajima) [Orabug: 27345388] {CVE-2017-5715} - Use the ibpb_inuse variable. (Jun Nakajima) [Orabug: 27345388] {CVE-2017-5715} - KVM: x86: add SPEC_CTRL to MSR and CPUID lists (Andrea Arcangeli) [Orabug: 27345388] {CVE-2017-5715} - kvm: vmx: add MSR_IA32_SPEC_CTRL and MSR_IA32_PRED_CMD (Paolo Bonzini) [Orabug: 27345388] {CVE-2017-5715} - Use the 'ibrs_inuse' variable. (Jun Nakajima) [Orabug: 27345388] {CVE-2017-5715} - kvm: svm: add MSR_IA32_SPEC_CTRL and MSR_IA32_PRED_CMD (Andrea Arcangeli) [Orabug: 27345388] {CVE-2017-5715} - x86/svm: Set IBPB when running a different VCPU (Paolo Bonzini) [Orabug: 27345388] {CVE-2017-5715} - x86/kvm: Pad RSB on VM transition (Tim Chen) [Orabug: 27345388] {CVE-2017-5715} - x86/cpu/AMD: Add speculative control support for AMD (Tom Lendacky) [Orabug: 27345388] {CVE-2017-5715} - x86/microcode: Recheck IBRS and IBPB feature on microcode reload (Tim Chen) [Orabug: 27345388] {CVE-2017-5715} - x86: Move IBRS/IBPB feature detection to scattered.c (Tim Chen) [Orabug: 27345388] {CVE-2017-5715} - x86/spec_ctrl: Add lock to serialize changes to ibrs and ibpb control (Tim Chen) [Orabug: 27345388] {CVE-2017-5715} - x86/spec_ctrl: Add sysctl knobs to enable/disable SPEC_CTRL feature (Konrad Rzeszutek Wilk) [Orabug: 27345388] {CVE-2017-5715} - x86/kvm: clear registers on VM exit (Tom Lendacky) [Orabug: 27345388] {CVE-2017-5715} - x86/kvm: Set IBPB when switching VM (Tim Chen) [Orabug: 27345388] {CVE-2017-5715} - *INCOMPLETE* x86/syscall: Clear unused extra registers on syscall entrance (Konrad Rzeszutek Wilk) [Orabug: 27345388] {CVE-2017-5715} - x86/entry: Stuff RSB for entry to kernel for non-SMEP platform (Konrad Rzeszutek Wilk) [Orabug: 27345388] {CVE-2017-5715} - x86/mm: Only set IBPB when the new thread cannot ptrace current thread (Konrad Rzeszutek Wilk) [Orabug: 27345388] {CVE-2017-5715} - x86/mm: Set IBPB upon context switch (Tim Chen) [Orabug: 27345388] {CVE-2017-5715} - x86/idle: Disable IBRS when offlining cpu and re-enable on wakeup (Tim Chen) [Orabug: 27345388] {CVE-2017-5715} - x86/idle: Disable IBRS entering idle and enable it on wakeup (Tim Chen) [Orabug: 27345388] {CVE-2017-5715} - x86/spec_ctrl: save IBRS MSR value in paranoid_entry (Andrea Arcangeli) [Orabug: 27345388] {CVE-2017-5715} - *Scaffolding* x86/spec_ctrl: Add sysctl knobs to enable/disable SPEC_CTRL feature (Tim Chen) [Orabug: 27345388] {CVE-2017-5715} - x86/enter: Use IBRS on syscall and interrupts (Tim Chen) [Orabug: 27345388] {CVE-2017-5715} - x86: Add macro that does not save rax, rcx, rdx on stack to disable IBRS (Tim Chen) [Orabug: 27345388] {CVE-2017-5715} - x86/enter: MACROS to set/clear IBRS and set IBP (Tim Chen) [Orabug: 27345388] {CVE-2017-5715} - x86/feature: Report presence of IBPB and IBRS control (Tim Chen) [Orabug: 27345388] {CVE-2017-5715} - x86: Add STIBP feature enumeration (Konrad Rzeszutek Wilk) [Orabug: 27345388] {CVE-2017-5715} - x86/cpufeature: Add X86_FEATURE_IA32_ARCH_CAPS and X86_FEATURE_IBRS_ATT (Konrad Rzeszutek Wilk) [Orabug: 27345388] {CVE-2017-5715} - x86/feature: Enable the x86 feature to control (Tim Chen) [Orabug: 27345388] {CVE-2017-5715} [4.1.12-94.7.4] - KVM: nVMX: Fix loss of L2s NMI blocking state (Wanpeng Li) [Orabug: 27062526] - KVM: nVMX: track NMI blocking state separately for each VMCS (Paolo Bonzini) [Orabug: 27062526] - KVM: VMX: require virtual NMI support (Paolo Bonzini) [Orabug: 27062526] - KVM: nVMX: Fix the NMI IDT-vectoring handling (Wanpeng Li) [Orabug: 27062526] - netlink: allow to listen 'all' netns (Nicolas Dichtel) [Orabug: 27098332] - netlink: rename private flags and states (Nicolas Dichtel) [Orabug: 27098332] - netns: use a spin_lock to protect nsid management (Nicolas Dichtel) [Orabug: 27098332] - netns: notify new nsid outside __peernet2id() (Nicolas Dichtel) [Orabug: 27098332] - netns: rename peernet2id() to peernet2id_alloc() (Nicolas Dichtel) [Orabug: 27098332] - netns: always provide the id to rtnl_net_fill() (Nicolas Dichtel) [Orabug: 27098332] - netns: returns always an id in __peernet2id() (Nicolas Dichtel) [Orabug: 27098332]</t>
  </si>
  <si>
    <t>Vulnerable OS: Oracle Linux 7.9_x000D_
_x000D_
_x000D_
Vulnerable software installed: Linux kernel-uek 4.1.12-94.3.9.el7uek_x000D_
_x000D_
 * Required patch [ELSA-2018-4012] is not installed, no patches discovered._x000D_
_x000D_
_x000D_
 * _x000D_
      kernel-uek-firmware - version 4.1.12-94.3.9.el7uek is installed</t>
  </si>
  <si>
    <t>unix-anonymous-root-logins</t>
  </si>
  <si>
    <t>Anonymous root login is allowed</t>
  </si>
  <si>
    <t>Anonymous root logins should only be allowed from system console. /etc/securetty allows you to specify on which tty's and virtual consoles root is allowed to login. The tty and vc's listed in this file will allow root to login on certain tty's and VC's. On other tty or vc's root user will not be allowed and user has to "su" to become root.</t>
  </si>
  <si>
    <t>Edit '/etc/securetty' entries_x000D_
_x000D_
_x000D_
Remove all the entries in /etc/securetty except console, tty[0-9]* and vc\[0-9]* _x000D_
_x000D_
Note: ssh does not use /etc/securetty. To disable root login through ssh, use the "PermitRootLogin" setting in /etc/ssh/sshd_config and restart the ssh daemon.</t>
  </si>
  <si>
    <t>Following entries in /etc/securetty  may allow anonymous root logins: _x000D_
 * ttyS0_x000D_
_x000D_
 * ttysclp0_x000D_
_x000D_
 * sclp_line0_x000D_
_x000D_
 * 3270/tty1_x000D_
_x000D_
 * hvc0_x000D_
_x000D_
 * hvc1_x000D_
_x000D_
 * hvc2_x000D_
_x000D_
 * hvc3_x000D_
_x000D_
 * hvc4_x000D_
_x000D_
 * hvc5_x000D_
_x000D_
 * hvc6_x000D_
_x000D_
 * hvc7_x000D_
_x000D_
 * hvsi0_x000D_
_x000D_
 * hvsi1_x000D_
_x000D_
 * hvsi2_x000D_
_x000D_
 * xvc0</t>
  </si>
  <si>
    <t>unix-partition-mounting-weakness</t>
  </si>
  <si>
    <t>Partition Mounting Weakness</t>
  </si>
  <si>
    <t>One or more of the system's partitions are mounted without certain hardening options enabled. While this is not a definite vulnerability on its own, system security may be improved by employing hardening techniques.</t>
  </si>
  <si>
    <t>Partition Mounting Weakness_x000D_
_x000D_
_x000D_
The specific way to modify the partition mount options varies from system to system. Consult your operating system's manual or mount man page.</t>
  </si>
  <si>
    <t>The following issues were discovered: /sftp partition does not have 'nodev' option set. /home partition does not have 'nosuid' option set. /home partition does not have 'nodev' option set. /var partition does not have 'nosuid' option set. /var partition does not have 'noexec' option set. /var partition does not have 'nodev' option set. /var/log partition does not have 'nodev' option set. /var/log/audit partition does not have 'nodev' option set. /boot partition does not have 'nodev' option set.</t>
  </si>
  <si>
    <t>unix-umask-unsafe</t>
  </si>
  <si>
    <t>User umask value is unsafe</t>
  </si>
  <si>
    <t>The umask value for the account used to scan this device was found to be unsafe. The umask value determines the file permission for newly created files. It specifies the permissions which should not be given by default to the newly created file. Although the default value of umask in most unix systems is 022, it is a common practice to set it to 077 to be safe.</t>
  </si>
  <si>
    <t>Reset umask value_x000D_
_x000D_
_x000D_
 To ensure complete access control over newly created files, set the umask value to 077 for root and other user accounts for both interactive and non-interactive processes. The umask value for interactive processes is typically set via PAM. See 'man 8 pam_umask'. For non-interactive processes, /etc/login.defs is a common location for controlling umask on Linux systems. In both cases, you may need to consult your operating system's documentation for the correct file(s) and settings. For Red Hat Enterprise Linux and derivative distributions the umask value is set in /etc/profile and /etc/bashrc shell configuration files. See the  Red Hat manual (https://access.redhat.com/documentation/en-US/Red_Hat_Enterprise_Linux/7/html/System_Administrators_Guide/s1-users-tools.html#s2-setting-default-permissions-for-new-files-using-umask)  for more details.</t>
  </si>
  <si>
    <t>The umask value was found to be 0022 but was expected to be 0077</t>
  </si>
  <si>
    <t>unix-unowned-files-or-dirs</t>
  </si>
  <si>
    <t>Files or directories with no real owner or group</t>
  </si>
  <si>
    <t>One or more files or directories without a real owner or group were found on the system. Files and directories have an owner id and group id associated with them. It is possible for a file's owner id or group id to NOT correspond to a real user (in /etc/passwd) or real group (in /etc/group). This can happen when files are owned by users or groups that have been deleted. It can also happen when .tar files from other systems are extracted with certain options. The danger of having a file or directory owned by a non-existent user or group id is that someday, that user or group id could be assigned to a newly created user or group, members of which would be automatically able to access the file.</t>
  </si>
  <si>
    <t>Delete the file or assign to owner_x000D_
_x000D_
_x000D_
For each un-owned file or directory on the system, either delete it or "chown" it to a real user and/or group. You can use the following command to find unowned files or directories:_x000D_
_x000D_
find / -nouser -o -nogroup</t>
  </si>
  <si>
    <t>The following un-owned files were found._x000D_
 * 2019 /home/nourdine/.bash_history (-rw-------)_x000D_
_x000D_
 * /home/nourdine/.bash_logout (-rw-r--r--)_x000D_
_x000D_
 * /home/nourdine/.bash_profile (-rw-r--r--)_x000D_
_x000D_
 * /home/nourdine/.bashrc (-rw-r--r--)_x000D_
_x000D_
 * 2019 /home/nourdine/.cache/abrt/lastnotification (-rw-------)_x000D_
_x000D_
 * 2018 /home/nourdine/Ocsinventory-Unix-Agent-2.4.2/AUTHORS (-rwxrwxr-x)_x000D_
_x000D_
 * 2017 /home/nourdine/Ocsinventory-Unix-Agent-2.4.2/etc/cron.d/ocsinventory-agent (-rwxrwxr-x)_x000D_
_x000D_
 * 2017 /home/nourdine/Ocsinventory-Unix-Agent-2.4.2/etc/default/ocsinventory-agent (-rwxrwxr-x)_x000D_
_x000D_
 * 2017 /home/nourdine/Ocsinventory-Unix-Agent-2.4.2/etc/logrotate.d/ocsinventory-agent (-rwxrwxr-x)_x000D_
_x000D_
 * 2018 /home/nourdine/Ocsinventory-Unix-Agent-2.4.2/etc/ocsinventory-agent/modules.conf (-rwxrwxr-x)_x000D_
_x000D_
 * 2017 /home/nourdine/Ocsinventory-Unix-Agent-2.4.2/etc/ocsinventory-agent/softwares/example.sh (-rwxrwxr-x)_x000D_
_x000D_
 * 2017 /home/nourdine/Ocsinventory-Unix-Agent-2.4.2/inc/Module/Install/Include.pm (-rwxrwxr-x)_x000D_
_x000D_
 * 2017 /home/nourdine/Ocsinventory-Unix-Agent-2.4.2/inc/Module/Install/Scripts.pm (-rwxrwxr-x)_x000D_
_x000D_
 * 2017 /home/nourdine/Ocsinventory-Unix-Agent-2.4.2/lib/Ocsinventory/Agent/Backend/AccessLog.pm (-rwxrwxr-x)_x000D_
_x000D_
 * 2017 /home/nourdine/Ocsinventory-Unix-Agent-2.4.2/lib/Ocsinventory/Agent/Backend/DeviceID.pm (-rwxrwxr-x)_x000D_
_x000D_
 * 2017 /home/nourdine/Ocsinventory-Unix-Agent-2.4.2/lib/Ocsinventory/Agent/Backend/IpDiscover.pm (-rwxrwxr-x)_x000D_
_x000D_
 * 2017 /home/nourdine/Ocsinventory-Unix-Agent-2.4.2/lib/Ocsinventory/Agent/Backend/OS/AIX/Controller.pm (-rwxrwxr-x)_x000D_
_x000D_
 * 2017 /home/nourdine/Ocsinventory-Unix-Agent-2.4.2/lib/Ocsinventory/Agent/Backend/OS/AIX/Domains.pm (-rwxrwxr-x)_x000D_
_x000D_
 * 2017 /home/nourdine/Ocsinventory-Unix-Agent-2.4.2/lib/Ocsinventory/Agent/Backend/OS/AIX/IPv4.pm (-rwxrwxr-x)_x000D_
_x000D_
 * 2018 /home/nourdine/Ocsinventory-Unix-Agent-2.4.2/lib/Ocsinventory/Agent/Backend/OS/AIX/Mem.pm (-rwxrwxr-x)_x000D_
_x000D_
 * 2017 /home/nourdine/Ocsinventory-Unix-Agent-2.4.2/lib/Ocsinventory/Agent/Backend/OS/AIX/Modems.pm (-rwxrwxr-x)_x000D_
_x000D_
 * 2017 /home/nourdine/Ocsinventory-Unix-Agent-2.4.2/lib/Ocsinventory/Agent/Backend/OS/AIX.pm (-rwxrwxr-x)_x000D_
_x000D_
 * 2017 /home/nourdine/Ocsinventory-Unix-Agent-2.4.2/lib/Ocsinventory/Agent/Backend/OS/AIX/Software.pm (-rwxrwxr-x)_x000D_
_x000D_
 * 2017 /home/nourdine/Ocsinventory-Unix-Agent-2.4.2/lib/Ocsinventory/Agent/Backend/OS/AIX/Sounds.pm (-rwxrwxr-x)_x000D_
_x000D_
 * 2017 /home/nourdine/Ocsinventory-Unix-Agent-2.4.2/lib/Ocsinventory/Agent/Backend/OS/AIX/Users.pm (-rwxrwxr-x)_x000D_
_x000D_
 * 2017 /home/nourdine/Ocsinventory-Unix-Agent-2.4.2/lib/Ocsinventory/Agent/Backend/OS/AIX/Videos.pm (-rwxrwxr-x)_x000D_
_x000D_
 * 2018 /home/nourdine/Ocsinventory-Unix-Agent-2.4.2/lib/Ocsinventory/Agent/Backend/OS/BSD/Drives.pm (-rwxrwxr-x)_x000D_
_x000D_
 * 2017 /home/nourdine/Ocsinventory-Unix-Agent-2.4.2/lib/Ocsinventory/Agent/Backend/OS/BSD/IPv4.pm (-rwxrwxr-x)_x000D_
_x000D_
 * 2017 /home/nourdine/Ocsinventory-Unix-Agent-2.4.2/lib/Ocsinventory/Agent/Backend/OS/BSD/Mem.pm (-rwxrwxr-x)_x000D_
_x000D_
 * 2017 /home/nourdine/Ocsinventory-Unix-Agent-2.4.2/lib/Ocsinventory/Agent/Backend/OS/BSD/Sys.pm (-rwxrwxr-x)_x000D_
_x000D_
 * 2017 /home/nourdine/Ocsinventory-Unix-Agent-2.4.2/lib/Ocsinventory/Agent/Backend/OS/BSD/Uptime.pm (-rwxrwxr-x)_x000D_
_x000D_
 * 2017 /home/nourdine/Ocsinventory-Unix-Agent-2.4.2/lib/Ocsinventory/Agent/Backend/OS/Generic/Dmidecode.pm (-rwxrwxr-x)_x000D_
_x000D_
 * 2018 /home/nourdine/Ocsinventory-Unix-Agent-2.4.2/lib/Ocsinventory/Agent/Backend/OS/Generic/Dmidecode/UUID.pm (-rwxrwxr-x)_x000D_
_x000D_
 * 2017 /home/nourdine/Ocsinventory-Unix-Agent-2.4.2/lib/Ocsinventory/Agent/Backend/OS/Generic/Hostname.pm (-rwxrwxr-x)_x000D_
_x000D_
 * 2017 /home/nourdine/Ocsinventory-Unix-Agent-2.4.2/lib/Ocsinventory/Agent/Backend/OS/Generic/Lspci/Modems.pm (-rwxrwxr-x)_x000D_
_x000D_
 * 2017 /home/nourdine/Ocsinventory-Unix-Agent-2.4.2/lib/Ocsinventory/Agent/Backend/OS/Generic/Lspci.pm (-rwxrwxr-x)_x000D_
_x000D_
 * 2017 /home/nourdine/Ocsinventory-Unix-Agent-2.4.2/lib/Ocsinventory/Agent/Backend/OS/Generic/Lspci/Sounds.pm (-rwxrwxr-x)_x000D_
_x000D_
 * 2017 /home/nourdine/Ocsinventory-Unix-Agent-2.4.2/lib/Ocsinventory/Agent/Backend/OS/Generic/Lsusb.pm (-rwxrwxr-x)_x000D_
_x000D_
 * 2017 /home/nourdine/Ocsinventory-Unix-Agent-2.4.2/lib/Ocsinventory/Agent/Backend/OS/Generic/Packaging/Pacman.pm (-rwxrwxr-x)_x000D_
_x000D_
 * 2017 /home/nourdine/Ocsinventory-Unix-Agent-2.4.2/lib/Ocsinventory/Agent/Backend/OS/Generic/Packaging.pm (-rwxrwxr-x)_x000D_
_x000D_
 * 2017 /home/nourdine/Ocsinventory-Unix-Agent-2.4.2/lib/Ocsinventory/Agent/Backend/OS/Generic.pm (-rwxrwxr-x)_x000D_
_x000D_
 * 2018 /home/nourdine/Ocsinventory-Unix-Agent-2.4.2/lib/Ocsinventory/Agent/Backend/OS/Generic/Repository/Debian.pm (-rwxrwxr-x)_x000D_
_x000D_
 * 2018 /home/nourdine/Ocsinventory-Unix-Agent-2.4.2/lib/Ocsinventory/Agent/Backend/OS/Generic/Repository.pm (-rwxrwxr-x)_x000D_
_x000D_
 * 2017 /home/nourdine/Ocsinventory-Unix-Agent-2.4.2/lib/Ocsinventory/Agent/Backend/OS/Generic/Users.pm (-rwxrwxr-x)_x000D_
_x000D_
 * 2017 /home/nourdine/Ocsinventory-Unix-Agent-2.4.2/lib/Ocsinventory/Agent/Backend/OS/HPUX/Controller.pm (-rwxrwxr-x)_x000D_
_x000D_
 * 2017 /home/nourdine/Ocsinventory-Unix-Agent-2.4.2/lib/Ocsinventory/Agent/Backend/OS/HPUX/Domains.pm (-rwxrwxr-x)_x000D_
_x000D_
 * 2017 /home/nourdine/Ocsinventory-Unix-Agent-2.4.2/lib/Ocsinventory/Agent/Backend/OS/HPUX/IPv4.pm (-rwxrwxr-x)_x000D_
_x000D_
 * 2017 /home/nourdine/Ocsinventory-Unix-Agent-2.4.2/lib/Ocsinventory/Agent/Backend/OS/HPUX/Mem.pm (-rwxrwxr-x)_x000D_
_x000D_
 * 2017 /home/nourdine/Ocsinventory-Unix-Agent-2.4.2/lib/Ocsinventory/Agent/Backend/OS/HPUX.pm (-rwxrwxr-x)_x000D_
_x000D_
 * 2017 /home/nourdine/Ocsinventory-Unix-Agent-2.4.2/lib/Ocsinventory/Agent/Backend/OS/HPUX/Slots.pm (-rwxrwxr-x)</t>
  </si>
  <si>
    <t>unix-world-writable-files</t>
  </si>
  <si>
    <t>World writable files exist</t>
  </si>
  <si>
    <t>World writable files were found on the system. A file that can be written by any user on the system could be a serious security flaw.</t>
  </si>
  <si>
    <t>Remove world write permissions_x000D_
_x000D_
_x000D_
For each world-writable file, determine whether there is a good reason for it to be world writable. If not, remove world write permissions for the file.</t>
  </si>
  <si>
    <t>The following world writable files were found._x000D_
 * /var/opt/kaspersky/klnagent/SS_PRODINFO.dat (-rw-rw-rw-)_x000D_
_x000D_
 * /etc/opt/kaspersky/klnagent/1103/1.0.0.0/NagentFlags/KLNAG_FLAGS_INITIALIZED_TIME (-rw-rw-rw-)_x000D_
_x000D_
 * /var/opt/kaspersky/klnagent/1103/1.0.0.0/NagentFlags/ActPrxPort (-rw-rw-rw-)_x000D_
_x000D_
 * /var/opt/kaspersky/klnagent/1103/1.0.0.0/Ports/KLNAG_DEF_SS_SERVER (-rw-rw-rw-)_x000D_
_x000D_
 * /var/opt/kaspersky/klnagent/1103/1.0.0.0/Ports/KLSSS_DEFAULT_SERVER (-rw-rw-rw-)_x000D_
_x000D_
 * /var/opt/kaspersky/klnagent/1103/1.0.0.0/Statistics/AVState/Protection_AdmServer (-rw-rw-rw-)_x000D_
_x000D_
 * /var/opt/kaspersky/klnagent/1103/1.0.0.0/Statistics/AVState/Protection_AvInstalled (-rw-rw-rw-)_x000D_
_x000D_
 * /var/opt/kaspersky/klnagent/1103/1.0.0.0/Statistics/AVState/Protection_AvRunning (-rw-rw-rw-)_x000D_
_x000D_
 * /var/opt/kaspersky/klnagent/1103/1.0.0.0/Statistics/AVState/Protection_BasesDate (-rw-rw-rw-)_x000D_
_x000D_
 * /var/opt/kaspersky/klnagent/1103/1.0.0.0/Statistics/AVState/Protection_DynamicVM (-rw-rw-rw-)_x000D_
_x000D_
 * /var/opt/kaspersky/klnagent/1103/1.0.0.0/Statistics/AVState/Protection_HasRtp (-rw-rw-rw-)_x000D_
_x000D_
 * /var/opt/kaspersky/klnagent/1103/1.0.0.0/Statistics/AVState/Protection_HostId (-rw-rw-rw-)_x000D_
_x000D_
 * /var/opt/kaspersky/klnagent/1103/1.0.0.0/Statistics/AVState/Protection_LastConnected (-rw-rw-rw-)_x000D_
_x000D_
 * /var/opt/kaspersky/klnagent/1103/1.0.0.0/Statistics/AVState/Protection_LastFscan (-rw-rw-rw-)_x000D_
_x000D_
 * /var/opt/kaspersky/klnagent/1103/1.0.0.0/Statistics/AVState/Protection_NagentFullVersion (-rw-rw-rw-)_x000D_
_x000D_
 * /var/opt/kaspersky/klnagent/1103/1.0.0.0/Statistics/AVState/Protection_NagentVersion (-rw-rw-rw-)_x000D_
_x000D_
 * /var/opt/kaspersky/klnagent/1103/1.0.0.0/Statistics/AVState/Protection_RtpState (-rw-rw-rw-)_x000D_
_x000D_
 * /var/opt/kaspersky/klnagent/1103/na_localdata/e2s_subscription.xml (-rw-rw-rw-)_x000D_
_x000D_
 * /var/opt/kaspersky/klnagent/1103/na_localdata/~e2s_subscription.~xml~2 (-rw-rw-rw-)_x000D_
_x000D_
 * /var/opt/kaspersky/klnagent/1103/SSP_SETTINGS-1103.dat (-rw-rw-rw-)_x000D_
_x000D_
 * /var/opt/kaspersky/klnagent/1103/~SSP_SETTINGS-1103.~dat~2 (-rw-rw-rw-)_x000D_
_x000D_
 * /var/opt/kaspersky/klnagent/1103/.working/bcdom/ngtbc.dat (-rw-rw-rw-)_x000D_
_x000D_
 * /var/opt/kaspersky/klnagent/products/D2CD76CD7A4191EF25F266726BE02AAC/ess/e2s_temp_sbscr_CRTpolicy_4F3916C000F7499693A933A1263AAFF6.jrnl (-rw-rw-rw-)_x000D_
_x000D_
 * /var/opt/kaspersky/klnagent/products/D2CD76CD7A4191EF25F266726BE02AAC/ess/e2s_temp_sbscr_CRTpolicy.ctrl (-rw-rw-rw-)_x000D_
_x000D_
 * /var/opt/kaspersky/klnagent/products/D2CD76CD7A4191EF25F266726BE02AAC/ess/e2s_temp_sbscr_CRTpolicy.ctrl.id (-rw-rw-rw-)_x000D_
_x000D_
 * /var/opt/kaspersky/klnagent/products/D2CD76CD7A4191EF25F266726BE02AAC/ess/e2s_temp_sbscr_ERRcd407aed-5d29-47fd-87c3-08955af4936a.jrnl.lck (-rw-rw-rw-)_x000D_
_x000D_
 * /var/opt/kaspersky/klnagent/products/D2CD76CD7A4191EF25F266726BE02AAC/ess/e2s_temp_sbscr_ERRfa7699d1-c03b-4caf-a228-211d6479b91f.jrnl.lck (-rw-rw-rw-)_x000D_
_x000D_
 * /var/opt/kaspersky/klnagent/products/D2CD76CD7A4191EF25F266726BE02AAC/ess/e2s_temp_sbscr_ERRpolicy.ctrl (-rw-rw-rw-)_x000D_
_x000D_
 * /var/opt/kaspersky/klnagent/products/D2CD76CD7A4191EF25F266726BE02AAC/ess/e2s_temp_sbscr_ERRpolicy.ctrl.id (-rw-rw-rw-)_x000D_
_x000D_
 * /var/opt/kaspersky/klnagent/products/D2CD76CD7A4191EF25F266726BE02AAC/ess/e2s_temp_sbscr_ERRpolicy_F668317F4FC93AB0D68BEB4ACB9C4E89.jrnl (-rw-rw-rw-)_x000D_
_x000D_
 * /var/opt/kaspersky/klnagent/products/D2CD76CD7A4191EF25F266726BE02AAC/ess/e2s_temp_sbscr_INFcd407aed-5d29-47fd-87c3-08955af4936a.jrnl.lck (-rw-rw-rw-)_x000D_
_x000D_
 * /var/opt/kaspersky/klnagent/products/D2CD76CD7A4191EF25F266726BE02AAC/ess/e2s_temp_sbscr_INFfa7699d1-c03b-4caf-a228-211d6479b91f.jrnl.lck (-rw-rw-rw-)_x000D_
_x000D_
 * /var/opt/kaspersky/klnagent/products/D2CD76CD7A4191EF25F266726BE02AAC/ess/e2s_temp_sbscr_INFpolicy_5E5E2E66B45814F585835B3E77FB5B68.jrnl (-rw-rw-rw-)_x000D_
_x000D_
 * /var/opt/kaspersky/klnagent/products/D2CD76CD7A4191EF25F266726BE02AAC/ess/e2s_temp_sbscr_INFpolicy.ctrl (-rw-rw-rw-)_x000D_
_x000D_
 * /var/opt/kaspersky/klnagent/products/D2CD76CD7A4191EF25F266726BE02AAC/ess/e2s_temp_sbscr_INFpolicy.ctrl.id (-rw-rw-rw-)_x000D_
_x000D_
 * /var/opt/kaspersky/klnagent/products/D2CD76CD7A4191EF25F266726BE02AAC/ess/e2s_temp_sbscr_WRNcd407aed-5d29-47fd-87c3-08955af4936a.jrnl.lck (-rw-rw-rw-)_x000D_
_x000D_
 * /var/opt/kaspersky/klnagent/products/D2CD76CD7A4191EF25F266726BE02AAC/ess/e2s_temp_sbscr_WRNfa7699d1-c03b-4caf-a228-211d6479b91f.jrnl.lck (-rw-rw-rw-)_x000D_
_x000D_
 * /var/opt/kaspersky/klnagent/products/D2CD76CD7A4191EF25F266726BE02AAC/ess/e2s_temp_sbscr_WRNpolicy_95A0BBE27EA382DF18B775CFCC8B4816.jrnl (-rw-rw-rw-)_x000D_
_x000D_
 * /var/opt/kaspersky/klnagent/products/D2CD76CD7A4191EF25F266726BE02AAC/ess/e2s_temp_sbscr_WRNpolicy.ctrl (-rw-rw-rw-)_x000D_
_x000D_
 * /var/opt/kaspersky/klnagent/products/D2CD76CD7A4191EF25F266726BE02AAC/ess/e2s_temp_sbscr_WRNpolicy.ctrl.id (-rw-rw-rw-)_x000D_
_x000D_
 * /var/opt/kaspersky/klnagent/SS_RUNTIME.dat (-rw-rw-rw-)_x000D_
_x000D_
 * /var/opt/kaspersky/klnagent/~SS_RUNTIME.~dat~2 (-rw-rw-rw-)</t>
  </si>
  <si>
    <t>ssh-default-account-root-password-root</t>
  </si>
  <si>
    <t>Default SSH password: root password "root"</t>
  </si>
  <si>
    <t>The root account uses a password of "root". This would allow anyone to log into the machine via SSH and take complete control.</t>
  </si>
  <si>
    <t>Fix Default SSH password: root password "root"_x000D_
_x000D_
_x000D_
Use the "passwd" command to set a more secure login password. A good password should consist of a mix of lower- and upper-case characters, numbers, and punctuation and should be at least 8 characters long. You may also want to disable root login via SSH, which you can do in OpenSSH by adding the following to sshd.conf:_x000D_
_x000D_
PermitRootLogin: no</t>
  </si>
  <si>
    <t>* Running SSH service_x000D_
Successfully authenticated to the SSH service with credentials: uid[root] pw[root] realm[]</t>
  </si>
  <si>
    <t>drupal-cve-2020-28948</t>
  </si>
  <si>
    <t>Drupal: CVE-2020-28948: Drupal core - Critical - Arbitrary PHP code execution - SA-CORE-2020-013</t>
  </si>
  <si>
    <t>Archive_Tar through 1.4.10 allows an unserialization attack because phar: is blocked but PHAR: is not blocked.</t>
  </si>
  <si>
    <t>* Upgrade to drupal version 7.75_x000D_
      Download and apply the upgrade from:  https://www.drupal.org/project/drupal/releases _x000D_
_x000D_
_x000D_
 * Upgrade to drupal version 8.8.1_x000D_
      Download and apply the upgrade from:  https://www.drupal.org/project/drupal/releases _x000D_
_x000D_
_x000D_
 * Upgrade to drupal version 8.9.1_x000D_
      Download and apply the upgrade from:  https://www.drupal.org/project/drupal/releases _x000D_
_x000D_
_x000D_
 * Upgrade to drupal version 9.0.9_x000D_
      Download and apply the upgrade from:  https://www.drupal.org/project/drupal/releases</t>
  </si>
  <si>
    <t>https://www.drupal.org/sa-core-2020-013</t>
  </si>
  <si>
    <t>CVE-2020-28948</t>
  </si>
  <si>
    <t>http://nvd.nist.gov/vuln/detail/CVE-2020-28948</t>
  </si>
  <si>
    <t>drupal-cve-2020-28949</t>
  </si>
  <si>
    <t>Drupal: CVE-2020-28949: Drupal core - Critical - Arbitrary PHP code execution - SA-CORE-2020-013</t>
  </si>
  <si>
    <t>Archive_Tar through 1.4.10 has :// filename sanitization only to address phar attacks, and thus any other stream-wrapper attack (such as file:// to overwrite files) can still succeed.</t>
  </si>
  <si>
    <t>CVE-2020-28949</t>
  </si>
  <si>
    <t>http://nvd.nist.gov/vuln/detail/CVE-2020-28949</t>
  </si>
  <si>
    <t>"* Running HTTPS service
HTTP request to  https://81.192.11.155/manual/howto/cgi.html 
HTTP response code was an expected 200
1: text/html; charset=UTF-8
HTTP header 'Content-Type' was present and matched expectation
HTTP header 'Content-Security-Policy' not present
HTTP header 'X-Frame-Options' not present"
"* Running HTTPS service
HTTP request to  https://81.192.11.155/manual/howto/auth.html 
HTTP response code was an expected 200
1: text/html; charset=UTF-8
HTTP header 'Content-Type' was present and matched expectation
HTTP header 'Content-Security-Policy' not present
HTTP header 'X-Frame-Options' not present"
"* Running HTTPS service
HTTP request to  https://81.192.11.155/manual/howto/htaccess.html 
HTTP response code was an expected 200
1: text/html; charset=UTF-8
HTTP header 'Content-Type' was present and matched expectation
HTTP header 'Content-Security-Policy' not present
HTTP header 'X-Frame-Options' not present"
"* Running HTTPS service
HTTP request to  https://81.192.11.155/manual/howto/access.html 
HTTP response code was an expected 200
1: text/html; charset=UTF-8
HTTP header 'Content-Type' was present and matched expectation
HTTP header 'Content-Security-Policy' not present
HTTP header 'X-Frame-Options' not present"
"* Running HTTPS service
HTTP request to  https://81.192.11.155/manual/mod/mod_http2.html 
HTTP response code was an expected 200
1: text/html; charset=UTF-8
HTTP header 'Content-Type' was present and matched expectation
HTTP header 'Content-Security-Policy' not present
HTTP header 'X-Frame-Options' not present"
"* Running HTTPS service
HTTP request to  https://81.192.11.155/manual/mod/mod_heartbeat.html 
HTTP response code was an expected 200
1: text/html; charset=UTF-8
HTTP header 'Content-Type' was present and matched expectation
HTTP header 'Content-Security-Policy' not present
HTTP header 'X-Frame-Options' not present"
"* Running HTTPS service
HTTP request to  https://81.192.11.155/manual/mod/mod_heartmonitor.html 
HTTP response code was an expected 200
1: text/html; charset=UTF-8
HTTP header 'Content-Type' was present and matched expectation
HTTP header 'Content-Security-Policy' not present
HTTP header 'X-Frame-Options' not present"
"* Running HTTPS service
HTTP request to  https://81.192.11.155/manual/mod/mod_filter.html#filterprovider 
HTTP response code was an expected 200
1: text/html; charset=UTF-8
HTTP header 'Content-Type' was present and matched expectation
HTTP header 'Content-Security-Policy' not present
HTTP header 'X-Frame-Options' not present"
"* Running HTTPS service
HTTP request to  https://81.192.11.155/manual/mod/mod_headers.html 
HTTP response code was an expected 200
1: text/html; charset=UTF-8
HTTP header 'Content-Type' was present and matched expectation
HTTP header 'Content-Security-Policy' not present
HTTP header 'X-Frame-Options' not present"
"* Running HTTPS service
HTTP request to  https://81.192.11.155/manual/mod/mod_ext_filter.html 
HTTP response code was an expected 200
1: text/html; charset=UTF-8
HTTP header 'Content-Type' was present and matched expectation
HTTP header 'Content-Security-Policy' not present
HTTP header 'X-Frame-Options' not present"
"* Running HTTPS service
HTTP request to  https://81.192.11.155/manual/mod/mod_expires.html 
HTTP response code was an expected 200
1: text/html; charset=UTF-8
HTTP header 'Content-Type' was present and matched expectation
HTTP header 'Content-Security-Policy' not present
HTTP header 'X-Frame-Options' not present"
"* Running HTTPS service
HTTP request to  https://81.192.11.155/manual/mod/mod_file_cache.html 
HTTP response code was an expected 200
1: text/html; charset=UTF-8
HTTP header 'Content-Type' was present and matched expectation
HTTP header 'Content-Security-Policy' not present
HTTP header 'X-Frame-Options' not present"
"* Running HTTPS service
HTTP request to  https://81.192.11.155/manual/mod/mod_example_hooks.html 
HTTP response code was an expected 200
1: text/html; charset=UTF-8
HTTP header 'Content-Type' was present and matched expectation
HTTP header 'Content-Security-Policy' not present
HTTP header 'X-Frame-Options' not present"
"* Running HTTPS service
HTTP request to  https://81.192.11.155/manual/mod/mod_env.html#setenv 
HTTP response code was an expected 200
1: text/html; charset=UTF-8
HTTP header 'Content-Type' was present and matched expectation
HTTP header 'Content-Security-Policy' not present
HTTP header 'X-Frame-Options' not present"
"* Running HTTPS service
HTTP request to  https://81.192.11.155/manual/mod/mod_echo.html 
HTTP response code was an expected 200
1: text/html; charset=UTF-8
HTTP header 'Content-Type' was present and matched expectation
HTTP header 'Content-Security-Policy' not present
HTTP header 'X-Frame-Options' not present"
"* Running HTTPS service
HTTP request to  https://81.192.11.155/manual/mod/mod_dir.html#directoryindex 
HTTP response code was an expected 200
1: text/html; charset=UTF-8
HTTP header 'Content-Type' was present and matched expectation
HTTP header 'Content-Security-Policy' not present
HTTP header 'X-Frame-Options' not present"
"* Running HTTPS service
HTTP request to  https://81.192.11.155/manual/mod/mod_deflate.html 
HTTP response code was an expected 200
1: text/html; charset=UTF-8
HTTP header 'Content-Type' was present and matched expectation
HTTP header 'Content-Security-Policy' not present
HTTP header 'X-Frame-Options' not present"
"* Running HTTPS service
HTTP request to  https://81.192.11.155/manual/mod/mod_dumpio.html 
HTTP response code was an expected 200
1: text/html; charset=UTF-8
HTTP header 'Content-Type' was present and matched expectation
HTTP header 'Content-Security-Policy' not present
HTTP header 'X-Frame-Options' not present"
"* Running HTTPS service
HTTP request to  https://81.192.11.155/manual/mod/mod_dbd.html 
HTTP response code was an expected 200
1: text/html; charset=UTF-8
HTTP header 'Content-Type' was present and matched expectation
HTTP header 'Content-Security-Policy' not present
HTTP header 'X-Frame-Options' not present"
"* Running HTTPS service
HTTP request to  https://81.192.11.155/manual/mod/mod_dialup.html 
HTTP response code was an expected 200
1: text/html; charset=UTF-8
HTTP header 'Content-Type' was present and matched expectation
HTTP header 'Content-Security-Policy' not present
HTTP header 'X-Frame-Options' not present"
"* Running HTTPS service
HTTP request to  https://81.192.11.155/manual/mod/mod_dav_lock.html 
HTTP response code was an expected 200
1: text/html; charset=UTF-8
HTTP header 'Content-Type' was present and matched expectation
HTTP header 'Content-Security-Policy' not present
HTTP header 'X-Frame-Options' not present"
"* Running HTTPS service
HTTP request to  https://81.192.11.155/manual/mod/mod_dav.html 
HTTP response code was an expected 200
1: text/html; charset=UTF-8
HTTP header 'Content-Type' was present and matched expectation
HTTP header 'Content-Security-Policy' not present
HTTP header 'X-Frame-Options' not present"
"* Running HTTPS service
HTTP request to  https://81.192.11.155/manual/mod/mod_dav_fs.html 
HTTP response code was an expected 200
1: text/html; charset=UTF-8
HTTP header 'Content-Type' was present and matched expectation
HTTP header 'Content-Security-Policy' not present
HTTP header 'X-Frame-Options' not present"
"* Running HTTPS service
HTTP request to  https://81.192.11.155/manual/mod/mod_charset_lite.html 
HTTP response code was an expected 200
1: text/html; charset=UTF-8
HTTP header 'Content-Type' was present and matched expectation
HTTP header 'Content-Security-Policy' not present
HTTP header 'X-Frame-Options' not present"
"* Running HTTPS service
HTTP request to  https://81.192.11.155/manual/mod/mod_data.html 
HTTP response code was an expected 200
1: text/html; charset=UTF-8
HTTP header 'Content-Type' was present and matched expectation
HTTP header 'Content-Security-Policy' not present
HTTP header 'X-Frame-Options' not present"
"* Running HTTPS service
HTTP request to  https://81.192.11.155/manual/mod/mod_cgi.html 
HTTP response code was an expected 200
1: text/html; charset=UTF-8
HTTP header 'Content-Type' was present and matched expectation
HTTP header 'Content-Security-Policy' not present
HTTP header 'X-Frame-Options' not present"
"* Running HTTPS service
HTTP request to  https://81.192.11.155/manual/mod/mod_cgid.html 
HTTP response code was an expected 200
1: text/html; charset=UTF-8
HTTP header 'Content-Type' was present and matched expectation
HTTP header 'Content-Security-Policy' not present
HTTP header 'X-Frame-Options' not present"
"* Running HTTPS service
HTTP request to  https://81.192.11.155/manual/mod/mod_cern_meta.html 
HTTP response code was an expected 200
1: text/html; charset=UTF-8
HTTP header 'Content-Type' was present and matched expectation
HTTP header 'Content-Security-Policy' not present
HTTP header 'X-Frame-Options' not present"
"* Running HTTPS service
HTTP request to  https://81.192.11.155/manual/mod/mod_cache_socache.html 
HTTP response code was an expected 200
1: text/html; charset=UTF-8
HTTP header 'Content-Type' was present and matched expectation
HTTP header 'Content-Security-Policy' not present
HTTP header 'X-Frame-Options' not present"
"* Running HTTPS service
HTTP request to  https://81.192.11.155/manual/mod/mod_cache.html 
HTTP response code was an expected 200
1: text/html; charset=UTF-8
HTTP header 'Content-Type' was present and matched expectation
HTTP header 'Content-Security-Policy' not present
HTTP header 'X-Frame-Options' not present"
"* Running HTTPS service
HTTP request to  https://81.192.11.155/manual/mod/mod_cache_disk.html 
HTTP response code was an expected 200
1: text/html; charset=UTF-8
HTTP header 'Content-Type' was present and matched expectation
HTTP header 'Content-Security-Policy' not present
HTTP header 'X-Frame-Options' not present"
"* Running HTTPS service
HTTP request to  https://81.192.11.155/manual/mod/mod_buffer.html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https://81.192.11.155/manual/mod/mod_autoindex.html 
HTTP response code was an expected 200
1: text/html; charset=UTF-8
HTTP header 'Content-Type' was present and matched expectation
HTTP header 'Content-Security-Policy' not present
HTTP header 'X-Frame-Options' not present"
"* Running HTTPS service
HTTP request to  https://81.192.11.155/manual/mod/mod_brotli.html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https://81.192.11.155/manual/mod/mod_authz_user.html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https://81.192.11.155/manual/mod/mod_authz_groupfile.html#reqgroup 
HTTP response code was an expected 200
1: text/html; charset=UTF-8
HTTP header 'Content-Type' was present and matched expectation
HTTP header 'Content-Security-Policy' not present
HTTP header 'X-Frame-Options' not present"
"* Running HTTPS service
HTTP request to  https://81.192.11.155/manual/mod/mod_authz_host.html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https://81.192.11.155/manual/mod/mod_authz_owner.html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https://81.192.11.155/manual/mod/mod_authz_core.html#require 
HTTP response code was an expected 200
1: text/html; charset=UTF-8
HTTP header 'Content-Type' was present and matched expectation
HTTP header 'Content-Security-Policy' not present
HTTP header 'X-Frame-Options' not present"
"* Running HTTPS service
HTTP request to  https://81.192.11.155/manual/mod/mod_authz_dbd.html#reqgroup 
HTTP response code was an expected 200
1: text/html; charset=UTF-8
HTTP header 'Content-Type' was present and matched expectation
HTTP header 'Content-Security-Policy' not present
HTTP header 'X-Frame-Options' not present"
"* Running HTTPS service
HTTP request to  https://81.192.11.155/manual/mod/mod_authz_dbm.html#reqgroup 
HTTP response code was an expected 200
1: text/html; charset=UTF-8
HTTP header 'Content-Type' was present and matched expectation
HTTP header 'Content-Security-Policy' not present
HTTP header 'X-Frame-Options' not present"
"* Running HTTPS service
HTTP request to  https://81.192.11.155/manual/mod/mod_authnz_ldap.html#requser 
HTTP response code was an expected 200
1: text/html; charset=UTF-8
HTTP header 'Content-Type' was present and matched expectation
HTTP header 'Content-Security-Policy' not present
HTTP header 'X-Frame-Options' not present"
"* Running HTTPS service
HTTP request to  https://81.192.11.155/manual/mod/mod_authnz_fcgi.html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https://81.192.11.155/manual/mod/mod_authn_socache.html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https://81.192.11.155/manual/mod/mod_authn_file.html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https://81.192.11.155/manual/mod/mod_authn_dbd.html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https://81.192.11.155/manual/mod/mod_authn_dbm.html 
HTTP response code was an expected 200
1: text/html; charset=UTF-8
HTTP header 'Content-Type' was present and matched expectation
HTTP header 'Content-Security-Policy' not present
HTTP header 'X-Frame-Options' not present"
"* Running HTTPS service
HTTP request to  https://81.192.11.155/manual/mod/mod_authn_core.html#authtype 
HTTP response code was an expected 200
1: text/html; charset=UTF-8
HTTP header 'Content-Type' was present and matched expectation
HTTP header 'Content-Security-Policy' not present
HTTP header 'X-Frame-Options' not present"
"* Running HTTPS service
HTTP request to  https://81.192.11.155/manual/mod/mod_auth_form.html#authformloginrequiredlocation 
HTTP response code was an expected 200
1: text/html; charset=UTF-8
HTTP header 'Content-Type' was present and matched expectation
HTTP header 'Content-Security-Policy' not present
HTTP header 'X-Frame-Options' not present"
"* Running HTTPS service
HTTP request to  https://81.192.11.155/manual/mod/mod_authn_anon.html 
HTTP response code was an expected 200
1: text/html; charset=UTF-8
HTTP header 'Content-Type' was present and matched expectation
HTTP header 'Content-Security-Policy' not present
HTTP header 'X-Frame-Options' not present"
"* Running HTTPS service
HTTP request to  https://81.192.11.155/manual/mod/mod_session_dbd.html 
HTTP response code was an expected 200
1: text/html; charset=UTF-8
HTTP header 'Content-Type' was present and matched expectation
HTTP header 'Content-Security-Policy' not present
HTTP header 'X-Frame-Options' not present"
"* Running HTTPS service
HTTP request to  https://81.192.11.155/manual/mod/mod_setenvif.html 
HTTP response code was an expected 200
1: text/html; charset=UTF-8
HTTP header 'Content-Type' was present and matched expectation
HTTP header 'Content-Security-Policy' not present
HTTP header 'X-Frame-Options' not present"
"* Running HTTPS service
HTTP request to  https://81.192.11.155/manual/mod/mod_session_crypto.html 
HTTP response code was an expected 200
1: text/html; charset=UTF-8
HTTP header 'Content-Type' was present and matched expectation
HTTP header 'Content-Security-Policy' not present
HTTP header 'X-Frame-Options' not present"
"* Running HTTPS service
HTTP request to  https://81.192.11.155/manual/mod/mod_session.html 
HTTP response code was an expected 200
1: text/html; charset=UTF-8
HTTP header 'Content-Type' was present and matched expectation
HTTP header 'Content-Security-Policy' not present
HTTP header 'X-Frame-Options' not present"
"* Running HTTPS service
HTTP request to  https://81.192.11.155/manual/mod/mod_rewrite.html 
HTTP response code was an expected 200
1: text/html; charset=UTF-8
HTTP header 'Content-Type' was present and matched expectation
HTTP header 'Content-Security-Policy' not present
HTTP header 'X-Frame-Options' not present"
"* Running HTTPS service
HTTP request to  https://81.192.11.155/manual/mod/mod_session_cookie.html 
HTTP response code was an expected 200
1: text/html; charset=UTF-8
HTTP header 'Content-Type' was present and matched expectation
HTTP header 'Content-Security-Policy' not present
HTTP header 'X-Frame-Options' not present"
"* Running HTTPS service
HTTP request to  https://81.192.11.155/manual/mod/mod_sed.html 
HTTP response code was an expected 200
1: text/html; charset=UTF-8
HTTP header 'Content-Type' was present and matched expectation
HTTP header 'Content-Security-Policy' not present
HTTP header 'X-Frame-Options' not present"
"* Running HTTPS service
HTTP request to  https://81.192.11.155/manual/mod/mod_remoteip.html 
HTTP response code was an expected 200
1: text/html; charset=UTF-8
HTTP header 'Content-Type' was present and matched expectation
HTTP header 'Content-Security-Policy' not present
HTTP header 'X-Frame-Options' not present"
"* Running HTTPS service
HTTP request to  https://81.192.11.155/manual/mod/mod_request.html 
HTTP response code was an expected 200
1: text/html; charset=UTF-8
HTTP header 'Content-Type' was present and matched expectation
HTTP header 'Content-Security-Policy' not present
HTTP header 'X-Frame-Options' not present"
"* Running HTTPS service
HTTP request to  https://81.192.11.155/manual/mod/mod_reqtimeout.html 
HTTP response code was an expected 200
1: text/html; charset=UTF-8
HTTP header 'Content-Type' was present and matched expectation
HTTP header 'Content-Security-Policy' not present
HTTP header 'X-Frame-Options' not present"
"* Running HTTPS service
HTTP request to  https://81.192.11.155/manual/mod/mod_ratelimit.html 
HTTP response code was an expected 200
1: text/html; charset=UTF-8
HTTP header 'Content-Type' was present and matched expectation
HTTP header 'Content-Security-Policy' not present
HTTP header 'X-Frame-Options' not present"
"* Running HTTPS service
HTTP request to  https://81.192.11.155/manual/mod/mod_reflector.html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https://81.192.11.155/manual/mod/mod_proxy_wstunnel.html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https://81.192.11.155/manual/mod/mod_proxy_http2.html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https://81.192.11.155/manual/mod/mod_proxy_uwsgi.html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https://81.192.11.155/manual/mod/mod_proxy_scgi.html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https://81.192.11.155/manual/mod/mod_proxy_http.html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https://81.192.11.155/manual/mod/mod_proxy_html.html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https://81.192.11.155/manual/mod/mod_proxy_hcheck.html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https://81.192.11.155/manual/mod/mod_proxy_ftp.html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https://81.192.11.155/manual/mod/mod_proxy_fcgi.html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https://81.192.11.155/manual/mod/mod_proxy_fdpass.html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https://81.192.11.155/manual/mod/mod_proxy_balancer.html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https://81.192.11.155/manual/mod/mod_proxy_express.html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https://81.192.11.155/manual/mod/mod_proxy_connect.html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https://81.192.11.155/manual/mod/mod_proxy.html#proxypass 
HTTP response code was an expected 200
1: text/html; charset=UTF-8
HTTP header 'Content-Type' was present and matched expectation
HTTP header 'Content-Security-Policy' not present
HTTP header 'X-Frame-Options' not present"
"* Running HTTPS service
HTTP request to  https://81.192.11.155/manual/mod/mod_md.html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https://81.192.11.155/manual/mod/mod_proxy_ajp.html 
HTTP response code was an expected 200
1: text/html; charset=UTF-8
HTTP header 'Content-Type' was present and matched expectation
HTTP header 'Content-Security-Policy' not present
HTTP header 'X-Frame-Options' not present"
"* Running HTTPS service
HTTP request to  https://81.192.11.155/manual/mod/mod_privileges.html 
HTTP response code was an expected 200
1: text/html; charset=UTF-8
HTTP header 'Content-Type' was present and matched expectation
HTTP header 'Content-Security-Policy' not present
HTTP header 'X-Frame-Options' not present"
"* Running HTTPS service
HTTP request to  https://81.192.11.155/manual/mod/mod_nw_ssl.html 
HTTP response code was an expected 200
1: text/html; charset=UTF-8
HTTP header 'Content-Type' was present and matched expectation
HTTP header 'Content-Security-Policy' not present
HTTP header 'X-Frame-Options' not present"
"* Running HTTPS service
HTTP request to  https://81.192.11.155/manual/mod/mod_negotiation.html#cachenegotiateddocs 
HTTP response code was an expected 200
1: text/html; charset=UTF-8
HTTP header 'Content-Type' was present and matched expectation
HTTP header 'Content-Security-Policy' not present
HTTP header 'X-Frame-Options' not present"
"* Running HTTPS service
HTTP request to  https://81.192.11.155/manual/mod/mod_mime_magic.html 
HTTP response code was an expected 200
1: text/html; charset=UTF-8
HTTP header 'Content-Type' was present and matched expectation
HTTP header 'Content-Security-Policy' not present
HTTP header 'X-Frame-Options' not present"
"* Running HTTPS service
HTTP request to  https://81.192.11.155/manual/mod/mod_mime.html 
HTTP response code was an expected 200
1: text/html; charset=UTF-8
HTTP header 'Content-Type' was present and matched expectation
HTTP header 'Content-Security-Policy' not present
HTTP header 'X-Frame-Options' not present"
"* Running HTTPS service
HTTP request to  https://81.192.11.155/manual/mod/mod_lua.html 
HTTP response code was an expected 200
1: text/html; charset=UTF-8
HTTP header 'Content-Type' was present and matched expectation
HTTP header 'Content-Security-Policy' not present
HTTP header 'X-Frame-Options' not present"
"* Running HTTPS service
HTTP request to  https://81.192.11.155/manual/mod/mod_macro.html 
HTTP response code was an expected 200
1: text/html; charset=UTF-8
HTTP header 'Content-Type' was present and matched expectation
HTTP header 'Content-Security-Policy' not present
HTTP header 'X-Frame-Options' not present"
"* Running HTTPS service
HTTP request to  https://81.192.11.155/manual/mod/mod_logio.html 
HTTP response code was an expected 200
1: text/html; charset=UTF-8
HTTP header 'Content-Type' was present and matched expectation
HTTP header 'Content-Security-Policy' not present
HTTP header 'X-Frame-Options' not present"
"* Running HTTPS service
HTTP request to  https://81.192.11.155/manual/mod/mod_log_forensic.html 
HTTP response code was an expected 200
1: text/html; charset=UTF-8
HTTP header 'Content-Type' was present and matched expectation
HTTP header 'Content-Security-Policy' not present
HTTP header 'X-Frame-Options' not present"
"* Running HTTPS service
HTTP request to  https://81.192.11.155/manual/mod/mod_log_config.html 
HTTP response code was an expected 200
1: text/html; charset=UTF-8
HTTP header 'Content-Type' was present and matched expectation
HTTP header 'Content-Security-Policy' not present
HTTP header 'X-Frame-Options' not present"
"* Running HTTPS service
HTTP request to  https://81.192.11.155/manual/mod/mod_log_debug.html#logmessage 
HTTP response code was an expected 200
1: text/html; charset=UTF-8
HTTP header 'Content-Type' was present and matched expectation
HTTP header 'Content-Security-Policy' not present
HTTP header 'X-Frame-Options' not present"
"* Running HTTPS service
HTTP request to  https://81.192.11.155/manual/mod/mod_ldap.html 
HTTP response code was an expected 200
1: text/html; charset=UTF-8
HTTP header 'Content-Type' was present and matched expectation
HTTP header 'Content-Security-Policy' not present
HTTP header 'X-Frame-Options' not present"
"* Running HTTPS service
HTTP request to  https://81.192.11.155/manual/mod/mod_lbmethod_bytraffic.html 
HTTP response code was an expected 200
1: text/html; charset=UTF-8
HTTP header 'Content-Type' was present and matched expectation
HTTP header 'Content-Security-Policy' not present
HTTP header 'X-Frame-Options' not present"
"* Running HTTPS service
HTTP request to  https://81.192.11.155/manual/mod/mod_lbmethod_heartbeat.html 
HTTP response code was an expected 200
1: text/html; charset=UTF-8
HTTP header 'Content-Type' was present and matched expectation
HTTP header 'Content-Security-Policy' not present
HTTP header 'X-Frame-Options' not present"
"* Running HTTPS service
HTTP request to  https://81.192.11.155/manual/mod/mod_isapi.html 
HTTP response code was an expected 200
1: text/html; charset=UTF-8
HTTP header 'Content-Type' was present and matched expectation
HTTP header 'Content-Security-Policy' not present
HTTP header 'X-Frame-Options' not present"
"* Running HTTPS service
HTTP request to  https://81.192.11.155/manual/mod/mod_include.html 
HTTP response code was an expected 200
1: text/html; charset=UTF-8
HTTP header 'Content-Type' was present and matched expectation
HTTP header 'Content-Security-Policy' not present
HTTP header 'X-Frame-Options' not present"
"* Running HTTPS service
HTTP request to  https://81.192.11.155/manual/mod/mod_lbmethod_byrequests.html 
HTTP response code was an expected 200
1: text/html; charset=UTF-8
HTTP header 'Content-Type' was present and matched expectation
HTTP header 'Content-Security-Policy' not present
HTTP header 'X-Frame-Options' not present"
"* Running HTTPS service
HTTP request to  https://81.192.11.155/manual/mod/mod_lbmethod_bybusyness.html 
HTTP response code was an expected 200
1: text/html; charset=UTF-8
HTTP header 'Content-Type' was present and matched expectation
HTTP header 'Content-Security-Policy' not present
HTTP header 'X-Frame-Options' not present"
"* Running HTTPS service
HTTP request to  https://81.192.11.155/manual/mod/mod_info.html 
HTTP response code was an expected 200
1: text/html; charset=UTF-8
HTTP header 'Content-Type' was present and matched expectation
HTTP header 'Content-Security-Policy' not present
HTTP header 'X-Frame-Options' not present"
"* Running HTTPS service
HTTP request to  https://81.192.11.155/manual/mod/mod_imagemap.html 
HTTP response code was an expected 200
1: text/html; charset=UTF-8
HTTP header 'Content-Type' was present and matched expectation
HTTP header 'Content-Security-Policy' not present
HTTP header 'X-Frame-Options' not present"
"* Running HTTPS service
HTTP request to  https://81.192.11.155/manual/mod/mod_ident.html 
HTTP response code was an expected 200
1: text/html; charset=UTF-8
HTTP header 'Content-Type' was present and matched expectation
HTTP header 'Content-Security-Policy' not present
HTTP header 'X-Frame-Options' not present"
"* Running HTTPS service
HTTP request to  https://81.192.11.155/manual/platform/windows.html 
HTTP response code was an expected 200
1: text/html; charset=UTF-8
HTTP header 'Content-Type' was present and matched expectation
HTTP header 'Content-Security-Policy' not present
HTTP header 'X-Frame-Options' not present"
"* Running HTTPS service
HTTP request to  https://81.192.11.155/manual/programs/ab.html 
HTTP response code was an expected 200
1: text/html; charset=UTF-8
HTTP header 'Content-Type' was present and matched expectation
HTTP header 'Content-Se</t>
  </si>
  <si>
    <t>Apparu dans le scan de decembre</t>
  </si>
  <si>
    <t>Form with action http://81.192.11.162/user/register does not explicitly disable autocomplete for the following sensitive fields: pass[pass1],pass[pass2]
Form with action http://81.192.11.162/en/user/register does not explicitly disable autocomplete for the following sensitive fields: pass[pass1],pass[pass2]
Form with action http://81.192.11.162/user/register/ does not explicitly disable autocomplete for the following sensitive fields: pass[pass1],pass[pass2]
Form with action http://81.192.11.162/fr/user/register does not explicitly disable autocomplete for the following sensitive fields: pass[pass1],pass[pass2]</t>
  </si>
  <si>
    <t>81.192.11.166 / Ancienne Amanti Preprod / Unix</t>
  </si>
  <si>
    <t>Apparu dans le scan de decembre
21/12/2020 : Suppréssion de l'IP public, ainsi que la règle au niveau du firewall par l'équipe Network</t>
  </si>
  <si>
    <t>ll81-2-166-11-192-81.ll81-2.iam.net.ma</t>
  </si>
  <si>
    <t>The subject common name found in the X.509 certificate does not seem to match the scan target:_x000D_
 * Subject CN www.amanti.ma does not match target name specified in the site._x000D_
_x000D_
 * Subject CN www.amanti.ma does not match DNS name specified in the site._x000D_
_x000D_
 * Subject CN resolved IP address differs from node IP address specified in the site._x000D_
_x000D_
 * Subject Alternative Name www.amanti.ma does not match target name specified in the site._x000D_
_x000D_
 * Subject Alternative Name www.amanti.ma does not match DNS name specified in the site.</t>
  </si>
  <si>
    <t>"HTTP request to  https://81.192.11.166/icons/small/ 
HTTP response code was an expected 200
5: &lt;/head&gt; 6: &lt;body&gt; 7: &lt;h1&gt;Index of /icons/small&lt;/h1&gt; 8: &lt;table&gt; 9: ...CO]""&gt;&lt;/th&gt;&lt;th&gt;&lt;a href=""?C=N;O=D""&gt;Name&lt;/a&gt;&lt;/th&gt;&lt;th&gt;&lt;a href=""?C=M;O=A..."
"HTTP request to  https://81.192.11.166/icons/ 
HTTP response code was an expected 200
5: &lt;/head&gt; 6: &lt;body&gt; 7: &lt;h1&gt;Index of /icons&lt;/h1&gt; 8: &lt;table&gt; 9: ...CO]""&gt;&lt;/th&gt;&lt;th&gt;&lt;a href=""?C=N;O=D""&gt;Name&lt;/a&gt;&lt;/th&gt;&lt;th&gt;&lt;a href=""?C=M;O=A..."</t>
  </si>
  <si>
    <t>* Apache HTTPD, Apache Tomcat_x000D_
      Disable HTTP TRACE Method for Apache_x000D_
_x000D_
      _x000D_
      Newer versions of Apache (1.3.34 and 2.0.55 and later) provide a configuration directive called TraceEnable. To deny TRACE requests, add the following line to the server configuration:_x000D_
_x000D_
      TraceEnable off_x000D_
_x000D_
      For older versions of the Apache webserver, use the mod_rewrite module to deny the TRACE requests:_x000D_
_x000D_
      RewriteEngine On RewriteCond %{REQUEST_METHOD} ^TRACE RewriteRule .* - [F]_x000D_
_x000D_
       In Apache Tomcat, the HTTP Trace can be disabled by adding security constraints into the Java Servlet specification within the web.xml configuration file and by setting the attribute allowTrace="False" to the HTTP connector in server.xml. For Spring Boot embedded Tomcat configuration, please refer  here (https://docs.spring.io/spring-boot/docs/2.0.0.RC1/reference/htmlsingle/#howto-configure-tomcat) _x000D_
_x000D_
_x000D_
_x000D_
 * IIS, PWS, Microsoft-IIS, Internet Information Services, Internet Information Services, Microsoft-PWS_x000D_
      Disable HTTP TRACE Method for Microsoft IIS_x000D_
_x000D_
      _x000D_
      For Microsoft Internet Information Services (IIS), you may use the URLScan tool, freely available at  http://www.microsoft.com/technet/security/tools/urlscan.mspx _x000D_
_x000D_
_x000D_
_x000D_
 * Java System Web Server, SunONE WebServer, Sun-ONE-Web-Server, iPlanet_x000D_
      Disable HTTP TRACE Method for SunONE/iPlanet_x000D_
_x000D_
      _x000D_
    * _x000D_
            For Sun ONE/iPlanet Web Server v6.0 SP2 and later, add the following configuration to the top of the default object in the 'obj.conf' file:_x000D_
_x000D_
            &lt;Client method="TRACE"&gt; AuthTrans fn="set-variable" remove-headers="transfer-encoding" set-headers="content-length: -1" error="501" &lt;/Client&gt;_x000D_
_x000D_
            You must then restart the server for the changes to take effect._x000D_
_x000D_
_x000D_
    * _x000D_
            For Sun ONE/iPlanet Web Server prior to v6.0 SP2, follow the instructions provided the 'Relief/Workaround' section of Sun's official advisory:  http://sunsolve.sun.com/pub-cgi/retrieve.pl?doc=fsalert%2F50603 _x000D_
_x000D_
_x000D_
_x000D_
_x000D_
 * Lotus Domino_x000D_
      Disable HTTP TRACE Method for Domino_x000D_
_x000D_
      _x000D_
      Follow  IBM's instructions (http://www-1.ibm.com/support/docview.wss?&amp;uid=swg21201202)  for disabling HTTP methods on the Domino server by adding the following line to the server's NOTES.INI file:_x000D_
_x000D_
      HTTPDisableMethods=TRACE_x000D_
_x000D_
      After saving NOTES.INI, restart the Notes web server by issuing the console command "tell http restart".</t>
  </si>
  <si>
    <t>* Running HTTPS service_x000D_
_x000D_
_x000D_
_x000D_
_x000D_
HTTP TRACE request to  https://81.192.11.166/ _x000D_
_x000D_
2: Host: 81.192.11.166 3: X-Forwarded-For: 172.20.66.77, 10.9.0.27 4: X-Forwarded-Host: 81.192.11.166 5: X-Forwarded-Server: www.amanti.ma 6: Cookie: vulnerable=yes</t>
  </si>
  <si>
    <t>81.192.11.172 / ExpressWay / Network</t>
  </si>
  <si>
    <t>à voir avec l'éditeur</t>
  </si>
  <si>
    <t>ll81-2-172-11-192-81.ll81-2.iam.net.ma</t>
  </si>
  <si>
    <t>Tandberg Linux</t>
  </si>
  <si>
    <t>X12.5.9</t>
  </si>
  <si>
    <t>Expressway</t>
  </si>
  <si>
    <t>The subject common name found in the X.509 certificate does not seem to match the scan target:_x000D_
 * Subject CN iisjab.cdg.ma does not match target name specified in the site._x000D_
_x000D_
 * Subject CN iisjab.cdg.ma does not match DNS name specified in the site._x000D_
_x000D_
 * Subject CN iisjab.cdg.ma could not be resolved to an IP address via DNS lookup_x000D_
_x000D_
 * Subject Alternative Name iisjab.cdg.ma does not match target name specified in the site._x000D_
_x000D_
 * Subject Alternative Name iisjab.cdg.com does not match target name specified in the site._x000D_
_x000D_
 * Subject Alternative Name cdg.com does not match target name specified in the site._x000D_
_x000D_
 * Subject Alternative Name cdg.ma does not match target name specified in the site._x000D_
_x000D_
 * Subject Alternative Name visio.cdg.ma does not match target name specified in the site._x000D_
_x000D_
 * Subject Alternative Name iisjab.cdg.ma does not match DNS name specified in the site._x000D_
_x000D_
 * Subject Alternative Name iisjab.cdg.com does not match DNS name specified in the site._x000D_
_x000D_
 * Subject Alternative Name cdg.com does not match DNS name specified in the site._x000D_
_x000D_
 * Subject Alternative Name cdg.ma does not match DNS name specified in the site._x000D_
_x000D_
 * Subject Alternative Name visio.cdg.ma does not match DNS name specified in the site.</t>
  </si>
  <si>
    <t>TLS/SSL certificate signed by unknown, untrusted CA: CN=UC-WIN-LS88M6TTDV2-CA, DC=UC, DC=Visio -- [Path does not chain with any of the trust anchors].</t>
  </si>
  <si>
    <t>SIP</t>
  </si>
  <si>
    <t>afs3-callback (callbacks to cache managers)</t>
  </si>
  <si>
    <t>TLS/SSL certificate signed by unknown, untrusted CA: CN=Entrust Certification Authority - L1K, OU="(c) 2012 Entrust, Inc. - for authorized use only", OU=See www.entrust.net/legal-terms, O="Entrust, Inc.", C=US -- [validity check failed, Path does not chain with any of the trust anchors].</t>
  </si>
  <si>
    <t>81.192.11.175 / MyOneCDG / Wintel</t>
  </si>
  <si>
    <t>ll81-2-175-11-192-81.ll81-2.iam.net.ma</t>
  </si>
  <si>
    <t>81.192.11.176 / CDPRW-SHPVALO / Wintel</t>
  </si>
  <si>
    <t>ll81-2-176-11-192-81.ll81-2.iam.net.ma</t>
  </si>
  <si>
    <t>Cookie is not marked as HttpOnly: 'selectedorg=deleted; expires=Fri, 18-Dec-2020 21:02:42 GMT; path=/; domain=81.192.11.182'_x000D_
_x000D_
URL:  https://81.192.11.182/</t>
  </si>
  <si>
    <t>* Running HTTPS service_x000D_
_x000D_
 * Vulnerable version of component jQuery found -- jQuery 1.9.1</t>
  </si>
  <si>
    <t>Point escaladé à la CDG pour intervention de l'éditeur (ExpressWay)</t>
  </si>
  <si>
    <t>Networ</t>
  </si>
  <si>
    <t>HTTP request to  https://81.192.11.174/icons/small/ 
HTTP response code was an expected 200
5: &lt;/head&gt; 6: &lt;body&gt; 7: &lt;h1&gt;Index of /icons/small&lt;/h1&gt; 8: &lt;table&gt; 9: ...CO]"&gt;&lt;/th&gt;&lt;th&gt;&lt;a href="?C=N;O=D"&gt;Name&lt;/a&gt;&lt;/th&gt;&lt;th&gt;&lt;a href="?C=M;O=A...</t>
  </si>
  <si>
    <t>Point escaladé à La CDG pour intervention de l'éditeur (Parapheur)</t>
  </si>
  <si>
    <t>SI décommissionné (FIPAR)</t>
  </si>
  <si>
    <t>Point escaladé à la CDG pour intervention de l'éditeur (Signature parafeur)</t>
  </si>
  <si>
    <t>Vulnérabilité cloturé après retour de l'editeur voir Mail de Khalid smila du 28/01/21</t>
  </si>
  <si>
    <t>5</t>
  </si>
  <si>
    <t>(blank)</t>
  </si>
  <si>
    <t>Check fev</t>
  </si>
  <si>
    <t>PARAPHEUR ELECTRONIQUE</t>
  </si>
  <si>
    <t>PCDG-WebCDG</t>
  </si>
  <si>
    <t>3.11</t>
  </si>
  <si>
    <t>443</t>
  </si>
  <si>
    <t>0</t>
  </si>
  <si>
    <t>nginx</t>
  </si>
  <si>
    <t>Cookie is not marked as secure: 'atexoDemande=g8313glsort0i96e2rhja976up; path=/; httponly; domain=81.192.11.182'_x000D_
_x000D_
URL:  https://81.192.11.182/</t>
  </si>
  <si>
    <t>Cookie is not marked as HttpOnly: 'HttpOnly=; path=/exchange; secure; domain=81.192.11.179'_x000D_
_x000D_
URL:  https://81.192.11.179/exchange/logon.asp</t>
  </si>
  <si>
    <t>"HTTP request to  https://81.192.11.155/icons/ 
HTTP response code was an expected 200
5: &lt;/head&gt; 6: &lt;body&gt; 7: &lt;h1&gt;Index of /icons&lt;/h1&gt; 8: &lt;table&gt; 9: ...CO]""&gt;&lt;/th&gt;&lt;th&gt;&lt;a href=""?C=N;O=D""&gt;Name&lt;/a&gt;&lt;/th&gt;&lt;th&gt;&lt;a href=""?C=M;O=A..."
"HTTP request to  https://81.192.11.155/manual/style/xsl/util/ 
HTTP response code was an expected 200
5: &lt;/head&gt; 6: &lt;body&gt; 7: &lt;h1&gt;Index of /manual/style/xsl/util&lt;/h1&gt; 8: &lt;table&gt; 9: ...CO]""&gt;&lt;/th&gt;&lt;th&gt;&lt;a href=""?C=N;O=D""&gt;Name&lt;/a&gt;&lt;/th&gt;&lt;th&gt;&lt;a href=""?C=M;O=A..."
"HTTP request to  https://81.192.11.155/manual/style/xsl/ 
HTTP response code was an expected 200
5: &lt;/head&gt; 6: &lt;body&gt; 7: &lt;h1&gt;Index of /manual/style/xsl&lt;/h1&gt; 8: &lt;table&gt; 9: ...CO]""&gt;&lt;/th&gt;&lt;th&gt;&lt;a href=""?C=N;O=D""&gt;Name&lt;/a&gt;&lt;/th&gt;&lt;th&gt;&lt;a href=""?C=M;O=A..."
"HTTP request to  https://81.192.11.155/manual/style/scripts/ 
HTTP response code was an expected 200
5: &lt;/head&gt; 6: &lt;body&gt; 7: &lt;h1&gt;Index of /manual/style/scripts&lt;/h1&gt; 8: &lt;table&gt; 9: ...CO]""&gt;&lt;/th&gt;&lt;th&gt;&lt;a href=""?C=N;O=D""&gt;Name&lt;/a&gt;&lt;/th&gt;&lt;th&gt;&lt;a href=""?C=M;O=A..."
"HTTP request to  https://81.192.11.155/manual/style/css/ 
HTTP response code was an expected 200
5: &lt;/head&gt; 6: &lt;body&gt; 7: &lt;h1&gt;Index of /manual/style/css&lt;/h1&gt; 8: &lt;table&gt; 9: ...CO]""&gt;&lt;/th&gt;&lt;th&gt;&lt;a href=""?C=N;O=D""&gt;Name&lt;/a&gt;&lt;/th&gt;&lt;th&gt;&lt;a href=""?C=M;O=A..."
"HTTP request to  https://81.192.11.155/manual/style/ 
HTTP response code was an expected 200
5: &lt;/head&gt; 6: &lt;body&gt; 7: &lt;h1&gt;Index of /manual/style&lt;/h1&gt; 8: &lt;table&gt; 9: ...CO]""&gt;&lt;/th&gt;&lt;th&gt;&lt;a href=""?C=N;O=D""&gt;Name&lt;/a&gt;&lt;/th&gt;&lt;th&gt;&lt;a href=""?C=M;O=A..."
"HTTP request to  https://81.192.11.155/manual/style/latex/ 
HTTP response code was an expected 200
5: &lt;/head&gt; 6: &lt;body&gt; 7: &lt;h1&gt;Index of /manual/style/latex&lt;/h1&gt; 8: &lt;table&gt; 9: ...CO]""&gt;&lt;/th&gt;&lt;th&gt;&lt;a href=""?C=N;O=D""&gt;Name&lt;/a&gt;&lt;/th&gt;&lt;th&gt;&lt;a href=""?C=M;O=A..."
"HTTP request to  https://81.192.11.155/manual/images/ 
HTTP response code was an expected 200
5: &lt;/head&gt; 6: &lt;body&gt; 7: &lt;h1&gt;Index of /manual/images&lt;/h1&gt; 8: &lt;table&gt; 9: ...CO]""&gt;&lt;/th&gt;&lt;th&gt;&lt;a href=""?C=N;O=D""&gt;Name&lt;/a&gt;&lt;/th&gt;&lt;th&gt;&lt;a href=""?C=M;O=A..."
"HTTP request to  https://81.192.11.155/manual/style/lang/ 
HTTP response code was an expected 200
5: &lt;/head&gt; 6: &lt;body&gt; 7: &lt;h1&gt;Index of /manual/style/lang&lt;/h1&gt; 8: &lt;table&gt; 9: ...CO]""&gt;&lt;/th&gt;&lt;th&gt;&lt;a href=""?C=N;O=D""&gt;Name&lt;/a&gt;&lt;/th&gt;&lt;th&gt;&lt;a href=""?C=M;O=A..."
"HTTP request to  https://81.192.11.155/icons/small/ 
HTTP response code was an expected 200
5: &lt;/head&gt; 6: &lt;body&gt; 7: &lt;h1&gt;Index of /icons/small&lt;/h1&gt; 8: &lt;table&gt; 9: ...CO]""&gt;&lt;/th&gt;&lt;th&gt;&lt;a href=""?C=N;O=D""&gt;Name&lt;/a&gt;&lt;/th&gt;&lt;th&gt;&lt;a href=""?C=M;O=A..."</t>
  </si>
  <si>
    <t>drupal-cve-2020-36193</t>
  </si>
  <si>
    <t>Drupal: CVE-2020-36193: Drupal core - Critical - Third-party libraries - SA-CORE-2021-001</t>
  </si>
  <si>
    <t>Tar.php in Archive_Tar through 1.4.11 allows write operations with Directory Traversal due to inadequate checking of symbolic links, a related issue to CVE-2020-28948.</t>
  </si>
  <si>
    <t>* Upgrade to drupal version 7.78_x000D_
      Download and apply the upgrade from:  https://www.drupal.org/project/drupal/releases _x000D_
_x000D_
_x000D_
 * Upgrade to drupal version 8.9.1_x000D_
      Download and apply the upgrade from:  https://www.drupal.org/project/drupal/releases _x000D_
_x000D_
_x000D_
 * Upgrade to drupal version 9.0.1_x000D_
      Download and apply the upgrade from:  https://www.drupal.org/project/drupal/releases _x000D_
_x000D_
_x000D_
 * Upgrade to drupal version 9.1.3_x000D_
      Download and apply the upgrade from:  https://www.drupal.org/project/drupal/releases</t>
  </si>
  <si>
    <t>https://www.drupal.org/sa-core-2021-001</t>
  </si>
  <si>
    <t>CVE-2020-36193</t>
  </si>
  <si>
    <t>* Running HTTPS service_x000D_
_x000D_
 * Vulnerable version of component jQuery found -- jQuery 1.6.2</t>
  </si>
  <si>
    <t>Cookie is not marked as secure: 'SameSite=Lax; path=/cgi-bin/MANGA; domain=81.192.11.131'_x000D_
_x000D_
URL:  https://81.192.11.131/cgi-bin/MANGA/index.cgi</t>
  </si>
  <si>
    <t>Cookie is not marked as HttpOnly: 'SameSite=Lax; path=/cgi-bin/MANGA; domain=81.192.11.131'_x000D_
_x000D_
URL:  https://81.192.11.131/cgi-bin/MANGA/index.cgi</t>
  </si>
  <si>
    <t>The subject common name found in the X.509 certificate does not seem to match the scan target:_x000D_
 * Subject CN captive-portal.peplink.com does not match target name specified in the site._x000D_
_x000D_
 * Subject CN captive-portal.peplink.com does not match DNS name specified in the site._x000D_
_x000D_
 * Subject CN captive-portal.peplink.com could not be resolved to an IP address via DNS lookup_x000D_
_x000D_
 * Subject Alternative Name captive-portal.peplink.com does not match target name specified in the site._x000D_
_x000D_
 * Subject Alternative Name www.captive-portal.peplink.com does not match target name specified in the site._x000D_
_x000D_
 * Subject Alternative Name captive-portal.peplink.com does not match DNS name specified in the site._x000D_
_x000D_
 * Subject Alternative Name www.captive-portal.peplink.com does not match DNS name specified in the site.</t>
  </si>
  <si>
    <t>2007-08-03</t>
  </si>
  <si>
    <t>1997-08-01</t>
  </si>
  <si>
    <t>2001-01-01</t>
  </si>
  <si>
    <t>2018-01-16</t>
  </si>
  <si>
    <t>2011-05-31</t>
  </si>
  <si>
    <t>2008-09-17</t>
  </si>
  <si>
    <t>2021-01-18</t>
  </si>
  <si>
    <t>2020-05-19</t>
  </si>
  <si>
    <t>2018-01-18</t>
  </si>
  <si>
    <t>2013-03-08</t>
  </si>
  <si>
    <t>67 Days</t>
  </si>
  <si>
    <t>HTTP request to  https://81.192.11.179/icons/ 
HTTP response code was an expected 200
5: &lt;/head&gt; 6: &lt;body&gt; 7: &lt;h1&gt;Index of /icons&lt;/h1&gt; 8: &lt;table&gt; 9: ...CO]"&gt;&lt;/th&gt;&lt;th&gt;&lt;a href="?C=N;O=D"&gt;Name&lt;/a&gt;&lt;/th&gt;&lt;th&gt;&lt;a href="?C=M;O=A...</t>
  </si>
  <si>
    <t>Serveur injoignable depuis 7/15/2020.</t>
  </si>
  <si>
    <t>Cumul</t>
  </si>
  <si>
    <t>Mois de Scan</t>
  </si>
  <si>
    <t>Volume des vulnérabilités traitées par scan à date</t>
  </si>
  <si>
    <t>Volume des nouvelles vulnérabilités détéctées</t>
  </si>
  <si>
    <t>Taux de traitement du volume traité par scan</t>
  </si>
  <si>
    <t>81.192.11.129 / Ancien Site Web Institut CDG</t>
  </si>
  <si>
    <t>Arrété</t>
  </si>
  <si>
    <t>SI  arrêté (Webvoid)</t>
  </si>
  <si>
    <t>81.192.11.129 / New Site Web Institut CDG</t>
  </si>
  <si>
    <t>SI  arrêté (Site Web CDG)</t>
  </si>
  <si>
    <t>SI  arrêté (WiFAQ)</t>
  </si>
  <si>
    <t>SI  arrêté ( Web site CGI)</t>
  </si>
  <si>
    <t xml:space="preserve">SI Arrété (Site Web - Fondation) </t>
  </si>
  <si>
    <t>Si Arrété (Site Web Institut CDG)</t>
  </si>
  <si>
    <t>CHK</t>
  </si>
  <si>
    <t xml:space="preserve">Not Fixed 'Encours d'investigation) </t>
  </si>
  <si>
    <t>Sev LVL</t>
  </si>
  <si>
    <t>Elvée</t>
  </si>
  <si>
    <t>1</t>
  </si>
  <si>
    <t>4</t>
  </si>
  <si>
    <t>HTTP request to  https://81.192.11.151/icons/small/ _x000D_
HTTP response code was an expected 200_x000D_
5: &lt;/head&gt; 6: &lt;body&gt; 7: &lt;h1&gt;Index of /icons/small&lt;/h1&gt; 8: &lt;table&gt; 9: ...CO]"&gt;&lt;/th&gt;&lt;th&gt;&lt;a href="?C=N;O=D"&gt;Name&lt;/a&gt;&lt;/th&gt;&lt;th&gt;&lt;a href="?C=M;O=A...</t>
  </si>
  <si>
    <t>* Running HTTPS service_x000D_
_x000D_
_x000D_
_x000D_
HTTP request to  https://81.192.11.151/icons/small/ _x000D_
HTTP response code was an expected 200_x000D_
1: text/html;charset=ISO-8859-1_x000D_
_x000D_
HTTP header 'Content-Type' was present and matched expectation_x000D_
_x000D_
HTTP header 'Content-Security-Policy' not present_x000D_
_x000D_
HTTP header 'X-Frame-Options' not present</t>
  </si>
  <si>
    <t>ll81-2-179-11-192-81.ll81-2.iam.net.ma</t>
  </si>
  <si>
    <t>81.192.11.179/Amanti</t>
  </si>
  <si>
    <t xml:space="preserve">Check </t>
  </si>
  <si>
    <t>SI   arrêté (FIPAR)</t>
  </si>
  <si>
    <t>81.192.11.131\Peplink</t>
  </si>
  <si>
    <t>Peplink Vulnérabilité transférés à Orange</t>
  </si>
  <si>
    <t>Statut Actuel 2</t>
  </si>
  <si>
    <t xml:space="preserve">SI arrêté ( Web site CGI) Change de décom intitié •	C2020-031 </t>
  </si>
  <si>
    <t xml:space="preserve">SI arrêté (Site Web CDG) Change de décom intitié •	193129 </t>
  </si>
  <si>
    <t xml:space="preserve">SI arrêté (WiFAQ) Change de décom intitié  193124 </t>
  </si>
  <si>
    <t xml:space="preserve">SI arrêté (Webvoid)  Change de décom intitié •	193131 </t>
  </si>
  <si>
    <t xml:space="preserve">SI arrêté (Site Web - Fondation)  Change de décom intitié •	192761 </t>
  </si>
  <si>
    <t xml:space="preserve">Si arrêté (Site Web Institut CDG) Change de décom intitié •	193043 </t>
  </si>
  <si>
    <t>SI arrêté planification de l intervetion de l'éditeur encours (ExpressWay)</t>
  </si>
  <si>
    <t xml:space="preserve">SI arrêté (FIPAR) Change de décom intitié •	193130 </t>
  </si>
  <si>
    <t>Not Fixed en cours d'investigation</t>
  </si>
  <si>
    <t>(Dématérialisation Des Marchés) Vulnérabilités transférés à l'éditeur</t>
  </si>
  <si>
    <t>72 Days</t>
  </si>
  <si>
    <t>Volume Non Traité</t>
  </si>
  <si>
    <t xml:space="preserve"> arrêté </t>
  </si>
  <si>
    <t>éditeur</t>
  </si>
  <si>
    <t>Investigation / Planification Encours</t>
  </si>
  <si>
    <t>Volume des vulnérabilités non traités</t>
  </si>
  <si>
    <t>(HFM)</t>
  </si>
  <si>
    <t>(Signature parafeur)</t>
  </si>
  <si>
    <t>(Relais Mail)</t>
  </si>
  <si>
    <t>(SIRHAPP)</t>
  </si>
  <si>
    <t>Not Fixed en cours d'investigation / Planification</t>
  </si>
  <si>
    <t xml:space="preserve">(Peplink) transféré à Orange </t>
  </si>
  <si>
    <t>4.1.12-37.4.1.el6uek.x86_64</t>
  </si>
  <si>
    <t>NTP</t>
  </si>
  <si>
    <t>snpp (Simple Network Paging Protocol)</t>
  </si>
  <si>
    <t>NTP 4.2.6p5@1.2349-o</t>
  </si>
  <si>
    <t>HTTPD 2.2.15</t>
  </si>
  <si>
    <t>ntp-clock-variables-disclosure</t>
  </si>
  <si>
    <t>apache-httpd-cve-2012-0053</t>
  </si>
  <si>
    <t>apache-httpd-cve-2017-9798</t>
  </si>
  <si>
    <t>apache-httpd-cve-2017-9788</t>
  </si>
  <si>
    <t>apache-httpd-cve-2014-0098</t>
  </si>
  <si>
    <t>apache-httpd-cve-2017-3169</t>
  </si>
  <si>
    <t>apache-httpd-cve-2014-0118</t>
  </si>
  <si>
    <t>apache-httpd-cve-2016-5387</t>
  </si>
  <si>
    <t>apache-httpd-cve-2014-0226</t>
  </si>
  <si>
    <t>apache-httpd-obsolete</t>
  </si>
  <si>
    <t>apache-httpd-cve-2013-5704</t>
  </si>
  <si>
    <t>apache-httpd-cve-2013-6438</t>
  </si>
  <si>
    <t>apache-httpd-cve-2015-3183</t>
  </si>
  <si>
    <t>apache-httpd-cve-2011-3192</t>
  </si>
  <si>
    <t>apache-httpd-cve-2011-3348</t>
  </si>
  <si>
    <t>apache-httpd-cve-2009-3720</t>
  </si>
  <si>
    <t>apache-httpd-cve-2012-3499</t>
  </si>
  <si>
    <t>ntp-r7-2014-12-reslist-disclosure</t>
  </si>
  <si>
    <t>apache-httpd-cve-2017-3167</t>
  </si>
  <si>
    <t>apache-httpd-cve-2010-1623</t>
  </si>
  <si>
    <t>apache-httpd-cve-2011-3639</t>
  </si>
  <si>
    <t>apache-httpd-cve-2011-3607</t>
  </si>
  <si>
    <t>apache-httpd-cve-2011-4317</t>
  </si>
  <si>
    <t>apache-httpd-cve-2012-2687</t>
  </si>
  <si>
    <t>apache-httpd-cve-2009-3560</t>
  </si>
  <si>
    <t>apache-httpd-cve-2013-1862</t>
  </si>
  <si>
    <t>apache-httpd-cve-2014-0231</t>
  </si>
  <si>
    <t>apache-httpd-cve-2010-1452</t>
  </si>
  <si>
    <t>apache-httpd-cve-2012-0031</t>
  </si>
  <si>
    <t>apache-httpd-cve-2012-0883</t>
  </si>
  <si>
    <t>apache-httpd-cve-2011-3368</t>
  </si>
  <si>
    <t>ntp-monlist-dos-cve-2013-5211</t>
  </si>
  <si>
    <t>apache-httpd-cve-2013-1896</t>
  </si>
  <si>
    <t>apache-httpd-cve-2016-4975</t>
  </si>
  <si>
    <t>apache-httpd-cve-2012-4558</t>
  </si>
  <si>
    <t>apache-httpd-cve-2012-4557</t>
  </si>
  <si>
    <t>ntp-r7-2014-12-reslist-drdos</t>
  </si>
  <si>
    <t>apache-httpd-cve-2016-8743</t>
  </si>
  <si>
    <t>apache-httpd-cve-2011-0419</t>
  </si>
  <si>
    <t>apache-httpd-cve-2017-7679</t>
  </si>
  <si>
    <t>NTP clock variables information disclosure</t>
  </si>
  <si>
    <t>This sytem allows the internal NTP variables to be queried. These variables contain potentially sensitive information, such as the NTP software version, operating system version, peers, and more.</t>
  </si>
  <si>
    <t>* Disable NTP queries_x000D_
      _x000D_
       Apply a restrict option to all hosts that are not authorized to perform NTP queries. For example, to deny query requests from all clients, put the following in the NTP configuration file, typically /etc/ntp.conf, and restart the NTP service: _x000D_
_x000D_
       restrict default nomodify nopeer noquery notrap _x000D_
_x000D_
_x000D_
_x000D_
 * Cisco_x000D_
      Restrict NTP readvar queries_x000D_
_x000D_
      _x000D_
       Apply an ACL that restricts NTP readvar queries from unauthorized clients, as described in the  'Configuring an NTP Access Group' section of the Cisco IOS documentation (http://www.cisco.com/c/en/us/td/docs/ios/12_2/configfun/configuration/guide/ffun_c/fcf012.html#wp1034942) . _x000D_
_x000D_
       Alternatively, if NTP is not required, disable it entirely by running the following command: _x000D_
_x000D_
       ntp disable</t>
  </si>
  <si>
    <t>The following NTP variables were found from a readvar request: clk_jitter, clk_wander, clock, frequency, leap, mintc, offset, peer, precision, processor, refid, reftime, rootdelay, rootdisp, stratum, sys_jitter, system, tc, version</t>
  </si>
  <si>
    <t>Apache HTTPD: error responses can expose cookies (CVE-2012-0053)</t>
  </si>
  <si>
    <t>A flaw was found in the default error response for status code 400. This flaw could be used by an attacker to expose "httpOnly" cookies when no custom ErrorDocument is specified.</t>
  </si>
  <si>
    <t>* Apache HTTPD &gt;= 2.0 and &lt; 2.0.65_x000D_
      Upgrade to Apache HTTPD version 2.0.65_x000D_
_x000D_
      Download and apply the upgrade from:  http://archive.apache.org/dist/httpd/httpd-2.0.65.tar.gz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2.2.22_x000D_
      Upgrade to Apache HTTPD version 2.2.22_x000D_
_x000D_
      Download and apply the upgrade from:  http://archive.apache.org/dist/httpd/httpd-2.2.22.tar.gz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</si>
  <si>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 Running HTTPS service_x000D_
_x000D_
 * Product HTTPD exists -- Apache HTTPD 2.2.15_x000D_
_x000D_
 * Vulnerable version of product HTTPD found -- Apache HTTPD 2.2.15</t>
  </si>
  <si>
    <t>http://httpd.apache.org/security/vulnerabilities_20.html,http://httpd.apache.org/security/vulnerabilities_22.html</t>
  </si>
  <si>
    <t>CVE-2012-0053</t>
  </si>
  <si>
    <t>* Running HTTP service_x000D_
_x000D_
 * Product HTTPD exists -- Apache HTTPD 2.2.15_x000D_
_x000D_
 * Vulnerable version of product HTTPD found -- Apache HTTPD 2.2.15</t>
  </si>
  <si>
    <t>Apache HTTPD: Use-after-free when using &lt;Limit &gt; with an unrecognized method in .htaccess ("OptionsBleed") (CVE-2017-9798)</t>
  </si>
  <si>
    <t>When an unrecognized HTTP Method is given in an &lt;Limit {method}&gt; directive in an .htaccess file, and that .htaccess file is processed by the corresponding request, the global methods table is corrupted in the current worker process, resulting in erratic behaviour. This behavior may be avoided by listing all unusual HTTP Methods in a global httpd.conf RegisterHttpMethod directive in httpd release 2.4.25 and later. To permit other .htaccess directives while denying the &lt;Limit &gt; directive, see the AllowOverrideList directive. Source code patch (2.4) is at; CVE-2017-9798-patch-2.4.patch Source code patch (2.2) is at; CVE-2017-9798-patch-2.2.patch Note 2.2 is end-of-life, no further release with this fix is planned. Users are encouraged to migrate to 2.4.28 or later for this and other fixes.</t>
  </si>
  <si>
    <t>Apache HTTPD &gt;= 2.4 and &lt; 2.4.28_x000D_
_x000D_
Upgrade to Apache HTTPD version 2.4.28_x000D_
_x000D_
Download and apply the upgrade from:  http://archive.apache.org/dist/httpd/httpd-2.4.28.tar.gz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</si>
  <si>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http://httpd.apache.org/security/vulnerabilities_22.html,http://httpd.apache.org/security/vulnerabilities_24.html</t>
  </si>
  <si>
    <t>CVE-2017-9798</t>
  </si>
  <si>
    <t>Apache HTTPD: Uninitialized memory reflection in mod_auth_digest (CVE-2017-9788)</t>
  </si>
  <si>
    <t>The affected asset is vulnerable to this vulnerability ONLY if it is running one of the following modules: mod_auth_digest. Review your web server configuration for validation. The value placeholder in [Proxy-]Authorization headers of type 'Digest' was not initialized or reset before or between successive key=value assignments. by mod_auth_digest. Providing an initial key with no '=' assignment could reflect the stale value of uninitialized pool memory used by the prior request, leading to leakage of potentially confidential information, and a segfault.</t>
  </si>
  <si>
    <t>* Apache HTTPD &gt;= 2.2 and &lt; 2.2.34_x000D_
      Upgrade to Apache HTTPD version 2.2.34_x000D_
_x000D_
      Download and apply the upgrade from:  http://archive.apache.org/dist/httpd/httpd-2.2.34.tar.gz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2.4 and &lt; 2.4.27_x000D_
      Upgrade to Apache HTTPD version 2.4.27_x000D_
_x000D_
      Download and apply the upgrade from:  http://archive.apache.org/dist/httpd/httpd-2.4.27.tar.gz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</si>
  <si>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CVE-2017-9788</t>
  </si>
  <si>
    <t>Apache HTTPD: mod_log_config crash (CVE-2014-0098)</t>
  </si>
  <si>
    <t>The affected asset is vulnerable to this vulnerability ONLY if it is running one of the following modules: mod_log_config. Review your web server configuration for validation. A flaw was found in mod_log_config. A remote attacker could send a specific truncated cookie causing a crash. This crash would only be a denial of service if using a threaded MPM.</t>
  </si>
  <si>
    <t>* Apache HTTPD &gt;= 2.2 and &lt; 2.2.27_x000D_
      Upgrade to Apache HTTPD version 2.2.27_x000D_
_x000D_
      Download and apply the upgrade from:  http://archive.apache.org/dist/httpd/httpd-2.2.27.tar.gz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2.4 and &lt; 2.4.9_x000D_
      Upgrade to Apache HTTPD version 2.4.9_x000D_
_x000D_
      Download and apply the upgrade from:  http://archive.apache.org/dist/httpd/httpd-2.4.9.tar.gz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</si>
  <si>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CVE-2014-0098</t>
  </si>
  <si>
    <t>Apache HTTPD: mod_ssl Null Pointer Dereference (CVE-2017-3169)</t>
  </si>
  <si>
    <t>The affected asset is vulnerable to this vulnerability ONLY if it is running one of the following modules: mod_ssl. Review your web server configuration for validation. mod_ssl may dereference a NULL pointer when third-party modules call ap_hook_process_connection() during an HTTP request to an HTTPS port.</t>
  </si>
  <si>
    <t>* Apache HTTPD &gt;= 2.2 and &lt; 2.2.34_x000D_
      Upgrade to Apache HTTPD version 2.2.34_x000D_
_x000D_
      Download and apply the upgrade from:  http://archive.apache.org/dist/httpd/httpd-2.2.34.tar.gz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2.4 and &lt; 2.4.26_x000D_
      Upgrade to Apache HTTPD version 2.4.26_x000D_
_x000D_
      Download and apply the upgrade from:  http://archive.apache.org/dist/httpd/httpd-2.4.26.tar.gz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</si>
  <si>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CVE-2017-3169</t>
  </si>
  <si>
    <t>Apache HTTPD: mod_deflate denial of service (CVE-2014-0118)</t>
  </si>
  <si>
    <t>The affected asset is vulnerable to this vulnerability ONLY if it is running one of the following modules: mod_deflate. Review your web server configuration for validation.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t>
  </si>
  <si>
    <t>* Apache HTTPD &gt;= 2.2 and &lt; 2.2.29_x000D_
      Upgrade to Apache HTTPD version 2.2.29_x000D_
_x000D_
      Download and apply the upgrade from:  http://archive.apache.org/dist/httpd/httpd-2.2.29.tar.gz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2.4 and &lt; 2.4.10_x000D_
      Upgrade to Apache HTTPD version 2.4.10_x000D_
_x000D_
      Download and apply the upgrade from:  http://archive.apache.org/dist/httpd/httpd-2.4.10.tar.gz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</si>
  <si>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CVE-2014-0118</t>
  </si>
  <si>
    <t>Apache HTTPD: HTTP_PROXY environment variable "httpoxy" mitigation (CVE-2016-5387)</t>
  </si>
  <si>
    <t>HTTP_PROXY is a well-defined environment variable in a CGI process, which collided with a number of libraries which failed to avoid colliding with this CGI namespace. A mitigation is provided for the httpd CGI environment to avoid populating the "HTTP_PROXY" variable from a "Proxy:" header, which has never been registered by IANA. This workaround and patch are documented in the ASF Advisory at asf-httpoxy-response.txt and incorporated in the 2.4.25 and 2.2.32 releases. Note: This is not assigned an httpd severity, as it is a defect in other software which overloaded well-established CGI environment variables, and does not reflect an error in HTTP server software.</t>
  </si>
  <si>
    <t>* Apache HTTPD &gt;= 2.2 and &lt; 2.2.32_x000D_
      Upgrade to Apache HTTPD version 2.2.32_x000D_
_x000D_
      Download and apply the upgrade from:  http://archive.apache.org/dist/httpd/httpd-2.2.32.tar.gz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2.4 and &lt; 2.4.25_x000D_
      Upgrade to Apache HTTPD version 2.4.25_x000D_
_x000D_
      Download and apply the upgrade from:  http://archive.apache.org/dist/httpd/httpd-2.4.25.tar.gz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</si>
  <si>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CVE-2016-5387</t>
  </si>
  <si>
    <t>Apache HTTPD: mod_status buffer overflow (CVE-2014-0226)</t>
  </si>
  <si>
    <t>The affected asset is vulnerable to this vulnerability ONLY if it is running one of the following modules: mod_status. Review your web server configuration for validation.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t>
  </si>
  <si>
    <t>CVE-2014-0226</t>
  </si>
  <si>
    <t>Obsolete Version of Apache HTTPD</t>
  </si>
  <si>
    <t>Older versions of Apache HTTPD (prior to 2.4.X) are no longer officially supported. There may exist unreported vulnerabilities for these versions. An upgrade to the latest version should be applied to mitigate these unknown risks.</t>
  </si>
  <si>
    <t>Upgrade to the latest version of Apache HTTPD_x000D_
_x000D_
Download and apply the upgrade from:  http://archive.apache.org/dist/httpd/httpd-2.4.46.tar.gz _x000D_
_x000D_
_x000D_
The latest version of Apache HTTPD is 2.4.46._x000D_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</si>
  <si>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https://en.wikipedia.org/wiki/Apache_HTTP_Server,https://httpd.apache.org</t>
  </si>
  <si>
    <t>Apache HTTPD: HTTP Trailers processing bypass (CVE-2013-5704)</t>
  </si>
  <si>
    <t>HTTP trailers could be used to replace HTTP headers late during request processing, potentially undoing or otherwise confusing modules that examined or modified request headers earlier. This fix adds the "MergeTrailers" directive to restore legacy behavior.</t>
  </si>
  <si>
    <t>* Apache HTTPD &gt;= 2.2 and &lt; 2.2.29_x000D_
      Upgrade to Apache HTTPD version 2.2.29_x000D_
_x000D_
      Download and apply the upgrade from:  http://archive.apache.org/dist/httpd/httpd-2.2.29.tar.gz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2.4 and &lt; 2.4.12_x000D_
      Upgrade to Apache HTTPD version 2.4.12_x000D_
_x000D_
      Download and apply the upgrade from:  http://archive.apache.org/dist/httpd/httpd-2.4.12.tar.gz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</si>
  <si>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CVE-2013-5704</t>
  </si>
  <si>
    <t>Apache HTTPD: mod_dav crash (CVE-2013-6438)</t>
  </si>
  <si>
    <t>The affected asset is vulnerable to this vulnerability ONLY if it is running one of the following modules: mod_dav. Review your web server configuration for validation.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t>
  </si>
  <si>
    <t>CVE-2013-6438</t>
  </si>
  <si>
    <t>Apache HTTPD: HTTP request smuggling attack against chunked request parser (CVE-2015-3183)</t>
  </si>
  <si>
    <t>An HTTP request smuggling attack was possible due to a bug in parsing of chunked requests. A malicious client could force the server to misinterpret the request length, allowing cache poisoning or credential hijacking if an intermediary proxy is in use.</t>
  </si>
  <si>
    <t>* Apache HTTPD &gt;= 2.2 and &lt; 2.2.31_x000D_
      Upgrade to Apache HTTPD version 2.2.31_x000D_
_x000D_
      Download and apply the upgrade from:  http://archive.apache.org/dist/httpd/httpd-2.2.31.tar.gz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2.4 and &lt; 2.4.16_x000D_
      Upgrade to Apache HTTPD version 2.4.16_x000D_
_x000D_
      Download and apply the upgrade from:  http://archive.apache.org/dist/httpd/httpd-2.4.16.tar.gz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</si>
  <si>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CVE-2015-3183</t>
  </si>
  <si>
    <t>Apache HTTPD: Range header remote DoS (CVE-2011-3192)</t>
  </si>
  <si>
    <t>A flaw was found in the way the Apache HTTP Server handled Range HTTP headers. A remote attacker could use this flaw to cause httpd to use an excessive amount of memory and CPU time via HTTP requests with a specially-crafted Range header. This could be used in a denial of service attack. Advisory: CVE-2011-3192.txt</t>
  </si>
  <si>
    <t>* Apache HTTPD &gt;= 2.0 and &lt; 2.0.65_x000D_
      Upgrade to Apache HTTPD version 2.0.65_x000D_
_x000D_
      Download and apply the upgrade from:  http://archive.apache.org/dist/httpd/httpd-2.0.65.tar.gz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2.2.20_x000D_
      Upgrade to Apache HTTPD version 2.2.20_x000D_
_x000D_
      Download and apply the upgrade from:  http://archive.apache.org/dist/httpd/httpd-2.2.20.tar.gz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</si>
  <si>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CVE-2011-3192</t>
  </si>
  <si>
    <t>Apache HTTPD: mod_proxy_ajp remote DoS (CVE-2011-3348)</t>
  </si>
  <si>
    <t>The affected asset is vulnerable to this vulnerability ONLY if it is running one of the following modules: mod_proxy_ajp. Review your web server configuration for validation. A flaw was found when mod_proxy_ajp is used together with mod_proxy_balancer. Given a specific configuration, a remote attacker could send certain malformed HTTP requests, putting a backend server into an error state until the retry timeout expired. This could lead to a temporary denial of service.</t>
  </si>
  <si>
    <t>Apache HTTPD &gt;= 2.2 and &lt; 2.2.21_x000D_
_x000D_
Upgrade to Apache HTTPD version 2.2.21_x000D_
_x000D_
Download and apply the upgrade from:  http://archive.apache.org/dist/httpd/httpd-2.2.21.tar.gz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</si>
  <si>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http://httpd.apache.org/security/vulnerabilities_22.html</t>
  </si>
  <si>
    <t>CVE-2011-3348</t>
  </si>
  <si>
    <t>Apache HTTPD: expat DoS (CVE-2009-3720)</t>
  </si>
  <si>
    <t>The affected asset is vulnerable to this vulnerability ONLY if an attacker is able to get Apache to parse an untrusted XML document. Review your web server configuration for validation. A buffer over-read flaw was found in the bundled expat library. An attacker who is able to get Apache to parse an untrused XML document (for example through mod_dav) may be able to cause a crash. This crash would only be a denial of service if using the worker MPM.</t>
  </si>
  <si>
    <t>* Apache HTTPD &gt;= 2.0 and &lt; 2.0.64_x000D_
      Upgrade to Apache HTTPD version 2.0.64_x000D_
_x000D_
      Download and apply the upgrade from:  http://archive.apache.org/dist/httpd/httpd-2.0.64.tar.gz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2.2.17_x000D_
      Upgrade to Apache HTTPD version 2.2.17_x000D_
_x000D_
      Download and apply the upgrade from:  http://archive.apache.org/dist/httpd/httpd-2.2.17.tar.gz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</si>
  <si>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CVE-2009-3720</t>
  </si>
  <si>
    <t>Apache HTTPD: XSS due to unescaped hostnames (CVE-2012-3499)</t>
  </si>
  <si>
    <t>The affected asset is vulnerable to this vulnerability ONLY if it is running one of the following modules: mod_imagemap, mod_info, mod_ldap, mod_proxy_ftp, mod_status. Review your web server configuration for validation. Various XSS flaws due to unescaped hostnames and URIs HTML output in mod_info, mod_status, mod_imagemap, mod_ldap, and mod_proxy_ftp.</t>
  </si>
  <si>
    <t>* Apache HTTPD &gt;= 2.2 and &lt; 2.2.24_x000D_
      Upgrade to Apache HTTPD version 2.2.24_x000D_
_x000D_
      Download and apply the upgrade from:  http://archive.apache.org/dist/httpd/httpd-2.2.24.tar.gz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2.4 and &lt; 2.4.4_x000D_
      Upgrade to Apache HTTPD version 2.4.4_x000D_
_x000D_
      Download and apply the upgrade from:  http://archive.apache.org/dist/httpd/httpd-2.4.4.tar.gz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</si>
  <si>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CVE-2012-3499</t>
  </si>
  <si>
    <t>NTP: Information disclosure in reslist feature of ntpd (CVE-2014-5209)</t>
  </si>
  <si>
    <t>An NTP private (mode 7) message for the XNTPD_OLD (2) and XNTPD (3) implementation with the GET_RESTRICT (16) request code will return the list of hosts/networks that have particular restrictions applied to them. This is the equivalent of an ACL and should be considered sensitive because it can disclose the internal or alternative IP addresses and/or networks used by the NTP server as well as any other networks or hosts that have unique, possibly more lax restrictions applied when communicating with this NTP server, potentially showing further attack vectors.</t>
  </si>
  <si>
    <t>Disable NTP queries_x000D_
_x000D_
_x000D_
 Apply a restrict option to all hosts that are not authorized to perform NTP queries. For example, to deny query requests from all clients, put the following in the NTP configuration file, typically /etc/ntp.conf, and restart the NTP service: _x000D_
_x000D_
 restrict default nomodify nopeer noquery notrap</t>
  </si>
  <si>
    <t>* Running NTP service_x000D_
_x000D_
Based on the result of the "ntp-r7-2014-12-reslist-drdos" test, this node is applicable to this issue.</t>
  </si>
  <si>
    <t>https://community.rapid7.com/community/metasploit/blog/2014/08/25/r7-2014-12-more-amplification-vulnerabilities-in-ntp-allow-even-more-drdos-attacks</t>
  </si>
  <si>
    <t>CVE-2014-5209</t>
  </si>
  <si>
    <t>Apache HTTPD: ap_get_basic_auth_pw() Authentication Bypass (CVE-2017-3167)</t>
  </si>
  <si>
    <t>Use of the ap_get_basic_auth_pw() by third-party modules outside of the authentication phase may lead to authentication requirements being bypassed. Third-party module writers SHOULD use ap_get_basic_auth_components(), available in 2.2.34 and 2.4.26, instead of ap_get_basic_auth_pw(). Modules which call the legacy ap_get_basic_auth_pw() during the authentication phase MUST either immediately authenticate the user after the call, or else stop the request immediately with an error response, to avoid incorrectly authenticating the current request.</t>
  </si>
  <si>
    <t>CVE-2017-3167</t>
  </si>
  <si>
    <t>* _x000D_
      Negotiated with the following insecure cipher suites: _x000D_
    * TLS 1.0 ciphers: _x000D_
       * TLS_DHE_RSA_WITH_AES_128_CBC_SHA_x000D_
_x000D_
       * TLS_DHE_RSA_WITH_AES_256_CBC_SHA_x000D_
_x000D_
       * TLS_DHE_RSA_WITH_CAMELLIA_128_CBC_SHA_x000D_
_x000D_
       * TLS_DHE_RSA_WITH_CAMELLIA_256_CBC_SHA_x000D_
_x000D_
       * TLS_ECDHE_RSA_WITH_AES_128_CBC_SHA_x000D_
_x000D_
       * TLS_ECDHE_RSA_WITH_AES_256_CBC_SHA_x000D_
_x000D_
       * TLS_RSA_WITH_3DES_EDE_CBC_SHA_x000D_
_x000D_
       * TLS_RSA_WITH_AES_128_CBC_SHA_x000D_
_x000D_
       * TLS_RSA_WITH_AES_256_CBC_SHA_x000D_
_x000D_
       * TLS_RSA_WITH_CAMELLIA_128_CBC_SHA_x000D_
_x000D_
       * TLS_RSA_WITH_CAMELLIA_256_CBC_SHA</t>
  </si>
  <si>
    <t>Apache HTTPD: apr_bridage_split_line DoS (CVE-2010-1623)</t>
  </si>
  <si>
    <t>The affected asset is vulnerable to this vulnerability ONLY if Apache processes non-SSL requests. Review your web server configuration for validation. A flaw was found in the apr_brigade_split_line() function of the bundled APR-util library, used to process non-SSL requests. A remote attacker could send requests, carefully crafting the timing of individual bytes, which would slowly consume memory, potentially leading to a denial of service.</t>
  </si>
  <si>
    <t>CVE-2010-1623</t>
  </si>
  <si>
    <t>* Running HTTPS service_x000D_
_x000D_
_x000D_
_x000D_
_x000D_
HTTP TRACE request to  https://81.192.11.189/ _x000D_
_x000D_
1: TRACE / HTTP/1.1 2: Host: 81.192.11.189 3: Cookie: vulnerable=yes</t>
  </si>
  <si>
    <t>Apache HTTPD: Potential pattern expansion problem when mod-proxy and mod-rewrite are used together (CVE-2011-3639)</t>
  </si>
  <si>
    <t>The affected asset is vulnerable to this vulnerability ONLY if proxyPassMatch pattern matches for configuration of a reverse proxy, which allows remote attackers to send requests to intranet servers by using the HTTP/0.9 protocol with a malformed URI containing an initial @ (at sign) character. Review your web server configuration for validation.</t>
  </si>
  <si>
    <t>* Apache HTTPD &gt;= 2.0 and &lt; 2.0.65_x000D_
      Upgrade to Apache HTTPD version 2.0.65_x000D_
_x000D_
      Download and apply the upgrade from:  http://archive.apache.org/dist/httpd/httpd-2.0.65.tar.gz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2.2.18_x000D_
      Upgrade to Apache HTTPD version 2.2.18_x000D_
_x000D_
      Download and apply the upgrade from:  http://archive.apache.org/dist/httpd/httpd-2.2.18.tar.gz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</si>
  <si>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CVE-2011-3639</t>
  </si>
  <si>
    <t>Apache HTTPD: mod_setenvif .htaccess privilege escalation (CVE-2011-3607)</t>
  </si>
  <si>
    <t>The affected asset is vulnerable to this vulnerability ONLY if it is running one of the following modules: mod_setenvif. Review your web server configuration for validation. An integer overflow flaw was found which, when the mod_setenvif module is enabled, could allow local users to gain privileges via a .htaccess file.</t>
  </si>
  <si>
    <t>CVE-2011-3607</t>
  </si>
  <si>
    <t>Apache HTTPD: mod_proxy reverse proxy exposure  (CVE-2011-4317)</t>
  </si>
  <si>
    <t>The affected asset is vulnerable to this vulnerability ONLY if it is running one of the following modules: mod_proxy. Review your web server configuration for validation. An additional exposure was found when using mod_proxy in reverse proxy mode. In certain configurations using RewriteRule with proxy flag or ProxyPassMatch, a remote attacker could cause the reverse proxy to connect to an arbitrary server, possibly disclosing sensitive information from internal web servers not directly accessible to attacker.</t>
  </si>
  <si>
    <t>Apache HTTPD &gt;= 2.2 and &lt; 2.2.22_x000D_
_x000D_
Upgrade to Apache HTTPD version 2.2.22_x000D_
_x000D_
Download and apply the upgrade from:  http://archive.apache.org/dist/httpd/httpd-2.2.22.tar.gz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</si>
  <si>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CVE-2011-4317</t>
  </si>
  <si>
    <t>Apache HTTPD: XSS in mod_negotiation when untrusted uploads are supported (CVE-2012-2687)</t>
  </si>
  <si>
    <t>The affected asset is vulnerable to this vulnerability ONLY if it is running one of the following modules: mod_negotiation. Review your web server configuration for validation. Possible XSS for sites which use mod_negotiation and allow untrusted uploads to locations which have MultiViews enabled. Note: This issue is also known as CVE-2008-0455.</t>
  </si>
  <si>
    <t>* Apache HTTPD &gt;= 2.2 and &lt; 2.2.23_x000D_
      Upgrade to Apache HTTPD version 2.2.23_x000D_
_x000D_
      Download and apply the upgrade from:  http://archive.apache.org/dist/httpd/httpd-2.2.23.tar.gz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2.4 and &lt; 2.4.3_x000D_
      Upgrade to Apache HTTPD version 2.4.3_x000D_
_x000D_
      Download and apply the upgrade from:  http://archive.apache.org/dist/httpd/httpd-2.4.3.tar.gz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</si>
  <si>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CVE-2012-2687</t>
  </si>
  <si>
    <t>Apache HTTPD: expat DoS (CVE-2009-3560)</t>
  </si>
  <si>
    <t>CVE-2009-3560</t>
  </si>
  <si>
    <t>Apache HTTPD: mod_rewrite log escape filtering (CVE-2013-1862)</t>
  </si>
  <si>
    <t>The affected asset is vulnerable to this vulnerability ONLY if it is running one of the following modules: mod_rewrite. Review your web server configuration for validation. mod_rewrite does not filter terminal escape sequences from logs, which could make it easier for attackers to insert those sequences into terminal emulators containing vulnerabilities related to escape sequences.</t>
  </si>
  <si>
    <t>* Apache HTTPD &gt;= 2.0 and &lt; 2.0.65_x000D_
      Upgrade to Apache HTTPD version 2.0.65_x000D_
_x000D_
      Download and apply the upgrade from:  http://archive.apache.org/dist/httpd/httpd-2.0.65.tar.gz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2.2.25_x000D_
      Upgrade to Apache HTTPD version 2.2.25_x000D_
_x000D_
      Download and apply the upgrade from:  http://archive.apache.org/dist/httpd/httpd-2.2.25.tar.gz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</si>
  <si>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CVE-2013-1862</t>
  </si>
  <si>
    <t>Apache HTTPD: mod_cgid denial of service (CVE-2014-0231)</t>
  </si>
  <si>
    <t>The affected asset is vulnerable to this vulnerability ONLY if it is running one of the following modules: mod_cgid. Review your web server configuration for validation. A flaw was found in mod_cgid. If a server using mod_cgid hosted CGI scripts which did not consume standard input, a remote attacker could cause child processes to hang indefinitely, leading to denial of service.</t>
  </si>
  <si>
    <t>CVE-2014-0231</t>
  </si>
  <si>
    <t>TLS/SSL certificate signed by unknown, untrusted CA: CN=Sectigo RSA Organization Validation Secure Server CA, O=Sectigo Limited, L=Salford, ST=Greater Manchester, C=GB -- [subject/issuer name chaining check failed, Path does not chain with any of the trust anchors].</t>
  </si>
  <si>
    <t>HTTP request to  https://81.192.11.189/icons/ _x000D_
HTTP response code was an expected 200_x000D_
4: &lt;title&gt;Index of /icons&lt;/title&gt; 5: &lt;/head&gt; 6: &lt;body&gt; 7: &lt;h1&gt;Index of /icons&lt;/h1&gt; 8: ...CO]"&gt;&lt;/th&gt;&lt;th&gt;&lt;a href="?C=N;O=D"&gt;Name&lt;/a&gt;&lt;/th&gt;&lt;th&gt;&lt;a href="?C=M;O=A...</t>
  </si>
  <si>
    <t>HTTP request to  http://81.192.11.189/icons/ _x000D_
HTTP response code was an expected 200_x000D_
4: &lt;title&gt;Index of /icons&lt;/title&gt; 5: &lt;/head&gt; 6: &lt;body&gt; 7: &lt;h1&gt;Index of /icons&lt;/h1&gt; 8: ...CO]"&gt;&lt;/th&gt;&lt;th&gt;&lt;a href="?C=N;O=D"&gt;Name&lt;/a&gt;&lt;/th&gt;&lt;th&gt;&lt;a href="?C=M;O=A...</t>
  </si>
  <si>
    <t>* Running HTTPS service_x000D_
_x000D_
_x000D_
_x000D_
HTTP request to  https://81.192.11.189/icons/?P=+ADw-script+AD4-alert(42)+ADw-/script+AD4- _x000D_
HTTP response code was an expected 200_x000D_
1: text/html;charset=UTF-8_x000D_
_x000D_
HTTP header 'Content-Type' was present and matched expectation_x000D_
_x000D_
HTTP header 'Content-Security-Policy' not present_x000D_
_x000D_
HTTP header 'X-Frame-Options' not present</t>
  </si>
  <si>
    <t>* Running HTTP service_x000D_
_x000D_
_x000D_
_x000D_
HTTP request to  http://81.192.11.189/icons/small/ _x000D_
HTTP response code was an expected 200_x000D_
1: text/html;charset=UTF-8_x000D_
_x000D_
HTTP header 'Content-Type' was present and matched expectation_x000D_
_x000D_
HTTP header 'Content-Security-Policy' not present_x000D_
_x000D_
HTTP header 'X-Frame-Options' not present</t>
  </si>
  <si>
    <t>Apache HTTPD: mod_cache and mod_dav DoS (CVE-2010-1452)</t>
  </si>
  <si>
    <t>The affected asset is vulnerable to this vulnerability ONLY if it is running one of the following modules: mod_cache, mod_dav. Review your web server configuration for validation. A flaw was found in the handling of requests by mod_cache (2.2) and mod_dav (2.0 and 2.2). A malicious remote attacker could send a carefully crafted request and cause a httpd child process to crash. This crash would only be a denial of service if using the worker MPM. This issue is further mitigated as mod_dav is only affected by requests that are most likely to be authenticated, and mod_cache is only affected if the uncommon "CacheIgnoreURLSessionIdentifiers" directive, introduced in version 2.2.14, is used.</t>
  </si>
  <si>
    <t>* Apache HTTPD &gt;= 2.0 and &lt; 2.0.64_x000D_
      Upgrade to Apache HTTPD version 2.0.64_x000D_
_x000D_
      Download and apply the upgrade from:  http://archive.apache.org/dist/httpd/httpd-2.0.64.tar.gz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2.2.16_x000D_
      Upgrade to Apache HTTPD version 2.2.16_x000D_
_x000D_
      Download and apply the upgrade from:  http://archive.apache.org/dist/httpd/httpd-2.2.16.tar.gz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</si>
  <si>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CVE-2010-1452</t>
  </si>
  <si>
    <t>Apache HTTPD: scoreboard parent DoS (CVE-2012-0031)</t>
  </si>
  <si>
    <t>A flaw was found in the handling of the scoreboard. An unprivileged child process could cause the parent process to crash at shutdown rather than terminate cleanly.</t>
  </si>
  <si>
    <t>CVE-2012-0031</t>
  </si>
  <si>
    <t>Apache HTTPD: insecure LD_LIBRARY_PATH handling (CVE-2012-0883)</t>
  </si>
  <si>
    <t>Insecure handling of LD_LIBRARY_PATH was found that could lead to the current working directory to be searched for DSOs. This could allow a local user to execute code as root if an administrator runs apachectl from an untrusted directory.</t>
  </si>
  <si>
    <t>* Apache HTTPD &gt;= 2.2 and &lt; 2.2.23_x000D_
      Upgrade to Apache HTTPD version 2.2.23_x000D_
_x000D_
      Download and apply the upgrade from:  http://archive.apache.org/dist/httpd/httpd-2.2.23.tar.gz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2.4 and &lt; 2.4.2_x000D_
      Upgrade to Apache HTTPD version 2.4.2_x000D_
_x000D_
      Download and apply the upgrade from:  http://archive.apache.org/dist/httpd/httpd-2.4.2.tar.gz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</si>
  <si>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CVE-2012-0883</t>
  </si>
  <si>
    <t>Apache HTTPD: mod_proxy reverse proxy exposure (CVE-2011-3368)</t>
  </si>
  <si>
    <t>The affected asset is vulnerable to this vulnerability ONLY if it is running one of the following modules: mod_proxy. Review your web server configuration for validation. An exposure was found when using mod_proxy in reverse proxy mode. In certain configurations using RewriteRule with proxy flag or ProxyPassMatch, a remote attacker could cause the reverse proxy to connect to an arbitrary server, possibly disclosing sensitive information from internal web servers not directly accessible to attacker. No update of 1.3 will be released. Patches will be published to https://archive.apache.org/dist/httpd/patches/apply_to_1.3.42/</t>
  </si>
  <si>
    <t>* Apache HTTPD &gt;= 1.3 and &lt; 2_x000D_
      Apply the patch for CVE-2011-3368 to 1.3_x000D_
_x000D_
      Download and apply the upgrade from:  http://archive.apache.org/dist/httpd/patches/apply_to_1.3.42/ _x000D_
_x000D_
      _x000D_
      No update of 1.3 will be released. Patches will be published to  http://archive.apache.org/dist/httpd/patches/apply_to_1.3.42/ _x000D_
_x000D_
_x000D_
_x000D_
 * Apache HTTPD &gt;= 2.0 and &lt; 2.0.65_x000D_
      Upgrade to Apache HTTPD version 2.0.65_x000D_
_x000D_
      Download and apply the upgrade from:  http://archive.apache.org/dist/httpd/httpd-2.0.65.tar.gz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2.2.22_x000D_
      Upgrade to Apache HTTPD version 2.2.22_x000D_
_x000D_
      Download and apply the upgrade from:  http://archive.apache.org/dist/httpd/httpd-2.2.22.tar.gz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</si>
  <si>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http://httpd.apache.org/security/vulnerabilities_13.html,http://httpd.apache.org/security/vulnerabilities_20.html,http://httpd.apache.org/security/vulnerabilities_22.html</t>
  </si>
  <si>
    <t>CVE-2011-3368</t>
  </si>
  <si>
    <t>NTP: DoS in monlist feature of ntpd (CVE-2013-5211)</t>
  </si>
  <si>
    <t>The monlist feature in ntp_request.c in ntpd in NTP before 4.2.7p26 allows remote attackers to cause a denial of service (traffic amplification) via forged (1) REQ_MON_GETLIST or (2) REQ_MON_GETLIST_1 requests, as exploited in the wild in December 2013.</t>
  </si>
  <si>
    <t>* Update ntpd 4.2.7x to ntpd 4.2.7p26 or greater_x000D_
      Download and apply the upgrade from:  http://www.ntp.org/downloads.html _x000D_
_x000D_
_x000D_
 * Disable NTP queries_x000D_
      _x000D_
       Apply a restrict option to all hosts that are not authorized to perform NTP queries. For example, to deny query requests from all clients, put the following in the NTP configuration file, typically /etc/ntp.conf, and restart the NTP service: _x000D_
_x000D_
       restrict default nomodify nopeer noquery notrap</t>
  </si>
  <si>
    <t>* Running NTP service_x000D_
_x000D_
 * Product NTP exists -- NTP 4.2.6p5@1.2349-o_x000D_
_x000D_
 * Vulnerable version of product NTP found -- NTP 4.2.6p5@1.2349-o</t>
  </si>
  <si>
    <t>CVE-2013-5211</t>
  </si>
  <si>
    <t>Apache HTTPD: mod_dav crash (CVE-2013-1896)</t>
  </si>
  <si>
    <t>The affected asset is vulnerable to this vulnerability ONLY if it is running one of the following modules: mod_dav. Review your web server configuration for validation. Sending a MERGE request against a URI handled by mod_dav_svn with the source href (sent as part of the request body as XML) pointing to a URI that is not configured for DAV will trigger a segfault.</t>
  </si>
  <si>
    <t>* Apache HTTPD &gt;= 2.2 and &lt; 2.2.25_x000D_
      Upgrade to Apache HTTPD version 2.2.25_x000D_
_x000D_
      Download and apply the upgrade from:  http://archive.apache.org/dist/httpd/httpd-2.2.25.tar.gz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2.4 and &lt; 2.4.6_x000D_
      Upgrade to Apache HTTPD version 2.4.6_x000D_
_x000D_
      Download and apply the upgrade from:  http://archive.apache.org/dist/httpd/httpd-2.4.6.tar.gz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</si>
  <si>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CVE-2013-1896</t>
  </si>
  <si>
    <t>Apache HTTPD: mod_userdir CRLF injection (CVE-2016-4975)</t>
  </si>
  <si>
    <t>The affected asset is vulnerable to this vulnerability ONLY if it is running one of the following modules: mod_userdir. Review your web server configuration for validation. Possible CRLF injection allowing HTTP response splitting attacks for sites which use mod_userdir. This issue was mitigated by changes made in 2.4.25 and 2.2.32 which prohibit CR or LF injection into the "Location" or other outbound header key or value.</t>
  </si>
  <si>
    <t>CVE-2016-4975</t>
  </si>
  <si>
    <t>Apache HTTPD: XSS in mod_proxy_balancer (CVE-2012-4558)</t>
  </si>
  <si>
    <t>The affected asset is vulnerable to this vulnerability ONLY if it is running one of the following modules: mod_proxy_balancer. Review your web server configuration for validation. A XSS flaw affected the mod_proxy_balancer manager interface.</t>
  </si>
  <si>
    <t>CVE-2012-4558</t>
  </si>
  <si>
    <t>Apache HTTPD: mod_proxy_ajp remote DoS (CVE-2012-4557)</t>
  </si>
  <si>
    <t>The affected asset is vulnerable to this vulnerability ONLY if it is running one of the following modules: mod_proxy_ajp. Review your web server configuration for validation. A flaw was found when mod_proxy_ajp connects to a backend server that takes too long to respond. Given a specific configuration, a remote attacker could send certain requests, putting a backend server into an error state until the retry timeout expired. This could lead to a temporary denial of service.</t>
  </si>
  <si>
    <t>CVE-2012-4557</t>
  </si>
  <si>
    <t>NTP: Traffic Amplification in reslist feature of ntpd</t>
  </si>
  <si>
    <t>An NTP private (mode 7) message for the XNTPD_OLD (2) and XNTPD (3) implementation with the GET_RESTRICT (16) request code will return the list of hosts/networks that have particular restrictions applied to them, splitting said response over several full-length packets if necessary, allowing a DRDoS attack to be conducted. The more peers in use, the more severe the potential DDRoS can be.</t>
  </si>
  <si>
    <t>* Running NTP service_x000D_
_x000D_
_x000D_
One 8-byte NTP version 2 mode 7 implementation 3 code 16 request with 0-byte payload resulted in no packet amplification and a 336-byte bandwidth amplification:_x000D_
 * 344-byte NTP version 2 mode 7 implementation 3 code 16 response with 336-byte payload_x000D_
_x000D_
_x000D_
One 8-byte NTP version 2 mode 7 implementation 2 code 16 request with 0-byte payload resulted in no packet amplification and a 48-byte bandwidth amplification:_x000D_
 * 56-byte NTP version 2 mode 7 implementation 2 code 16 response with 48-byte payload_x000D_
_x000D_
_x000D_
One 8-byte NTP version 3 mode 7 implementation 3 code 16 request with 0-byte payload resulted in no packet amplification and a 336-byte bandwidth amplification:_x000D_
 * 344-byte NTP version 3 mode 7 implementation 3 code 16 response with 336-byte payload_x000D_
_x000D_
_x000D_
One 8-byte NTP version 3 mode 7 implementation 2 code 16 request with 0-byte payload resulted in no packet amplification and a 48-byte bandwidth amplification:_x000D_
 * 56-byte NTP version 3 mode 7 implementation 2 code 16 response with 48-byte payload_x000D_
_x000D_
_x000D_
One 8-byte NTP version 4 mode 7 implementation 3 code 16 request with 0-byte payload resulted in no packet amplification and a 336-byte bandwidth amplification:_x000D_
 * 344-byte NTP version 4 mode 7 implementation 3 code 16 response with 336-byte payload_x000D_
_x000D_
_x000D_
One 8-byte NTP version 4 mode 7 implementation 2 code 16 request with 0-byte payload resulted in no packet amplification and a 48-byte bandwidth amplification:_x000D_
 * 56-byte NTP version 4 mode 7 implementation 2 code 16 response with 48-byte payload</t>
  </si>
  <si>
    <t>Apache HTTPD: Apache HTTP Request Parsing Whitespace Defects (CVE-2016-8743)</t>
  </si>
  <si>
    <t>Apache HTTP Server, prior to release 2.4.25 (2.2.32),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 RFC7230 Section 3.5 calls out some of these whitespace exceptions, and section 3.2.3 eliminated and clarified the role of implied whitespace in the grammer of this specification. Section 3.1.1 requires exactly one single SP between the method and request-target, and between the request-target and HTTP-version, followed immediately by a CRLF sequence. None of these fields permit any (unencoded) CTL character whatsoever. Section 3.2.4 explicitly disallowed any whitespace from the request header field prior to the ':' character, while Section 3.2 disallows all CTL characters in the request header line other than the HTAB character as whitespace. These defects represent a security concern when httpd is participating in any chain of proxies or interacting with back-end application servers, either through mod_proxy or using conventional CGI mechanisms. In each case where one agent accepts such CTL characters and does not treat them as whitespace, there is the possiblity in a proxy chain of generating two responses from a server behind the uncautious proxy agent. In a sequence of two requests, this results in request A to the first proxy being interpreted as requests A + A' by the backend server, and if requests A and B were submitted to the first proxy in a keepalive connection, the proxy may interpret response A' as the response to request B, polluting the cache or potentially serving the A' content to a different downstream user-agent. These defects are addressed with the release of Apache HTTP Server 2.4.25 and coordinated by a new directive; HttpProtocolOptions Strict which is the default behavior of 2.4.25 and later. By toggling from 'Strict' behavior to 'Unsafe' behavior, some of the restrictions may be relaxed to allow some invalid HTTP/1.1 clients to communicate with the server, but this will reintroduce the possibility of the problems described in this assessment. Note that relaxing the behavior to 'Unsafe' will still not permit raw CTLs other than HTAB (where permitted), but will allow other RFC requirements to not be enforced, such as exactly two SP characters in the request line.</t>
  </si>
  <si>
    <t>CVE-2016-8743</t>
  </si>
  <si>
    <t>Apache HTTPD: apr_fnmatch flaw leads to mod_autoindex remote DoS (CVE-2011-0419)</t>
  </si>
  <si>
    <t>The affected asset is vulnerable to this vulnerability ONLY if it is running one of the following modules: mod_autoindex. Review your web server configuration for validation. A flaw was found in the apr_fnmatch() function of the bundled APR library. Where mod_autoindex is enabled, and a directory indexed by mod_autoindex contained files with sufficiently long names, a remote attacker could send a carefully crafted request which would cause excessive CPU usage. This could be used in a denial of service attack. Workaround: Setting the 'IgnoreClient' option to the 'IndexOptions' directive disables processing of the client-supplied request query arguments, preventing this attack. Resolution: Update APR to release 1.4.5 (bundled with httpd 2.2.19) or release 0.9.20 (bundled with httpd 2.0.65)</t>
  </si>
  <si>
    <t>* Apache HTTPD &gt;= 2.0 and &lt; 2.0.65_x000D_
      Upgrade to Apache HTTPD version 2.0.65_x000D_
_x000D_
      Download and apply the upgrade from:  http://archive.apache.org/dist/httpd/httpd-2.0.65.tar.gz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
_x000D_
_x000D_
_x000D_
 * Apache HTTPD &gt;= 2.2 and &lt; 2.2.19_x000D_
      Upgrade to Apache HTTPD version 2.2.19_x000D_
_x000D_
      Download and apply the upgrade from:  http://archive.apache.org/dist/httpd/httpd-2.2.19.tar.gz _x000D_
_x000D_
      _x000D_
      Many platforms and distributions provide pre-built binary packages for Apache HTTP server. These pre-built packages are usually customized and optimized for a particular distribution, therefore we recommend that you use the packages if they are available for your operating system.</t>
  </si>
  <si>
    <t>CVE-2011-0419</t>
  </si>
  <si>
    <t>Apache HTTPD: mod_mime Buffer Overread (CVE-2017-7679)</t>
  </si>
  <si>
    <t>The affected asset is vulnerable to this vulnerability ONLY if it is running one of the following modules: mod_mime. Review your web server configuration for validation. mod_mime can read one byte past the end of a buffer when sending a malicious Content-Type response header.</t>
  </si>
  <si>
    <t>CVE-2017-7679</t>
  </si>
  <si>
    <t>http://nvd.nist.gov/vuln/detail/CVE-2012-0053</t>
  </si>
  <si>
    <t>http://nvd.nist.gov/vuln/detail/CVE-2017-9798</t>
  </si>
  <si>
    <t>http://nvd.nist.gov/vuln/detail/CVE-2017-9788</t>
  </si>
  <si>
    <t>http://nvd.nist.gov/vuln/detail/CVE-2014-0098</t>
  </si>
  <si>
    <t>http://nvd.nist.gov/vuln/detail/CVE-2017-3169</t>
  </si>
  <si>
    <t>http://nvd.nist.gov/vuln/detail/CVE-2014-0118</t>
  </si>
  <si>
    <t>http://nvd.nist.gov/vuln/detail/CVE-2016-5387</t>
  </si>
  <si>
    <t>http://nvd.nist.gov/vuln/detail/CVE-2014-0226</t>
  </si>
  <si>
    <t>http://nvd.nist.gov/vuln/detail/CVE-2013-5704</t>
  </si>
  <si>
    <t>http://nvd.nist.gov/vuln/detail/CVE-2013-6438</t>
  </si>
  <si>
    <t>http://nvd.nist.gov/vuln/detail/CVE-2015-3183</t>
  </si>
  <si>
    <t>http://nvd.nist.gov/vuln/detail/CVE-2011-3192</t>
  </si>
  <si>
    <t>http://nvd.nist.gov/vuln/detail/CVE-2011-3348</t>
  </si>
  <si>
    <t>http://nvd.nist.gov/vuln/detail/CVE-2009-3720</t>
  </si>
  <si>
    <t>http://nvd.nist.gov/vuln/detail/CVE-2012-3499</t>
  </si>
  <si>
    <t>http://nvd.nist.gov/vuln/detail/CVE-2014-5209</t>
  </si>
  <si>
    <t>http://nvd.nist.gov/vuln/detail/CVE-2017-3167</t>
  </si>
  <si>
    <t>http://nvd.nist.gov/vuln/detail/CVE-2010-1623</t>
  </si>
  <si>
    <t>http://nvd.nist.gov/vuln/detail/CVE-2011-3639</t>
  </si>
  <si>
    <t>http://nvd.nist.gov/vuln/detail/CVE-2011-3607</t>
  </si>
  <si>
    <t>http://nvd.nist.gov/vuln/detail/CVE-2011-4317</t>
  </si>
  <si>
    <t>http://nvd.nist.gov/vuln/detail/CVE-2012-2687</t>
  </si>
  <si>
    <t>http://nvd.nist.gov/vuln/detail/CVE-2009-3560</t>
  </si>
  <si>
    <t>http://nvd.nist.gov/vuln/detail/CVE-2013-1862</t>
  </si>
  <si>
    <t>http://nvd.nist.gov/vuln/detail/CVE-2014-0231</t>
  </si>
  <si>
    <t>http://nvd.nist.gov/vuln/detail/CVE-2010-1452</t>
  </si>
  <si>
    <t>http://nvd.nist.gov/vuln/detail/CVE-2012-0031</t>
  </si>
  <si>
    <t>http://nvd.nist.gov/vuln/detail/CVE-2012-0883</t>
  </si>
  <si>
    <t>http://nvd.nist.gov/vuln/detail/CVE-2011-3368</t>
  </si>
  <si>
    <t>http://nvd.nist.gov/vuln/detail/CVE-2013-5211</t>
  </si>
  <si>
    <t>http://nvd.nist.gov/vuln/detail/CVE-2013-1896</t>
  </si>
  <si>
    <t>http://nvd.nist.gov/vuln/detail/CVE-2016-4975</t>
  </si>
  <si>
    <t>http://nvd.nist.gov/vuln/detail/CVE-2012-4558</t>
  </si>
  <si>
    <t>http://nvd.nist.gov/vuln/detail/CVE-2012-4557</t>
  </si>
  <si>
    <t>http://nvd.nist.gov/vuln/detail/CVE-2016-8743</t>
  </si>
  <si>
    <t>http://nvd.nist.gov/vuln/detail/CVE-2011-0419</t>
  </si>
  <si>
    <t>http://nvd.nist.gov/vuln/detail/CVE-2017-7679</t>
  </si>
  <si>
    <t>81.192.11.189 / DTP</t>
  </si>
  <si>
    <t>22/04/2021</t>
  </si>
  <si>
    <t>22/04/2022</t>
  </si>
  <si>
    <t>22/04/2023</t>
  </si>
  <si>
    <t>22/04/2024</t>
  </si>
  <si>
    <t>22/04/2025</t>
  </si>
  <si>
    <t>22/04/2026</t>
  </si>
  <si>
    <t>22/04/2027</t>
  </si>
  <si>
    <t>22/04/2028</t>
  </si>
  <si>
    <t>22/04/2029</t>
  </si>
  <si>
    <t>22/04/2030</t>
  </si>
  <si>
    <t>22/04/2031</t>
  </si>
  <si>
    <t>22/04/2032</t>
  </si>
  <si>
    <t>22/04/2033</t>
  </si>
  <si>
    <t>22/04/2034</t>
  </si>
  <si>
    <t>22/04/2035</t>
  </si>
  <si>
    <t>22/04/2036</t>
  </si>
  <si>
    <t>22/04/2037</t>
  </si>
  <si>
    <t>22/04/2038</t>
  </si>
  <si>
    <t>22/04/2039</t>
  </si>
  <si>
    <t>22/04/2040</t>
  </si>
  <si>
    <t>22/04/2041</t>
  </si>
  <si>
    <t>22/04/2042</t>
  </si>
  <si>
    <t>22/04/2043</t>
  </si>
  <si>
    <t>22/04/2044</t>
  </si>
  <si>
    <t>22/04/2045</t>
  </si>
  <si>
    <t>22/04/2046</t>
  </si>
  <si>
    <t>22/04/2047</t>
  </si>
  <si>
    <t>22/04/2048</t>
  </si>
  <si>
    <t>22/04/2049</t>
  </si>
  <si>
    <t>22/04/2050</t>
  </si>
  <si>
    <t>22/04/2051</t>
  </si>
  <si>
    <t>22/04/2052</t>
  </si>
  <si>
    <t>22/04/2053</t>
  </si>
  <si>
    <t>22/04/2054</t>
  </si>
  <si>
    <t>22/04/2055</t>
  </si>
  <si>
    <t>22/04/2056</t>
  </si>
  <si>
    <t>22/04/2057</t>
  </si>
  <si>
    <t>22/04/2058</t>
  </si>
  <si>
    <t>22/04/2059</t>
  </si>
  <si>
    <t>22/04/2060</t>
  </si>
  <si>
    <t>22/04/2061</t>
  </si>
  <si>
    <t>22/04/2062</t>
  </si>
  <si>
    <t>22/04/2063</t>
  </si>
  <si>
    <t>22/04/2064</t>
  </si>
  <si>
    <t>22/04/2065</t>
  </si>
  <si>
    <t>22/04/2066</t>
  </si>
  <si>
    <t>22/04/2067</t>
  </si>
  <si>
    <t>22/04/2068</t>
  </si>
  <si>
    <t>22/04/2069</t>
  </si>
  <si>
    <t>22/04/2070</t>
  </si>
  <si>
    <t>22/04/2071</t>
  </si>
  <si>
    <t>22/04/2072</t>
  </si>
  <si>
    <t>22/04/2073</t>
  </si>
  <si>
    <t>22/04/2074</t>
  </si>
  <si>
    <t>22/04/2075</t>
  </si>
  <si>
    <t>22/04/2076</t>
  </si>
  <si>
    <t>22/04/2077</t>
  </si>
  <si>
    <t>22/04/2078</t>
  </si>
  <si>
    <t>22/04/2079</t>
  </si>
  <si>
    <t>22/04/2080</t>
  </si>
  <si>
    <t>22/04/2081</t>
  </si>
  <si>
    <t>22/04/2082</t>
  </si>
  <si>
    <t>22/04/2083</t>
  </si>
  <si>
    <t>22/04/2084</t>
  </si>
  <si>
    <t>22/04/2085</t>
  </si>
  <si>
    <t>22/04/2086</t>
  </si>
  <si>
    <t>22/04/2087</t>
  </si>
  <si>
    <t>22/04/2088</t>
  </si>
  <si>
    <t>22/04/2089</t>
  </si>
  <si>
    <t>22/04/2090</t>
  </si>
  <si>
    <t>22/04/2091</t>
  </si>
  <si>
    <t>22/04/2092</t>
  </si>
  <si>
    <t>22/04/2093</t>
  </si>
  <si>
    <t>22/04/2094</t>
  </si>
  <si>
    <t>22/04/2095</t>
  </si>
  <si>
    <t>22/04/2099</t>
  </si>
  <si>
    <t>22/04/2103</t>
  </si>
  <si>
    <t>22/04/2106</t>
  </si>
  <si>
    <t>22/04/2111</t>
  </si>
  <si>
    <t>22/04/2112</t>
  </si>
  <si>
    <t>22/04/2113</t>
  </si>
  <si>
    <t>22/04/2114</t>
  </si>
  <si>
    <t>22/04/2115</t>
  </si>
  <si>
    <t>22/04/2116</t>
  </si>
  <si>
    <t>22/04/2117</t>
  </si>
  <si>
    <t>22/04/2118</t>
  </si>
  <si>
    <t>22/04/2119</t>
  </si>
  <si>
    <t>22/04/2120</t>
  </si>
  <si>
    <t>22/04/2121</t>
  </si>
  <si>
    <t>22/04/2122</t>
  </si>
  <si>
    <t>22/04/2123</t>
  </si>
  <si>
    <t>22/04/2124</t>
  </si>
  <si>
    <t>22/04/2125</t>
  </si>
  <si>
    <t>22/04/2126</t>
  </si>
  <si>
    <t>22/04/2127</t>
  </si>
  <si>
    <t>22/04/2128</t>
  </si>
  <si>
    <t>22/04/2129</t>
  </si>
  <si>
    <t>22/04/2130</t>
  </si>
  <si>
    <t>22/04/2131</t>
  </si>
  <si>
    <t>22/04/2132</t>
  </si>
  <si>
    <t>22/04/2133</t>
  </si>
  <si>
    <t>22/04/2134</t>
  </si>
  <si>
    <t>22/04/2135</t>
  </si>
  <si>
    <t>22/04/2136</t>
  </si>
  <si>
    <t>22/04/2137</t>
  </si>
  <si>
    <t>22/04/2138</t>
  </si>
  <si>
    <t>22/04</t>
  </si>
  <si>
    <t>DTP nécessité de l4intervention de l'editeur</t>
  </si>
  <si>
    <t>DTP intervention de l'éditeur nécessaire</t>
  </si>
  <si>
    <t>Avril-21</t>
  </si>
  <si>
    <t>check 2</t>
  </si>
  <si>
    <t>(Dématérialisation Des Marchés) Safakat</t>
  </si>
  <si>
    <t>Figure dans Le PA Obso</t>
  </si>
  <si>
    <t xml:space="preserve"> non traitées  à cause de l’obsolescence</t>
  </si>
  <si>
    <t xml:space="preserve"> non traitées nécesitant l'intervention du Prestataire / éditeur</t>
  </si>
  <si>
    <r>
      <t xml:space="preserve">Statut Global  les SI En </t>
    </r>
    <r>
      <rPr>
        <b/>
        <sz val="11"/>
        <color theme="0"/>
        <rFont val="Arial"/>
        <family val="2"/>
      </rPr>
      <t>Obsoléscence</t>
    </r>
    <r>
      <rPr>
        <sz val="11"/>
        <color theme="0"/>
        <rFont val="Arial"/>
        <family val="2"/>
      </rPr>
      <t xml:space="preserve">   </t>
    </r>
    <r>
      <rPr>
        <b/>
        <sz val="12"/>
        <color theme="0"/>
        <rFont val="Arial Nova"/>
        <family val="2"/>
      </rPr>
      <t>INCLUS</t>
    </r>
  </si>
  <si>
    <r>
      <t xml:space="preserve">Statut Global   SI En </t>
    </r>
    <r>
      <rPr>
        <b/>
        <sz val="11"/>
        <color theme="0"/>
        <rFont val="Arial"/>
        <family val="2"/>
      </rPr>
      <t>Obsoléscence</t>
    </r>
    <r>
      <rPr>
        <sz val="11"/>
        <color theme="0"/>
        <rFont val="Arial"/>
        <family val="2"/>
      </rPr>
      <t xml:space="preserve">  </t>
    </r>
    <r>
      <rPr>
        <b/>
        <sz val="11"/>
        <color theme="0"/>
        <rFont val="Arial"/>
        <family val="2"/>
      </rPr>
      <t>EXCLUS</t>
    </r>
  </si>
  <si>
    <t>ccccc</t>
  </si>
  <si>
    <t>81.192.11.148/443/adobe-apsb13-03-cve-2013-0631</t>
  </si>
  <si>
    <t>81.192.11.171/0/generic-tcp-timestamp</t>
  </si>
  <si>
    <t>81.192.11.171/443/certificate-common-name-mismatch</t>
  </si>
  <si>
    <t>81.192.11.171/443/http-cookie-secure-flag</t>
  </si>
  <si>
    <t>81.192.11.171/443/jquery-cve-2014-6071</t>
  </si>
  <si>
    <t>81.192.11.172/0/generic-tcp-timestamp</t>
  </si>
  <si>
    <t>X12.7.1</t>
  </si>
  <si>
    <t>7</t>
  </si>
  <si>
    <t>adobe-apsb13-03-cve-2013-0631</t>
  </si>
  <si>
    <t>APSB13-03: Security updates available for Adobe ColdFusion (CVE-2013-0631)</t>
  </si>
  <si>
    <t>Adobe ColdFusion 9.0, 9.0.1, and 9.0.2 allows attackers to obtain sensitive information via unspecified vectors, as exploited in the wild in January 2013.</t>
  </si>
  <si>
    <t>Apply hotfix, remove suspicious files and apply ColdFusion hardening steps_x000D_
_x000D_
_x000D_
 Adobe recommends ColdFusion customers update their installation using the instructions provided in the technote  APSB13-03 technote (http://helpx.adobe.com/coldfusion/kb/coldfusion-security-hotfix-apsb13-03.html) . _x000D_
_x000D_
 Customers should also inspect files and scheduled tasks of unknown origin located in the CFIDE, CFIDE/adminapi or webroot directories, and remove any suspicious files (some examples of malicious file names include h.cfm, i.cfm, h9.cfm, r.cfm, adss.cfm or fusebox.cfm). _x000D_
_x000D_
 Additionally, Adobe recommends that customers follow security best practices, which include the following steps to harden their ColdFusion server: _x000D_
 *  Configure a username and password for Remote Development Services (RDS) that is different from the Administrator account. After configuring the RDS account, users should disable RDS if not needed. _x000D_
_x000D_
 *  Disable external access to the following directories for all hosted sites: _x000D_
    * /CFIDE/administrator_x000D_
_x000D_
    * /CFIDE/adminapi_x000D_
_x000D_
    * /CFIDE/componentutils_x000D_
_x000D_
_x000D_
 *  Implement access control restrictions for the Administrator interface and internal applications via the Administrator Console (in ColdFusion version 10) or within your web server's access control mechanisms for versions 9.0.2 and below. _x000D_
_x000D_
 *  Ensure your ColdFusion product has the latest hotfix applied. _x000D_
_x000D_
 *  Refer to the ColdFusion 9 Lockdown Guide and ColdFusion 10 Lockdown Guide for security best practices and further information on these hardening techniques.</t>
  </si>
  <si>
    <t>* Running HTTPS service_x000D_
_x000D_
Based on the following 2 results:_x000D_
 * _x000D_
      _x000D_
      _x000D_
_x000D_
_x000D_
 * _x000D_
      _x000D_
      _x000D_
      _x000D_
      HTTP GET request to  https://81.192.11.148/CFIDE/adminapi/customtags/fusebox.cfm _x000D_
HTTP response code was an expected 200</t>
  </si>
  <si>
    <t>The subject common name found in the X.509 certificate does not seem to match the scan target:_x000D_
 * Subject CN *.cdgdev.ma does not match target name specified in the site._x000D_
_x000D_
 * Subject CN *.cdgdev.ma does not match DNS name specified in the site._x000D_
_x000D_
 * Subject CN *.cdgdev.ma could not be resolved to an IP address via DNS lookup_x000D_
_x000D_
 * Subject Alternative Name *.cdgdev.ma does not match target name specified in the site._x000D_
_x000D_
 * Subject Alternative Name cdgdev.ma does not match target name specified in the site._x000D_
_x000D_
 * Subject Alternative Name *.cdgdev.ma does not match DNS name specified in the site._x000D_
_x000D_
 * Subject Alternative Name cdgdev.ma does not match DNS name specified in the site.</t>
  </si>
  <si>
    <t>Cookie is not marked as secure: 'atexoDemande=56aqavdjkf5b4787n8rdrotnjl; path=/; httponly; domain=81.192.11.171'_x000D_
_x000D_
URL:  https://81.192.11.171/</t>
  </si>
  <si>
    <t>http://www.adobe.com/support/security/bulletins/apsb13-03.html</t>
  </si>
  <si>
    <t>CVE-2013-0631</t>
  </si>
  <si>
    <t>http://nvd.nist.gov/vuln/detail/CVE-2013-0631</t>
  </si>
  <si>
    <t>2013-01-15</t>
  </si>
  <si>
    <t>(ExpressWay</t>
  </si>
  <si>
    <t>Date de scan</t>
  </si>
  <si>
    <t xml:space="preserve">E-Digiproc-CDGDEV </t>
  </si>
  <si>
    <t>Mai-21</t>
  </si>
  <si>
    <t>SI en Obsolescence Exclus</t>
  </si>
  <si>
    <t>SI en obso inclus</t>
  </si>
  <si>
    <t>NAT 20.9.0.20
272.20.0.5</t>
  </si>
  <si>
    <t>20.8.0.8</t>
  </si>
  <si>
    <t>20.8.0.7</t>
  </si>
  <si>
    <t>20.8.0.49</t>
  </si>
  <si>
    <t>20.9.0.25</t>
  </si>
  <si>
    <t>20.8.0.72</t>
  </si>
  <si>
    <t>20.8.0.222
20.9.0.8</t>
  </si>
  <si>
    <t>20.8.0.22</t>
  </si>
  <si>
    <t>20.9.0.22</t>
  </si>
  <si>
    <t>20.9.0.22-20.250.252.2</t>
  </si>
  <si>
    <t>20.250.255.8</t>
  </si>
  <si>
    <t>272.20.0.90</t>
  </si>
  <si>
    <t>20.9.0.224</t>
  </si>
  <si>
    <t>20.9.0.220</t>
  </si>
  <si>
    <t>20.9.0.222</t>
  </si>
  <si>
    <t>272.20.0.52
20.9.0.24</t>
  </si>
  <si>
    <t>20.8.0.54
20.9.0.52</t>
  </si>
  <si>
    <t>20.9.0.5</t>
  </si>
  <si>
    <t>20.9.0.5-20.250.252.4</t>
  </si>
  <si>
    <t>20.9.0.52</t>
  </si>
  <si>
    <t>20.8.0.48
20.9.0.225</t>
  </si>
  <si>
    <t>20.8.0.75</t>
  </si>
  <si>
    <t>272,20,0,55</t>
  </si>
  <si>
    <t>20.8.0.47
20.8.0.75</t>
  </si>
  <si>
    <t>20.8.0.52
20.9.0.72</t>
  </si>
  <si>
    <t>20.8.0.57</t>
  </si>
  <si>
    <t>20.9.0.57</t>
  </si>
  <si>
    <t>272.20.70.252</t>
  </si>
  <si>
    <t>20.8.0.55 
20.9.0.77</t>
  </si>
  <si>
    <t>20.8.0.47</t>
  </si>
  <si>
    <t>96.692.66.629</t>
  </si>
  <si>
    <t>96.692.66.630</t>
  </si>
  <si>
    <t>96.692.66.636</t>
  </si>
  <si>
    <t>96.692.66.633</t>
  </si>
  <si>
    <t>96.692.66.637</t>
  </si>
  <si>
    <t>96.692.66.640</t>
  </si>
  <si>
    <t>96.692.66.646</t>
  </si>
  <si>
    <t>96.692.66.643</t>
  </si>
  <si>
    <t>96.692.66.647</t>
  </si>
  <si>
    <t>96.692.66.649</t>
  </si>
  <si>
    <t>96.692.66.656</t>
  </si>
  <si>
    <t>96.692.66.654</t>
  </si>
  <si>
    <t>96.692.66.655</t>
  </si>
  <si>
    <t>96.692.66.657</t>
  </si>
  <si>
    <t>96.692.66.659</t>
  </si>
  <si>
    <t>96.692.66.670</t>
  </si>
  <si>
    <t>96.692.66.676</t>
  </si>
  <si>
    <t>96.692.66.672</t>
  </si>
  <si>
    <t>96.692.66.674</t>
  </si>
  <si>
    <t>96.692.66.675</t>
  </si>
  <si>
    <t>96.692.66.677</t>
  </si>
  <si>
    <t>96.692.66.679</t>
  </si>
  <si>
    <t>96.692.66.696</t>
  </si>
  <si>
    <t>96.692.66.692</t>
  </si>
  <si>
    <t>96.692.66.693</t>
  </si>
  <si>
    <t>96.692.66.694</t>
  </si>
  <si>
    <t>96.692.66.697</t>
  </si>
  <si>
    <t>96.692.66.699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</si>
</sst>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C]d\-mmm;@"/>
  </numFmts>
  <fonts count="28" x14ac:knownFonts="1">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0"/>
      <name val="Arial"/>
      <family val="2"/>
    </font>
    <font>
      <sz val="11"/>
      <color theme="0"/>
      <name val="Calibri"/>
      <family val="2"/>
      <scheme val="minor"/>
    </font>
    <font>
      <b/>
      <sz val="11"/>
      <name val="Calibri"/>
      <family val="2"/>
      <scheme val="minor"/>
    </font>
    <font>
      <b/>
      <sz val="11"/>
      <color rgb="FF00B050"/>
      <name val="Calibri"/>
      <family val="2"/>
      <scheme val="minor"/>
    </font>
    <font>
      <sz val="11"/>
      <color theme="1"/>
      <name val="Calibri"/>
      <family val="2"/>
      <scheme val="minor"/>
    </font>
    <font>
      <sz val="11"/>
      <color theme="1"/>
      <name val="Arial"/>
      <family val="2"/>
    </font>
    <font>
      <b/>
      <sz val="11"/>
      <color theme="1"/>
      <name val="Arial"/>
      <family val="2"/>
    </font>
    <font>
      <sz val="11"/>
      <color indexed="8"/>
      <name val="Calibri"/>
      <family val="2"/>
      <scheme val="minor"/>
    </font>
    <font>
      <sz val="11"/>
      <color rgb="FFC00000"/>
      <name val="Arial"/>
      <family val="2"/>
    </font>
    <font>
      <b/>
      <sz val="11"/>
      <color rgb="FFC00000"/>
      <name val="Arial"/>
      <family val="2"/>
    </font>
    <font>
      <sz val="11"/>
      <name val="Arial"/>
      <family val="2"/>
    </font>
    <font>
      <b/>
      <sz val="12"/>
      <color theme="1"/>
      <name val="Calibri"/>
      <family val="2"/>
      <scheme val="minor"/>
    </font>
    <font>
      <b/>
      <sz val="12"/>
      <color theme="1"/>
      <name val="Arial"/>
      <family val="2"/>
    </font>
    <font>
      <sz val="11"/>
      <color rgb="FF009900"/>
      <name val="Arial"/>
      <family val="2"/>
    </font>
    <font>
      <u/>
      <sz val="11"/>
      <color theme="10"/>
      <name val="Arial"/>
      <family val="2"/>
    </font>
    <font>
      <sz val="11"/>
      <color rgb="FF000000"/>
      <name val="Calibri"/>
      <family val="2"/>
    </font>
    <font>
      <sz val="8"/>
      <name val="Arial"/>
      <family val="2"/>
    </font>
    <font>
      <sz val="11"/>
      <color rgb="FF000000"/>
      <name val="Arial"/>
      <family val="2"/>
    </font>
    <font>
      <b/>
      <sz val="12"/>
      <color theme="0"/>
      <name val="Arial"/>
      <family val="2"/>
    </font>
    <font>
      <b/>
      <sz val="11"/>
      <color theme="0"/>
      <name val="Calibri"/>
      <family val="2"/>
      <scheme val="minor"/>
    </font>
    <font>
      <b/>
      <sz val="12"/>
      <color theme="0"/>
      <name val="Arial Nova"/>
      <family val="2"/>
    </font>
    <font>
      <b/>
      <sz val="11"/>
      <color rgb="FF000000"/>
      <name val="Arial"/>
      <family val="2"/>
    </font>
    <font>
      <b/>
      <sz val="11"/>
      <color theme="0"/>
      <name val="Arial"/>
      <family val="2"/>
    </font>
  </fonts>
  <fills count="19">
    <fill>
      <patternFill patternType="none"/>
    </fill>
    <fill>
      <patternFill patternType="gray125"/>
    </fill>
    <fill>
      <patternFill patternType="solid">
        <fgColor theme="1"/>
        <bgColor indexed="64"/>
      </patternFill>
    </fill>
    <fill>
      <patternFill patternType="solid">
        <fgColor rgb="FFFFC000"/>
        <bgColor indexed="64"/>
      </patternFill>
    </fill>
    <fill>
      <patternFill patternType="solid">
        <fgColor theme="9" tint="0.79998168889431442"/>
        <bgColor theme="9" tint="0.79998168889431442"/>
      </patternFill>
    </fill>
    <fill>
      <patternFill patternType="solid">
        <fgColor rgb="FFFF0000"/>
        <bgColor indexed="64"/>
      </patternFill>
    </fill>
    <fill>
      <patternFill patternType="solid">
        <fgColor theme="0" tint="-0.14999847407452621"/>
        <bgColor indexed="64"/>
      </patternFill>
    </fill>
    <fill>
      <patternFill patternType="solid">
        <fgColor rgb="FFE2EFDA"/>
        <bgColor indexed="64"/>
      </patternFill>
    </fill>
    <fill>
      <patternFill patternType="solid">
        <fgColor rgb="FFE7E6E6"/>
        <bgColor indexed="64"/>
      </patternFill>
    </fill>
    <fill>
      <patternFill patternType="solid">
        <fgColor rgb="FF7030A0"/>
        <bgColor indexed="64"/>
      </patternFill>
    </fill>
    <fill>
      <patternFill patternType="solid">
        <fgColor theme="8" tint="0.39997558519241921"/>
        <bgColor indexed="64"/>
      </patternFill>
    </fill>
    <fill>
      <patternFill patternType="solid">
        <fgColor rgb="FF92D050"/>
        <bgColor indexed="64"/>
      </patternFill>
    </fill>
    <fill>
      <patternFill patternType="solid">
        <fgColor rgb="FF0070C0"/>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rgb="FFF7CF2B"/>
        <bgColor indexed="64"/>
      </patternFill>
    </fill>
    <fill>
      <patternFill patternType="solid">
        <fgColor rgb="FFD9D9D9"/>
        <bgColor indexed="64"/>
      </patternFill>
    </fill>
    <fill>
      <patternFill patternType="solid">
        <fgColor theme="0" tint="-0.499984740745262"/>
        <bgColor indexed="64"/>
      </patternFill>
    </fill>
    <fill>
      <patternFill patternType="solid">
        <fgColor rgb="FFFFFF00"/>
        <bgColor indexed="64"/>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14999847407452621"/>
      </top>
      <bottom style="thin">
        <color theme="0" tint="-0.14999847407452621"/>
      </bottom>
      <diagonal/>
    </border>
    <border>
      <left/>
      <right/>
      <top/>
      <bottom style="thin">
        <color theme="4" tint="0.39997558519241921"/>
      </bottom>
      <diagonal/>
    </border>
    <border>
      <left style="medium">
        <color rgb="FFA9D08E"/>
      </left>
      <right/>
      <top/>
      <bottom style="medium">
        <color rgb="FFA9D08E"/>
      </bottom>
      <diagonal/>
    </border>
  </borders>
  <cellStyleXfs count="7">
    <xf numFmtId="0" fontId="0" fillId="0" borderId="0"/>
    <xf numFmtId="0" fontId="9" fillId="0" borderId="0"/>
    <xf numFmtId="9" fontId="10" fillId="0" borderId="0" applyFont="0" applyFill="0" applyBorder="0" applyAlignment="0" applyProtection="0"/>
    <xf numFmtId="0" fontId="12" fillId="0" borderId="0"/>
    <xf numFmtId="0" fontId="19" fillId="0" borderId="0" applyNumberFormat="0" applyFill="0" applyBorder="0" applyAlignment="0" applyProtection="0"/>
    <xf numFmtId="0" fontId="4" fillId="0" borderId="0"/>
    <xf numFmtId="0" fontId="3" fillId="0" borderId="0"/>
  </cellStyleXfs>
  <cellXfs count="156">
    <xf numFmtId="0" fontId="0" fillId="0" borderId="0" xfId="0"/>
    <xf numFmtId="0" fontId="9" fillId="0" borderId="0" xfId="1"/>
    <xf numFmtId="0" fontId="9" fillId="4" borderId="1" xfId="1" applyFill="1" applyBorder="1"/>
    <xf numFmtId="0" fontId="9" fillId="0" borderId="1" xfId="1" applyBorder="1"/>
    <xf numFmtId="0" fontId="9" fillId="4" borderId="2" xfId="1" applyFill="1" applyBorder="1"/>
    <xf numFmtId="0" fontId="0" fillId="0" borderId="0" xfId="0" applyAlignment="1">
      <alignment horizontal="center" vertical="center"/>
    </xf>
    <xf numFmtId="0" fontId="0" fillId="0" borderId="0" xfId="0" applyAlignment="1">
      <alignment vertical="center"/>
    </xf>
    <xf numFmtId="0" fontId="0" fillId="0" borderId="0" xfId="0" applyFill="1"/>
    <xf numFmtId="0" fontId="0" fillId="0" borderId="0" xfId="0" applyFill="1" applyAlignment="1">
      <alignment horizontal="center"/>
    </xf>
    <xf numFmtId="0" fontId="16" fillId="0" borderId="0" xfId="0" applyFont="1" applyFill="1" applyAlignment="1">
      <alignment horizontal="center"/>
    </xf>
    <xf numFmtId="0" fontId="17" fillId="0" borderId="0" xfId="0" applyFont="1" applyFill="1" applyAlignment="1">
      <alignment horizontal="center" vertical="center"/>
    </xf>
    <xf numFmtId="0" fontId="0" fillId="0" borderId="0" xfId="0"/>
    <xf numFmtId="0" fontId="0" fillId="0" borderId="0" xfId="0" applyAlignment="1">
      <alignment horizontal="center"/>
    </xf>
    <xf numFmtId="16" fontId="0" fillId="0" borderId="0" xfId="0" applyNumberFormat="1"/>
    <xf numFmtId="0" fontId="0" fillId="0" borderId="0" xfId="0" applyAlignment="1">
      <alignment horizontal="left"/>
    </xf>
    <xf numFmtId="0" fontId="0" fillId="0" borderId="0" xfId="0" pivotButton="1"/>
    <xf numFmtId="0" fontId="4" fillId="0" borderId="0" xfId="1" applyFont="1"/>
    <xf numFmtId="0" fontId="4" fillId="0" borderId="0" xfId="1" applyFont="1" applyAlignment="1">
      <alignment wrapText="1"/>
    </xf>
    <xf numFmtId="0" fontId="0" fillId="0" borderId="3" xfId="0" applyBorder="1" applyAlignment="1">
      <alignment horizontal="left" vertical="center"/>
    </xf>
    <xf numFmtId="0" fontId="16" fillId="0" borderId="0" xfId="0" applyFont="1" applyFill="1" applyAlignment="1">
      <alignment horizontal="left"/>
    </xf>
    <xf numFmtId="0" fontId="17" fillId="0" borderId="0" xfId="0" applyFont="1" applyFill="1" applyAlignment="1">
      <alignment horizontal="left" vertical="center"/>
    </xf>
    <xf numFmtId="0" fontId="0" fillId="0" borderId="0" xfId="0" applyFill="1" applyAlignment="1">
      <alignment horizontal="left"/>
    </xf>
    <xf numFmtId="16" fontId="0" fillId="0" borderId="0" xfId="0" applyNumberFormat="1" applyFill="1" applyAlignment="1">
      <alignment horizontal="center"/>
    </xf>
    <xf numFmtId="0" fontId="0" fillId="0" borderId="0" xfId="0" applyFill="1" applyAlignment="1">
      <alignment horizontal="center" vertical="center"/>
    </xf>
    <xf numFmtId="0" fontId="0" fillId="0" borderId="0" xfId="0" applyFill="1" applyAlignment="1">
      <alignment vertical="top"/>
    </xf>
    <xf numFmtId="14" fontId="8" fillId="0" borderId="0" xfId="0" applyNumberFormat="1" applyFont="1" applyFill="1" applyAlignment="1">
      <alignment horizontal="center"/>
    </xf>
    <xf numFmtId="0" fontId="0" fillId="0" borderId="0" xfId="0" applyFill="1" applyAlignment="1">
      <alignment horizontal="center" vertical="top"/>
    </xf>
    <xf numFmtId="0" fontId="0" fillId="0" borderId="0" xfId="0" applyFill="1" applyAlignment="1">
      <alignment horizontal="left" vertical="top"/>
    </xf>
    <xf numFmtId="14" fontId="8" fillId="0" borderId="0" xfId="0" applyNumberFormat="1" applyFont="1" applyFill="1" applyAlignment="1">
      <alignment horizontal="center" vertical="top"/>
    </xf>
    <xf numFmtId="0" fontId="0" fillId="0" borderId="0" xfId="0" applyFill="1" applyAlignment="1"/>
    <xf numFmtId="14" fontId="0" fillId="0" borderId="0" xfId="0" applyNumberFormat="1" applyFill="1" applyAlignment="1">
      <alignment horizontal="center"/>
    </xf>
    <xf numFmtId="0" fontId="13" fillId="0" borderId="0" xfId="0" applyFont="1" applyFill="1" applyAlignment="1">
      <alignment horizontal="center"/>
    </xf>
    <xf numFmtId="0" fontId="13" fillId="0" borderId="0" xfId="0" applyFont="1" applyFill="1" applyAlignment="1">
      <alignment horizontal="left"/>
    </xf>
    <xf numFmtId="0" fontId="13" fillId="0" borderId="0" xfId="0" applyFont="1" applyFill="1" applyAlignment="1">
      <alignment vertical="top"/>
    </xf>
    <xf numFmtId="0" fontId="18" fillId="0" borderId="0" xfId="0" applyFont="1" applyFill="1" applyBorder="1" applyAlignment="1">
      <alignment vertical="top"/>
    </xf>
    <xf numFmtId="14" fontId="13" fillId="0" borderId="0" xfId="0" applyNumberFormat="1" applyFont="1" applyFill="1" applyAlignment="1">
      <alignment horizontal="center"/>
    </xf>
    <xf numFmtId="14" fontId="18" fillId="0" borderId="0" xfId="0" applyNumberFormat="1" applyFont="1" applyFill="1" applyBorder="1" applyAlignment="1">
      <alignment horizontal="center"/>
    </xf>
    <xf numFmtId="0" fontId="18" fillId="0" borderId="0" xfId="0" applyFont="1" applyFill="1" applyBorder="1" applyAlignment="1">
      <alignment horizontal="center"/>
    </xf>
    <xf numFmtId="0" fontId="18" fillId="0" borderId="0" xfId="0" applyFont="1" applyFill="1" applyBorder="1" applyAlignment="1">
      <alignment horizontal="center" vertical="center"/>
    </xf>
    <xf numFmtId="0" fontId="0" fillId="0" borderId="0" xfId="0" applyFill="1" applyBorder="1" applyAlignment="1">
      <alignment horizontal="center"/>
    </xf>
    <xf numFmtId="0" fontId="18" fillId="0" borderId="0" xfId="0" applyFont="1" applyFill="1" applyBorder="1" applyAlignment="1">
      <alignment horizontal="left"/>
    </xf>
    <xf numFmtId="0" fontId="0" fillId="0" borderId="0" xfId="0" applyFill="1" applyBorder="1" applyAlignment="1">
      <alignment horizontal="left"/>
    </xf>
    <xf numFmtId="0" fontId="0" fillId="0" borderId="0" xfId="0" applyFill="1" applyBorder="1" applyAlignment="1">
      <alignment horizontal="center" vertical="center"/>
    </xf>
    <xf numFmtId="0" fontId="0" fillId="0" borderId="0" xfId="0" applyFill="1" applyBorder="1" applyAlignment="1"/>
    <xf numFmtId="0" fontId="0" fillId="0" borderId="0" xfId="0" applyFill="1" applyBorder="1" applyAlignment="1">
      <alignment horizontal="left" vertical="center"/>
    </xf>
    <xf numFmtId="0" fontId="6" fillId="2" borderId="0" xfId="0" applyFont="1" applyFill="1" applyAlignment="1">
      <alignment horizontal="center" vertical="center"/>
    </xf>
    <xf numFmtId="0" fontId="0" fillId="0" borderId="5" xfId="0" applyFont="1" applyBorder="1" applyAlignment="1">
      <alignment horizontal="left"/>
    </xf>
    <xf numFmtId="0" fontId="7" fillId="2" borderId="0" xfId="0" applyFont="1" applyFill="1" applyAlignment="1">
      <alignment horizontal="center" vertical="center"/>
    </xf>
    <xf numFmtId="0" fontId="20" fillId="7" borderId="6" xfId="0" applyFont="1" applyFill="1" applyBorder="1" applyAlignment="1">
      <alignment vertical="center"/>
    </xf>
    <xf numFmtId="0" fontId="20" fillId="0" borderId="6" xfId="0" applyFont="1" applyBorder="1" applyAlignment="1">
      <alignment vertical="center"/>
    </xf>
    <xf numFmtId="0" fontId="0" fillId="0" borderId="0" xfId="0" applyFont="1"/>
    <xf numFmtId="0" fontId="0" fillId="0" borderId="0" xfId="0" applyFont="1" applyFill="1"/>
    <xf numFmtId="0" fontId="0" fillId="0" borderId="3" xfId="0" applyFont="1" applyFill="1" applyBorder="1" applyAlignment="1">
      <alignment horizontal="left" vertical="center"/>
    </xf>
    <xf numFmtId="0" fontId="0" fillId="0" borderId="0" xfId="0" applyAlignment="1">
      <alignment horizontal="right" indent="1"/>
    </xf>
    <xf numFmtId="0" fontId="0" fillId="0" borderId="0" xfId="0" pivotButton="1" applyAlignment="1">
      <alignment horizontal="right" indent="1"/>
    </xf>
    <xf numFmtId="16" fontId="0" fillId="0" borderId="0" xfId="0" applyNumberFormat="1" applyAlignment="1">
      <alignment horizontal="right" indent="1"/>
    </xf>
    <xf numFmtId="0" fontId="0" fillId="0" borderId="0" xfId="0" applyNumberFormat="1" applyAlignment="1">
      <alignment horizontal="right" indent="1"/>
    </xf>
    <xf numFmtId="14" fontId="0" fillId="0" borderId="0" xfId="0" applyNumberFormat="1" applyFill="1" applyAlignment="1"/>
    <xf numFmtId="16" fontId="0" fillId="0" borderId="0" xfId="0" applyNumberFormat="1" applyFill="1" applyAlignment="1"/>
    <xf numFmtId="0" fontId="13" fillId="0" borderId="0" xfId="0" applyFont="1" applyFill="1" applyAlignment="1"/>
    <xf numFmtId="14" fontId="13" fillId="0" borderId="0" xfId="0" applyNumberFormat="1" applyFont="1" applyFill="1" applyAlignment="1"/>
    <xf numFmtId="0" fontId="18" fillId="0" borderId="0" xfId="0" applyFont="1" applyFill="1" applyBorder="1" applyAlignment="1"/>
    <xf numFmtId="14" fontId="18" fillId="0" borderId="0" xfId="0" applyNumberFormat="1" applyFont="1" applyFill="1" applyBorder="1" applyAlignment="1"/>
    <xf numFmtId="14" fontId="14" fillId="0" borderId="0" xfId="0" applyNumberFormat="1" applyFont="1" applyFill="1" applyAlignment="1"/>
    <xf numFmtId="0" fontId="19" fillId="0" borderId="0" xfId="4" applyFill="1" applyAlignment="1"/>
    <xf numFmtId="14" fontId="0" fillId="0" borderId="0" xfId="0" applyNumberFormat="1" applyFill="1" applyBorder="1" applyAlignment="1">
      <alignment horizontal="center"/>
    </xf>
    <xf numFmtId="14" fontId="0" fillId="0" borderId="0" xfId="0" applyNumberFormat="1" applyFill="1" applyAlignment="1">
      <alignment horizontal="left"/>
    </xf>
    <xf numFmtId="14" fontId="8" fillId="0" borderId="0" xfId="0" applyNumberFormat="1" applyFont="1" applyFill="1" applyAlignment="1">
      <alignment horizontal="left"/>
    </xf>
    <xf numFmtId="14" fontId="0" fillId="0" borderId="0" xfId="0" applyNumberFormat="1" applyFill="1" applyAlignment="1">
      <alignment horizontal="center" vertical="top"/>
    </xf>
    <xf numFmtId="17" fontId="5" fillId="9" borderId="3" xfId="0" applyNumberFormat="1" applyFont="1" applyFill="1" applyBorder="1" applyAlignment="1">
      <alignment vertical="center" wrapText="1" readingOrder="1"/>
    </xf>
    <xf numFmtId="0" fontId="5" fillId="9" borderId="3" xfId="0" applyFont="1" applyFill="1" applyBorder="1" applyAlignment="1">
      <alignment horizontal="right" vertical="center" wrapText="1" readingOrder="1"/>
    </xf>
    <xf numFmtId="164" fontId="6" fillId="2" borderId="0" xfId="0" applyNumberFormat="1" applyFont="1" applyFill="1" applyAlignment="1">
      <alignment horizontal="center" vertical="center"/>
    </xf>
    <xf numFmtId="164" fontId="0" fillId="0" borderId="0" xfId="0" applyNumberFormat="1" applyFill="1" applyAlignment="1">
      <alignment horizontal="center" vertical="center"/>
    </xf>
    <xf numFmtId="164" fontId="0" fillId="0" borderId="0" xfId="0" applyNumberFormat="1" applyFill="1" applyBorder="1" applyAlignment="1">
      <alignment horizontal="center" vertical="center"/>
    </xf>
    <xf numFmtId="0" fontId="22" fillId="0" borderId="3" xfId="0" applyFont="1" applyBorder="1" applyAlignment="1">
      <alignment vertical="center" wrapText="1" readingOrder="1"/>
    </xf>
    <xf numFmtId="0" fontId="0" fillId="3" borderId="0" xfId="0" applyFill="1" applyAlignment="1">
      <alignment horizontal="left"/>
    </xf>
    <xf numFmtId="16" fontId="11" fillId="0" borderId="0" xfId="0" applyNumberFormat="1" applyFont="1" applyFill="1" applyBorder="1"/>
    <xf numFmtId="0" fontId="0" fillId="6" borderId="3" xfId="0" applyFill="1" applyBorder="1" applyAlignment="1">
      <alignment horizontal="right" vertical="center"/>
    </xf>
    <xf numFmtId="0" fontId="0" fillId="0" borderId="3" xfId="0" applyFill="1" applyBorder="1" applyAlignment="1">
      <alignment horizontal="left" indent="3"/>
    </xf>
    <xf numFmtId="0" fontId="0" fillId="0" borderId="3" xfId="0" applyBorder="1" applyAlignment="1">
      <alignment horizontal="right"/>
    </xf>
    <xf numFmtId="0" fontId="0" fillId="0" borderId="3" xfId="0" applyBorder="1"/>
    <xf numFmtId="0" fontId="0" fillId="0" borderId="3" xfId="0" applyBorder="1" applyAlignment="1">
      <alignment horizontal="left" indent="3"/>
    </xf>
    <xf numFmtId="0" fontId="11" fillId="6" borderId="3" xfId="0" applyFont="1" applyFill="1" applyBorder="1" applyAlignment="1">
      <alignment horizontal="left" vertical="center" indent="1"/>
    </xf>
    <xf numFmtId="0" fontId="22" fillId="8" borderId="3" xfId="0" applyFont="1" applyFill="1" applyBorder="1" applyAlignment="1">
      <alignment horizontal="right" vertical="center" wrapText="1" indent="1" readingOrder="1"/>
    </xf>
    <xf numFmtId="0" fontId="0" fillId="0" borderId="0" xfId="0" applyFill="1" applyAlignment="1">
      <alignment vertical="center"/>
    </xf>
    <xf numFmtId="9" fontId="0" fillId="0" borderId="0" xfId="2" applyFont="1"/>
    <xf numFmtId="0" fontId="11" fillId="6" borderId="3" xfId="0" applyFont="1" applyFill="1" applyBorder="1" applyAlignment="1">
      <alignment horizontal="right" vertical="center"/>
    </xf>
    <xf numFmtId="9" fontId="0" fillId="0" borderId="0" xfId="2" applyFont="1" applyAlignment="1">
      <alignment horizontal="center"/>
    </xf>
    <xf numFmtId="9" fontId="11" fillId="6" borderId="3" xfId="2" applyFont="1" applyFill="1" applyBorder="1" applyAlignment="1">
      <alignment horizontal="center" vertical="center"/>
    </xf>
    <xf numFmtId="1" fontId="5" fillId="0" borderId="0" xfId="0" applyNumberFormat="1" applyFont="1" applyFill="1" applyBorder="1" applyAlignment="1">
      <alignment vertical="center" wrapText="1" readingOrder="1"/>
    </xf>
    <xf numFmtId="0" fontId="11" fillId="6" borderId="3" xfId="0" applyFont="1" applyFill="1" applyBorder="1" applyAlignment="1">
      <alignment horizontal="right" vertical="center" indent="1"/>
    </xf>
    <xf numFmtId="0" fontId="0" fillId="0" borderId="0" xfId="0" applyBorder="1"/>
    <xf numFmtId="0" fontId="0" fillId="10" borderId="0" xfId="0" applyFill="1" applyBorder="1" applyAlignment="1">
      <alignment vertical="top"/>
    </xf>
    <xf numFmtId="0" fontId="0" fillId="0" borderId="0" xfId="0" applyFill="1" applyBorder="1" applyAlignment="1">
      <alignment horizontal="center" vertical="top"/>
    </xf>
    <xf numFmtId="0" fontId="0" fillId="11" borderId="4" xfId="0" applyFill="1" applyBorder="1" applyAlignment="1">
      <alignment vertical="top"/>
    </xf>
    <xf numFmtId="0" fontId="0" fillId="11" borderId="0" xfId="0" applyFill="1" applyAlignment="1">
      <alignment vertical="top"/>
    </xf>
    <xf numFmtId="0" fontId="15" fillId="11" borderId="0" xfId="0" applyFont="1" applyFill="1" applyAlignment="1">
      <alignment vertical="top"/>
    </xf>
    <xf numFmtId="0" fontId="0" fillId="11" borderId="0" xfId="0" applyFont="1" applyFill="1" applyBorder="1" applyAlignment="1">
      <alignment horizontal="left" vertical="top"/>
    </xf>
    <xf numFmtId="0" fontId="18" fillId="11" borderId="0" xfId="0" applyFont="1" applyFill="1" applyBorder="1" applyAlignment="1"/>
    <xf numFmtId="0" fontId="13" fillId="11" borderId="0" xfId="0" applyFont="1" applyFill="1" applyAlignment="1">
      <alignment vertical="top"/>
    </xf>
    <xf numFmtId="0" fontId="0" fillId="11" borderId="0" xfId="0" applyFill="1" applyBorder="1" applyAlignment="1">
      <alignment vertical="top"/>
    </xf>
    <xf numFmtId="0" fontId="18" fillId="11" borderId="0" xfId="0" applyFont="1" applyFill="1" applyBorder="1" applyAlignment="1">
      <alignment vertical="top"/>
    </xf>
    <xf numFmtId="0" fontId="0" fillId="11" borderId="5" xfId="0" applyFill="1" applyBorder="1" applyAlignment="1">
      <alignment vertical="top"/>
    </xf>
    <xf numFmtId="0" fontId="0" fillId="11" borderId="0" xfId="0" applyFill="1" applyBorder="1" applyAlignment="1">
      <alignment horizontal="left" vertical="center"/>
    </xf>
    <xf numFmtId="0" fontId="5" fillId="0" borderId="0" xfId="0" applyFont="1"/>
    <xf numFmtId="0" fontId="3" fillId="0" borderId="0" xfId="6" applyNumberFormat="1"/>
    <xf numFmtId="0" fontId="3" fillId="0" borderId="0" xfId="6" applyNumberFormat="1" applyAlignment="1"/>
    <xf numFmtId="14" fontId="3" fillId="0" borderId="0" xfId="6" applyNumberFormat="1" applyAlignment="1"/>
    <xf numFmtId="0" fontId="0" fillId="3" borderId="0" xfId="0" applyFill="1" applyAlignment="1">
      <alignment horizontal="center"/>
    </xf>
    <xf numFmtId="0" fontId="0" fillId="13" borderId="0" xfId="0" applyFill="1"/>
    <xf numFmtId="0" fontId="0" fillId="13" borderId="0" xfId="0" applyFill="1" applyAlignment="1">
      <alignment horizontal="center"/>
    </xf>
    <xf numFmtId="0" fontId="23" fillId="14" borderId="3" xfId="0" applyFont="1" applyFill="1" applyBorder="1" applyAlignment="1">
      <alignment vertical="center"/>
    </xf>
    <xf numFmtId="0" fontId="5" fillId="0" borderId="0" xfId="0" applyFont="1" applyFill="1" applyAlignment="1">
      <alignment horizontal="left"/>
    </xf>
    <xf numFmtId="0" fontId="26" fillId="0" borderId="3" xfId="0" applyFont="1" applyBorder="1" applyAlignment="1">
      <alignment vertical="center" wrapText="1" readingOrder="1"/>
    </xf>
    <xf numFmtId="9" fontId="11" fillId="16" borderId="3" xfId="0" applyNumberFormat="1" applyFont="1" applyFill="1" applyBorder="1" applyAlignment="1">
      <alignment horizontal="right" vertical="center" wrapText="1" readingOrder="1"/>
    </xf>
    <xf numFmtId="0" fontId="11" fillId="0" borderId="0" xfId="0" applyFont="1"/>
    <xf numFmtId="1" fontId="23" fillId="14" borderId="3" xfId="0" applyNumberFormat="1" applyFont="1" applyFill="1" applyBorder="1" applyAlignment="1">
      <alignment vertical="center" wrapText="1" readingOrder="1"/>
    </xf>
    <xf numFmtId="0" fontId="11" fillId="0" borderId="0" xfId="0" applyFont="1" applyAlignment="1">
      <alignment horizontal="center"/>
    </xf>
    <xf numFmtId="0" fontId="0" fillId="6" borderId="3" xfId="0" applyFont="1" applyFill="1" applyBorder="1" applyAlignment="1">
      <alignment horizontal="right" vertical="center"/>
    </xf>
    <xf numFmtId="9" fontId="17" fillId="15" borderId="3" xfId="0" applyNumberFormat="1" applyFont="1" applyFill="1" applyBorder="1" applyAlignment="1">
      <alignment horizontal="right" vertical="center" wrapText="1" readingOrder="1"/>
    </xf>
    <xf numFmtId="0" fontId="5" fillId="17" borderId="0" xfId="0" applyFont="1" applyFill="1"/>
    <xf numFmtId="0" fontId="6" fillId="17" borderId="0" xfId="6" applyNumberFormat="1" applyFont="1" applyFill="1"/>
    <xf numFmtId="0" fontId="1" fillId="0" borderId="0" xfId="6" applyNumberFormat="1" applyFont="1" applyAlignment="1"/>
    <xf numFmtId="0" fontId="0" fillId="18" borderId="0" xfId="0" applyFill="1" applyBorder="1" applyAlignment="1">
      <alignment horizontal="left"/>
    </xf>
    <xf numFmtId="0" fontId="0" fillId="18" borderId="0" xfId="0" applyFill="1" applyBorder="1" applyAlignment="1">
      <alignment horizontal="center"/>
    </xf>
    <xf numFmtId="0" fontId="0" fillId="18" borderId="0" xfId="0" applyFill="1" applyBorder="1" applyAlignment="1"/>
    <xf numFmtId="0" fontId="16" fillId="18" borderId="0" xfId="0" applyFont="1" applyFill="1" applyAlignment="1">
      <alignment horizontal="center"/>
    </xf>
    <xf numFmtId="0" fontId="0" fillId="18" borderId="0" xfId="0" applyFill="1" applyBorder="1" applyAlignment="1">
      <alignment horizontal="center" vertical="center"/>
    </xf>
    <xf numFmtId="0" fontId="0" fillId="18" borderId="0" xfId="0" applyFill="1" applyBorder="1" applyAlignment="1">
      <alignment vertical="top"/>
    </xf>
    <xf numFmtId="14" fontId="0" fillId="18" borderId="0" xfId="0" applyNumberFormat="1" applyFill="1" applyBorder="1" applyAlignment="1">
      <alignment horizontal="center"/>
    </xf>
    <xf numFmtId="16" fontId="0" fillId="18" borderId="0" xfId="0" applyNumberFormat="1" applyFill="1" applyAlignment="1"/>
    <xf numFmtId="0" fontId="0" fillId="18" borderId="0" xfId="0" applyFill="1" applyAlignment="1">
      <alignment horizontal="center"/>
    </xf>
    <xf numFmtId="0" fontId="0" fillId="18" borderId="0" xfId="0" applyFill="1" applyAlignment="1"/>
    <xf numFmtId="0" fontId="6" fillId="2" borderId="0" xfId="0" applyFont="1" applyFill="1" applyAlignment="1">
      <alignment horizontal="left" vertical="center"/>
    </xf>
    <xf numFmtId="0" fontId="6" fillId="2" borderId="0" xfId="0" applyFont="1" applyFill="1" applyAlignment="1">
      <alignment vertical="center"/>
    </xf>
    <xf numFmtId="0" fontId="16" fillId="0" borderId="0" xfId="0" applyFont="1" applyFill="1" applyAlignment="1">
      <alignment horizontal="center" vertical="center"/>
    </xf>
    <xf numFmtId="14" fontId="6" fillId="2" borderId="0" xfId="0" applyNumberFormat="1" applyFont="1" applyFill="1" applyAlignment="1">
      <alignment vertical="center"/>
    </xf>
    <xf numFmtId="0" fontId="24" fillId="12" borderId="0" xfId="0" applyFont="1" applyFill="1" applyAlignment="1">
      <alignment vertical="center"/>
    </xf>
    <xf numFmtId="14" fontId="6" fillId="2" borderId="0" xfId="0" applyNumberFormat="1" applyFont="1" applyFill="1" applyAlignment="1">
      <alignment horizontal="center" vertical="center"/>
    </xf>
    <xf numFmtId="0" fontId="8" fillId="2" borderId="0" xfId="0" applyFont="1" applyFill="1" applyAlignment="1">
      <alignment horizontal="left" vertical="center"/>
    </xf>
    <xf numFmtId="16" fontId="0" fillId="0" borderId="0" xfId="0" applyNumberFormat="1" applyFill="1" applyAlignment="1">
      <alignment vertical="center"/>
    </xf>
    <xf numFmtId="0" fontId="2" fillId="3" borderId="0" xfId="0" applyFont="1" applyFill="1" applyAlignment="1">
      <alignment horizontal="center" vertical="center"/>
    </xf>
    <xf numFmtId="0" fontId="6" fillId="5" borderId="0" xfId="0" applyFont="1" applyFill="1" applyAlignment="1">
      <alignment vertical="center"/>
    </xf>
    <xf numFmtId="0" fontId="0" fillId="0" borderId="0" xfId="0" applyAlignment="1">
      <alignment horizontal="left" indent="1"/>
    </xf>
    <xf numFmtId="0" fontId="5" fillId="9" borderId="3" xfId="0" applyFont="1" applyFill="1" applyBorder="1" applyAlignment="1">
      <alignment horizontal="center" vertical="center" wrapText="1" readingOrder="1"/>
    </xf>
    <xf numFmtId="0" fontId="0" fillId="15" borderId="0" xfId="0" applyFill="1"/>
    <xf numFmtId="0" fontId="0" fillId="15" borderId="0" xfId="0" applyFill="1" applyAlignment="1">
      <alignment horizontal="center"/>
    </xf>
    <xf numFmtId="0" fontId="5" fillId="0" borderId="0" xfId="0" applyFont="1" applyFill="1" applyBorder="1" applyAlignment="1">
      <alignment horizontal="left" indent="3"/>
    </xf>
    <xf numFmtId="0" fontId="0" fillId="0" borderId="0" xfId="0" applyFill="1" applyAlignment="1">
      <alignment horizontal="center" wrapText="1"/>
    </xf>
    <xf numFmtId="0" fontId="13" fillId="0" borderId="0" xfId="0" applyFont="1" applyFill="1" applyAlignment="1">
      <alignment horizontal="center" wrapText="1"/>
    </xf>
    <xf numFmtId="0" fontId="18" fillId="0" borderId="0" xfId="0" applyFont="1" applyFill="1" applyBorder="1" applyAlignment="1">
      <alignment horizontal="center" wrapText="1"/>
    </xf>
    <xf numFmtId="0" fontId="18" fillId="0" borderId="0" xfId="0" applyFont="1" applyFill="1" applyBorder="1" applyAlignment="1">
      <alignment wrapText="1"/>
    </xf>
    <xf numFmtId="0" fontId="18" fillId="0" borderId="0" xfId="0" applyFont="1" applyFill="1" applyBorder="1" applyAlignment="1">
      <alignment horizontal="left" wrapText="1"/>
    </xf>
    <xf numFmtId="0" fontId="0" fillId="0" borderId="0" xfId="0" applyFill="1" applyAlignment="1">
      <alignment horizontal="left" wrapText="1"/>
    </xf>
    <xf numFmtId="0" fontId="0" fillId="0" borderId="0" xfId="0" applyFill="1" applyBorder="1" applyAlignment="1">
      <alignment horizontal="center" wrapText="1"/>
    </xf>
    <xf numFmtId="0" fontId="9" fillId="0" borderId="0" xfId="1" applyAlignment="1">
      <alignment wrapText="1"/>
    </xf>
  </cellXfs>
  <cellStyles count="7">
    <cellStyle name="Hyperlink" xfId="4" builtinId="8"/>
    <cellStyle name="Normal" xfId="0" builtinId="0"/>
    <cellStyle name="Normal 2" xfId="1" xr:uid="{FEB6E4EF-E7F8-4866-96CD-69E7FD09E857}"/>
    <cellStyle name="Normal 2 2" xfId="5" xr:uid="{5DCC055A-114E-4D36-A0B3-4C066BB15C6D}"/>
    <cellStyle name="Normal 3" xfId="3" xr:uid="{62EF088E-D1A5-449F-8532-D75F91428BA4}"/>
    <cellStyle name="Normal 4" xfId="6" xr:uid="{90B5C6B1-C83C-4BF5-BF44-195DF4653301}"/>
    <cellStyle name="Percent" xfId="2" builtinId="5"/>
  </cellStyles>
  <dxfs count="87">
    <dxf>
      <font>
        <color rgb="FF9C0006"/>
      </font>
      <fill>
        <patternFill>
          <bgColor rgb="FFFFC7CE"/>
        </patternFill>
      </fill>
    </dxf>
    <dxf>
      <font>
        <color auto="1"/>
      </font>
      <fill>
        <patternFill>
          <bgColor theme="7" tint="0.59996337778862885"/>
        </patternFill>
      </fill>
    </dxf>
    <dxf>
      <fill>
        <patternFill>
          <bgColor theme="7" tint="0.59996337778862885"/>
        </patternFill>
      </fill>
    </dxf>
    <dxf>
      <font>
        <color auto="1"/>
      </font>
      <fill>
        <patternFill>
          <bgColor theme="7" tint="0.59996337778862885"/>
        </patternFill>
      </fill>
    </dxf>
    <dxf>
      <fill>
        <patternFill>
          <bgColor theme="7" tint="0.59996337778862885"/>
        </patternFill>
      </fill>
    </dxf>
    <dxf>
      <alignment horizontal="right" indent="1"/>
    </dxf>
    <dxf>
      <alignment horizontal="right" indent="1"/>
    </dxf>
    <dxf>
      <alignment horizontal="right" indent="1"/>
    </dxf>
    <dxf>
      <alignment horizontal="right" indent="1"/>
    </dxf>
    <dxf>
      <alignment horizontal="left" relativeIndent="1"/>
    </dxf>
    <dxf>
      <alignment horizontal="left" relativeIndent="1"/>
    </dxf>
    <dxf>
      <alignment horizontal="left" relativeIndent="1"/>
    </dxf>
    <dxf>
      <alignment horizontal="left" relativeIndent="1"/>
    </dxf>
    <dxf>
      <fill>
        <patternFill>
          <bgColor rgb="FFFFC000"/>
        </patternFill>
      </fill>
    </dxf>
    <dxf>
      <fill>
        <patternFill patternType="solid">
          <bgColor rgb="FFFFFF00"/>
        </patternFill>
      </fill>
    </dxf>
    <dxf>
      <alignment horizontal="right" indent="1"/>
    </dxf>
    <dxf>
      <alignment horizontal="right" indent="1"/>
    </dxf>
    <dxf>
      <alignment horizontal="right" indent="1"/>
    </dxf>
    <dxf>
      <alignment horizontal="right" indent="1"/>
    </dxf>
    <dxf>
      <alignment horizontal="left" relativeIndent="1"/>
    </dxf>
    <dxf>
      <alignment horizontal="left" relativeIndent="1"/>
    </dxf>
    <dxf>
      <alignment horizontal="left" relativeIndent="1"/>
    </dxf>
    <dxf>
      <alignment horizontal="left" relativeIndent="1"/>
    </dxf>
    <dxf>
      <fill>
        <patternFill>
          <bgColor rgb="FFFFC000"/>
        </patternFill>
      </fill>
    </dxf>
    <dxf>
      <fill>
        <patternFill patternType="solid">
          <bgColor rgb="FFFFFF00"/>
        </patternFill>
      </fill>
    </dxf>
    <dxf>
      <alignment horizontal="right" indent="1"/>
    </dxf>
    <dxf>
      <alignment horizontal="right" indent="1"/>
    </dxf>
    <dxf>
      <alignment horizontal="right" indent="1"/>
    </dxf>
    <dxf>
      <alignment horizontal="right" indent="1"/>
    </dxf>
    <dxf>
      <alignment horizontal="left" relativeIndent="1"/>
    </dxf>
    <dxf>
      <alignment horizontal="left" relativeIndent="1"/>
    </dxf>
    <dxf>
      <alignment horizontal="left" relativeIndent="1"/>
    </dxf>
    <dxf>
      <alignment horizontal="left" relativeIndent="1"/>
    </dxf>
    <dxf>
      <fill>
        <patternFill>
          <bgColor rgb="FFFFC000"/>
        </patternFill>
      </fill>
    </dxf>
    <dxf>
      <fill>
        <patternFill patternType="solid">
          <bgColor rgb="FFFFFF00"/>
        </patternFill>
      </fill>
    </dxf>
    <dxf>
      <alignment horizontal="right" indent="1"/>
    </dxf>
    <dxf>
      <alignment horizontal="right" indent="1"/>
    </dxf>
    <dxf>
      <alignment horizontal="right" indent="1"/>
    </dxf>
    <dxf>
      <alignment horizontal="right" indent="1"/>
    </dxf>
    <dxf>
      <alignment horizontal="left" relativeIndent="1"/>
    </dxf>
    <dxf>
      <alignment horizontal="left" relativeIndent="1"/>
    </dxf>
    <dxf>
      <alignment horizontal="left" relativeIndent="1"/>
    </dxf>
    <dxf>
      <alignment horizontal="left" relativeIndent="1"/>
    </dxf>
    <dxf>
      <fill>
        <patternFill>
          <bgColor rgb="FFFFC000"/>
        </patternFill>
      </fill>
    </dxf>
    <dxf>
      <fill>
        <patternFill patternType="solid">
          <bgColor rgb="FFFFFF00"/>
        </patternFill>
      </fill>
    </dxf>
    <dxf>
      <alignment horizontal="right" indent="1"/>
    </dxf>
    <dxf>
      <alignment horizontal="right" indent="1"/>
    </dxf>
    <dxf>
      <alignment horizontal="right" indent="1"/>
    </dxf>
    <dxf>
      <alignment horizontal="right" indent="1"/>
    </dxf>
    <dxf>
      <alignment horizontal="left" relativeIndent="1"/>
    </dxf>
    <dxf>
      <alignment horizontal="left" relativeIndent="1"/>
    </dxf>
    <dxf>
      <alignment horizontal="left" relativeIndent="1"/>
    </dxf>
    <dxf>
      <alignment horizontal="left" relativeIndent="1"/>
    </dxf>
    <dxf>
      <fill>
        <patternFill>
          <bgColor rgb="FFFFC000"/>
        </patternFill>
      </fill>
    </dxf>
    <dxf>
      <fill>
        <patternFill patternType="solid">
          <bgColor rgb="FFFFFF00"/>
        </patternFill>
      </fill>
    </dxf>
    <dxf>
      <alignment horizontal="right" indent="1"/>
    </dxf>
    <dxf>
      <alignment horizontal="right" indent="1"/>
    </dxf>
    <dxf>
      <alignment horizontal="right" indent="1"/>
    </dxf>
    <dxf>
      <alignment horizontal="right" indent="1"/>
    </dxf>
    <dxf>
      <alignment horizontal="left" relativeIndent="1"/>
    </dxf>
    <dxf>
      <alignment horizontal="left" relativeIndent="1"/>
    </dxf>
    <dxf>
      <alignment horizontal="left" relativeIndent="1"/>
    </dxf>
    <dxf>
      <alignment horizontal="left" relativeIndent="1"/>
    </dxf>
    <dxf>
      <fill>
        <patternFill>
          <bgColor rgb="FFFFC000"/>
        </patternFill>
      </fill>
    </dxf>
    <dxf>
      <fill>
        <patternFill patternType="solid">
          <bgColor rgb="FFFFFF00"/>
        </patternFill>
      </fill>
    </dxf>
    <dxf>
      <alignment horizontal="right" indent="1"/>
    </dxf>
    <dxf>
      <alignment horizontal="right" indent="1"/>
    </dxf>
    <dxf>
      <alignment horizontal="right" indent="1"/>
    </dxf>
    <dxf>
      <alignment horizontal="right" indent="1"/>
    </dxf>
    <dxf>
      <alignment horizontal="left" relativeIndent="1"/>
    </dxf>
    <dxf>
      <alignment horizontal="left" relativeIndent="1"/>
    </dxf>
    <dxf>
      <alignment horizontal="left" relativeIndent="1"/>
    </dxf>
    <dxf>
      <alignment horizontal="left" relativeIndent="1"/>
    </dxf>
    <dxf>
      <alignment horizontal="right" indent="1"/>
    </dxf>
    <dxf>
      <alignment horizontal="right" indent="1"/>
    </dxf>
    <dxf>
      <alignment horizontal="right" indent="1"/>
    </dxf>
    <dxf>
      <alignment horizontal="right" indent="1"/>
    </dxf>
    <dxf>
      <alignment horizontal="left" relativeIndent="1"/>
    </dxf>
    <dxf>
      <alignment horizontal="left" relativeIndent="1"/>
    </dxf>
    <dxf>
      <alignment horizontal="left" relativeIndent="1"/>
    </dxf>
    <dxf>
      <alignment horizontal="left" relativeIndent="1"/>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theme="0" tint="-0.34998626667073579"/>
        </patternFill>
      </fill>
    </dxf>
  </dxfs>
  <tableStyles count="2" defaultTableStyle="TableStyleMedium2" defaultPivotStyle="PivotStyleLight16">
    <tableStyle name="Slicer Style 1" pivot="0" table="0" count="1" xr9:uid="{EC49333E-F1DF-4401-B90E-82993537DDD4}">
      <tableStyleElement type="wholeTable" dxfId="86"/>
    </tableStyle>
    <tableStyle name="Slicer Style 2" pivot="0" table="0" count="1" xr9:uid="{67B26B2B-041F-4A78-8938-38A69BBBDD53}">
      <tableStyleElement type="wholeTable" dxfId="85"/>
    </tableStyle>
  </tableStyles>
  <colors>
    <mruColors>
      <color rgb="FFF7CF2B"/>
      <color rgb="FFB6DF89"/>
      <color rgb="FFD9D9D9"/>
      <color rgb="FF1870B9"/>
      <color rgb="FF97BE35"/>
      <color rgb="FFECECEC"/>
      <color rgb="FF009900"/>
      <color rgb="FF28AEE4"/>
      <color rgb="FF666666"/>
      <color rgb="FFD6DF23"/>
    </mruColors>
  </colors>
  <extLst>
    <ext xmlns:x14="http://schemas.microsoft.com/office/spreadsheetml/2009/9/main" uri="{EB79DEF2-80B8-43e5-95BD-54CBDDF9020C}">
      <x14:slicerStyles defaultSlicerStyle="Slicer Style 2">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xdr:from>
      <xdr:col>20</xdr:col>
      <xdr:colOff>851443</xdr:colOff>
      <xdr:row>31</xdr:row>
      <xdr:rowOff>29339</xdr:rowOff>
    </xdr:from>
    <xdr:to>
      <xdr:col>23</xdr:col>
      <xdr:colOff>459035</xdr:colOff>
      <xdr:row>35</xdr:row>
      <xdr:rowOff>16503</xdr:rowOff>
    </xdr:to>
    <xdr:sp macro="" textlink="">
      <xdr:nvSpPr>
        <xdr:cNvPr id="2" name="Rectangle: Rounded Corners 1">
          <a:extLst>
            <a:ext uri="{FF2B5EF4-FFF2-40B4-BE49-F238E27FC236}">
              <a16:creationId xmlns:a16="http://schemas.microsoft.com/office/drawing/2014/main" id="{E885556B-AADA-4487-97F9-00158BE3110F}"/>
            </a:ext>
          </a:extLst>
        </xdr:cNvPr>
        <xdr:cNvSpPr/>
      </xdr:nvSpPr>
      <xdr:spPr>
        <a:xfrm>
          <a:off x="16313116" y="4881894"/>
          <a:ext cx="2205319" cy="600228"/>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 des Vulns à traiter par</a:t>
          </a:r>
          <a:r>
            <a:rPr lang="en-US" sz="1100" baseline="0">
              <a:solidFill>
                <a:schemeClr val="tx1"/>
              </a:solidFill>
            </a:rPr>
            <a:t> rapport au volumes Non traité</a:t>
          </a:r>
          <a:endParaRPr lang="en-US" sz="1100">
            <a:solidFill>
              <a:schemeClr val="tx1"/>
            </a:solidFill>
          </a:endParaRPr>
        </a:p>
      </xdr:txBody>
    </xdr:sp>
    <xdr:clientData/>
  </xdr:twoCellAnchor>
  <xdr:twoCellAnchor>
    <xdr:from>
      <xdr:col>23</xdr:col>
      <xdr:colOff>459035</xdr:colOff>
      <xdr:row>28</xdr:row>
      <xdr:rowOff>103301</xdr:rowOff>
    </xdr:from>
    <xdr:to>
      <xdr:col>24</xdr:col>
      <xdr:colOff>329452</xdr:colOff>
      <xdr:row>32</xdr:row>
      <xdr:rowOff>141807</xdr:rowOff>
    </xdr:to>
    <xdr:cxnSp macro="">
      <xdr:nvCxnSpPr>
        <xdr:cNvPr id="4" name="Connector: Elbow 3">
          <a:extLst>
            <a:ext uri="{FF2B5EF4-FFF2-40B4-BE49-F238E27FC236}">
              <a16:creationId xmlns:a16="http://schemas.microsoft.com/office/drawing/2014/main" id="{05A1DDF1-FC59-4953-B075-C938A11D48C2}"/>
            </a:ext>
          </a:extLst>
        </xdr:cNvPr>
        <xdr:cNvCxnSpPr>
          <a:stCxn id="2" idx="3"/>
        </xdr:cNvCxnSpPr>
      </xdr:nvCxnSpPr>
      <xdr:spPr>
        <a:xfrm flipV="1">
          <a:off x="18518435" y="4114192"/>
          <a:ext cx="680908" cy="1067206"/>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15891</xdr:colOff>
      <xdr:row>38</xdr:row>
      <xdr:rowOff>28728</xdr:rowOff>
    </xdr:from>
    <xdr:to>
      <xdr:col>23</xdr:col>
      <xdr:colOff>584336</xdr:colOff>
      <xdr:row>42</xdr:row>
      <xdr:rowOff>9169</xdr:rowOff>
    </xdr:to>
    <xdr:sp macro="" textlink="">
      <xdr:nvSpPr>
        <xdr:cNvPr id="7" name="Rectangle: Rounded Corners 6">
          <a:extLst>
            <a:ext uri="{FF2B5EF4-FFF2-40B4-BE49-F238E27FC236}">
              <a16:creationId xmlns:a16="http://schemas.microsoft.com/office/drawing/2014/main" id="{573BD455-98CA-45E7-8B85-D56DC9E374E9}"/>
            </a:ext>
          </a:extLst>
        </xdr:cNvPr>
        <xdr:cNvSpPr/>
      </xdr:nvSpPr>
      <xdr:spPr>
        <a:xfrm>
          <a:off x="16454310" y="6055456"/>
          <a:ext cx="2189426" cy="728586"/>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 des Vulns remontés au support par</a:t>
          </a:r>
          <a:r>
            <a:rPr lang="en-US" sz="1100" baseline="0">
              <a:solidFill>
                <a:schemeClr val="tx1"/>
              </a:solidFill>
            </a:rPr>
            <a:t> rapport au volumes Non traité</a:t>
          </a:r>
          <a:endParaRPr lang="en-US" sz="1100">
            <a:solidFill>
              <a:schemeClr val="tx1"/>
            </a:solidFill>
          </a:endParaRPr>
        </a:p>
      </xdr:txBody>
    </xdr:sp>
    <xdr:clientData/>
  </xdr:twoCellAnchor>
  <xdr:twoCellAnchor>
    <xdr:from>
      <xdr:col>20</xdr:col>
      <xdr:colOff>730422</xdr:colOff>
      <xdr:row>29</xdr:row>
      <xdr:rowOff>9172</xdr:rowOff>
    </xdr:from>
    <xdr:to>
      <xdr:col>21</xdr:col>
      <xdr:colOff>15891</xdr:colOff>
      <xdr:row>40</xdr:row>
      <xdr:rowOff>18951</xdr:rowOff>
    </xdr:to>
    <xdr:cxnSp macro="">
      <xdr:nvCxnSpPr>
        <xdr:cNvPr id="10" name="Connector: Elbow 9">
          <a:extLst>
            <a:ext uri="{FF2B5EF4-FFF2-40B4-BE49-F238E27FC236}">
              <a16:creationId xmlns:a16="http://schemas.microsoft.com/office/drawing/2014/main" id="{C12D13D4-A0E2-41A1-8B6B-50BA9F3146BC}"/>
            </a:ext>
          </a:extLst>
        </xdr:cNvPr>
        <xdr:cNvCxnSpPr>
          <a:stCxn id="7" idx="1"/>
        </xdr:cNvCxnSpPr>
      </xdr:nvCxnSpPr>
      <xdr:spPr>
        <a:xfrm rot="10800000">
          <a:off x="16192095" y="4300617"/>
          <a:ext cx="262215" cy="2119134"/>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cherkaouide/AppData/Local/Microsoft/Windows/INetCache/Content.Outlook/UR6N8NAW/CDG_Int%20%20Ext_Vuln_Scan_Suivi%20%20Remediation%20Last%20version_04_12_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cherkaouide\AppData\Local\Microsoft\Windows\INetCache\Content.Outlook\UR6N8NAW\External%20scan%20Fevrier%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t Pivot_07-07-2020"/>
      <sheetName val="Archive Sept 20 Externe"/>
      <sheetName val="Externe MAJ Nov"/>
      <sheetName val="Sheet5"/>
      <sheetName val="Int Pivot_07-07-2020"/>
      <sheetName val="Interne"/>
      <sheetName val="Expl-statut"/>
      <sheetName val="First int Scan"/>
      <sheetName val="Solved"/>
      <sheetName val="Cerificats Network"/>
      <sheetName val="Cerificats Wintel"/>
      <sheetName val="Cerificats unix"/>
      <sheetName val="Status-Expl"/>
    </sheetNames>
    <sheetDataSet>
      <sheetData sheetId="0" refreshError="1"/>
      <sheetData sheetId="1" refreshError="1"/>
      <sheetData sheetId="2" refreshError="1">
        <row r="1">
          <cell r="A1" t="str">
            <v>IP/Port/Vuln</v>
          </cell>
          <cell r="B1" t="str">
            <v>Date de scan</v>
          </cell>
          <cell r="C1" t="str">
            <v>Asset IP Address</v>
          </cell>
          <cell r="D1" t="str">
            <v>IP Privé</v>
          </cell>
          <cell r="E1" t="str">
            <v>Seveur</v>
          </cell>
          <cell r="F1" t="str">
            <v>Groupe</v>
          </cell>
          <cell r="G1" t="str">
            <v>Owner</v>
          </cell>
          <cell r="H1" t="str">
            <v>Status</v>
          </cell>
        </row>
        <row r="2">
          <cell r="A2" t="str">
            <v>81.192.11.129/0/generic-tcp-timestamp</v>
          </cell>
          <cell r="B2" t="str">
            <v>Ext-10/20</v>
          </cell>
          <cell r="C2" t="str">
            <v>81.192.11.129</v>
          </cell>
          <cell r="D2" t="str">
            <v>10.8.0.47
10.8.0.63</v>
          </cell>
          <cell r="E2" t="str">
            <v>PCDG-Webinst</v>
          </cell>
          <cell r="F2" t="str">
            <v>UNIX</v>
          </cell>
          <cell r="G2" t="str">
            <v>Unix</v>
          </cell>
          <cell r="H2" t="str">
            <v>Fixed</v>
          </cell>
        </row>
        <row r="3">
          <cell r="A3" t="str">
            <v>81.192.11.129/22/ssh-3des-ciphers</v>
          </cell>
          <cell r="B3" t="str">
            <v>Ext-04/20</v>
          </cell>
          <cell r="C3" t="str">
            <v>81.192.11.129</v>
          </cell>
          <cell r="D3" t="str">
            <v>10.8.0.47
10.8.0.63</v>
          </cell>
          <cell r="E3" t="str">
            <v>PCDG-Webinst</v>
          </cell>
          <cell r="F3" t="str">
            <v>UNIX</v>
          </cell>
          <cell r="G3" t="str">
            <v>Unix</v>
          </cell>
          <cell r="H3" t="str">
            <v>Fixed</v>
          </cell>
        </row>
        <row r="4">
          <cell r="A4" t="str">
            <v>81.192.11.129/22/ssh-cbc-ciphers</v>
          </cell>
          <cell r="B4" t="str">
            <v>Ext-04/20</v>
          </cell>
          <cell r="C4" t="str">
            <v>81.192.11.129</v>
          </cell>
          <cell r="D4" t="str">
            <v>10.8.0.47
10.8.0.63</v>
          </cell>
          <cell r="E4" t="str">
            <v>PCDG-Webinst</v>
          </cell>
          <cell r="F4" t="str">
            <v>UNIX</v>
          </cell>
          <cell r="G4" t="str">
            <v>Unix</v>
          </cell>
          <cell r="H4" t="str">
            <v>Fixed</v>
          </cell>
        </row>
        <row r="5">
          <cell r="A5" t="str">
            <v>81.192.11.129/22/ssh-cve-2015-4000</v>
          </cell>
          <cell r="B5" t="str">
            <v>Ext-04/20</v>
          </cell>
          <cell r="C5" t="str">
            <v>81.192.11.129</v>
          </cell>
          <cell r="D5" t="str">
            <v>10.8.0.47
10.8.0.63</v>
          </cell>
          <cell r="E5" t="str">
            <v>PCDG-Webinst</v>
          </cell>
          <cell r="F5" t="str">
            <v>UNIX</v>
          </cell>
          <cell r="G5" t="str">
            <v>Unix</v>
          </cell>
          <cell r="H5" t="str">
            <v>Fixed</v>
          </cell>
        </row>
        <row r="6">
          <cell r="A6" t="str">
            <v>81.192.11.129/22/ssh-cve-2016-2183-sweet32</v>
          </cell>
          <cell r="B6" t="str">
            <v>Ext-04/20</v>
          </cell>
          <cell r="C6" t="str">
            <v>81.192.11.129</v>
          </cell>
          <cell r="D6" t="str">
            <v>10.8.0.47
10.8.0.63</v>
          </cell>
          <cell r="E6" t="str">
            <v>PCDG-Webinst</v>
          </cell>
          <cell r="F6" t="str">
            <v>UNIX</v>
          </cell>
          <cell r="G6" t="str">
            <v>Unix</v>
          </cell>
          <cell r="H6" t="str">
            <v>Fixed</v>
          </cell>
        </row>
        <row r="7">
          <cell r="A7" t="str">
            <v>81.192.11.129/22/ssh-rc4-ciphers</v>
          </cell>
          <cell r="B7" t="str">
            <v>Ext-04/20</v>
          </cell>
          <cell r="C7" t="str">
            <v>81.192.11.129</v>
          </cell>
          <cell r="D7" t="str">
            <v>10.8.0.47
10.8.0.63</v>
          </cell>
          <cell r="E7" t="str">
            <v>PCDG-Webinst</v>
          </cell>
          <cell r="F7" t="str">
            <v>UNIX</v>
          </cell>
          <cell r="G7" t="str">
            <v>Unix</v>
          </cell>
          <cell r="H7" t="str">
            <v>Fixed</v>
          </cell>
        </row>
        <row r="8">
          <cell r="A8" t="str">
            <v>81.192.11.129/22/ssh-weak-kex-algorithms</v>
          </cell>
          <cell r="B8" t="str">
            <v>Ext-04/20</v>
          </cell>
          <cell r="C8" t="str">
            <v>81.192.11.129</v>
          </cell>
          <cell r="D8" t="str">
            <v>10.8.0.47
10.8.0.63</v>
          </cell>
          <cell r="E8" t="str">
            <v>PCDG-Webinst</v>
          </cell>
          <cell r="F8" t="str">
            <v>UNIX</v>
          </cell>
          <cell r="G8" t="str">
            <v>Unix</v>
          </cell>
          <cell r="H8" t="str">
            <v>Fixed</v>
          </cell>
        </row>
        <row r="9">
          <cell r="A9" t="str">
            <v>81.192.11.129/22/ssh-weak-message-authentication-code-algorithms</v>
          </cell>
          <cell r="B9" t="str">
            <v>Ext-04/20</v>
          </cell>
          <cell r="C9" t="str">
            <v>81.192.11.129</v>
          </cell>
          <cell r="D9" t="str">
            <v>10.8.0.47
10.8.0.63</v>
          </cell>
          <cell r="E9" t="str">
            <v>PCDG-Webinst</v>
          </cell>
          <cell r="F9" t="str">
            <v>UNIX</v>
          </cell>
          <cell r="G9" t="str">
            <v>Unix</v>
          </cell>
          <cell r="H9" t="str">
            <v>Fixed</v>
          </cell>
        </row>
        <row r="10">
          <cell r="A10" t="str">
            <v>81.192.11.129/80/http-basic-auth-cleartext</v>
          </cell>
          <cell r="B10" t="str">
            <v>Ext-04/20</v>
          </cell>
          <cell r="C10" t="str">
            <v>81.192.11.129</v>
          </cell>
          <cell r="D10" t="str">
            <v>10.8.0.47
10.8.0.63</v>
          </cell>
          <cell r="E10" t="str">
            <v>PCDG-Webinst</v>
          </cell>
          <cell r="F10" t="str">
            <v>UNIX</v>
          </cell>
          <cell r="G10" t="str">
            <v>Unix</v>
          </cell>
          <cell r="H10" t="str">
            <v>Fixed</v>
          </cell>
        </row>
        <row r="11">
          <cell r="A11" t="str">
            <v>81.192.11.129/80/http-generic-browsable-dir</v>
          </cell>
          <cell r="B11" t="str">
            <v>Ext-04/20</v>
          </cell>
          <cell r="C11" t="str">
            <v>81.192.11.129</v>
          </cell>
          <cell r="D11" t="str">
            <v>10.8.0.47
10.8.0.63</v>
          </cell>
          <cell r="E11" t="str">
            <v>PCDG-Webinst</v>
          </cell>
          <cell r="F11" t="str">
            <v>UNIX</v>
          </cell>
          <cell r="G11" t="str">
            <v>Unix</v>
          </cell>
          <cell r="H11" t="str">
            <v>Fixed</v>
          </cell>
        </row>
        <row r="12">
          <cell r="A12" t="str">
            <v>81.192.11.129/80/http-generic-click-jacking</v>
          </cell>
          <cell r="B12" t="str">
            <v>Ext-04/20</v>
          </cell>
          <cell r="C12" t="str">
            <v>81.192.11.129</v>
          </cell>
          <cell r="D12" t="str">
            <v>10.8.0.47
10.8.0.63</v>
          </cell>
          <cell r="E12" t="str">
            <v>PCDG-Webinst</v>
          </cell>
          <cell r="F12" t="str">
            <v>UNIX</v>
          </cell>
          <cell r="G12" t="str">
            <v>Unix</v>
          </cell>
          <cell r="H12" t="str">
            <v>Fixed</v>
          </cell>
        </row>
        <row r="13">
          <cell r="A13" t="str">
            <v>81.192.11.129/80/http-trace-method-enabled</v>
          </cell>
          <cell r="B13" t="str">
            <v>Ext-04/20</v>
          </cell>
          <cell r="C13" t="str">
            <v>81.192.11.129</v>
          </cell>
          <cell r="D13" t="str">
            <v>10.8.0.47
10.8.0.63</v>
          </cell>
          <cell r="E13" t="str">
            <v>PCDG-Webinst</v>
          </cell>
          <cell r="F13" t="str">
            <v>UNIX</v>
          </cell>
          <cell r="G13" t="str">
            <v>Unix</v>
          </cell>
          <cell r="H13" t="str">
            <v>Fixed</v>
          </cell>
        </row>
        <row r="14">
          <cell r="A14" t="str">
            <v>81.192.11.130/0/generic-tcp-timestamp</v>
          </cell>
          <cell r="B14" t="str">
            <v>Ext-11/20</v>
          </cell>
          <cell r="C14" t="str">
            <v>81.192.11.130</v>
          </cell>
          <cell r="D14" t="str">
            <v>10.8.0.51
10.9.0.61</v>
          </cell>
          <cell r="E14" t="str">
            <v xml:space="preserve">	PCDG-WFOND	</v>
          </cell>
          <cell r="F14" t="str">
            <v>UNIX</v>
          </cell>
          <cell r="G14" t="str">
            <v>NA</v>
          </cell>
          <cell r="H14" t="str">
            <v>New</v>
          </cell>
        </row>
        <row r="15">
          <cell r="A15" t="str">
            <v>81.192.11.133/0/generic-tcp-timestamp</v>
          </cell>
          <cell r="B15" t="str">
            <v>Ext-04/20</v>
          </cell>
          <cell r="C15" t="str">
            <v>81.192.11.133</v>
          </cell>
          <cell r="D15" t="str">
            <v>172.20.0.31
10.9.0.14</v>
          </cell>
          <cell r="E15" t="str">
            <v>CDPRW-SIRHAPP</v>
          </cell>
          <cell r="F15" t="str">
            <v>Windows</v>
          </cell>
          <cell r="G15" t="str">
            <v>Wintel</v>
          </cell>
          <cell r="H15" t="str">
            <v>Fixed</v>
          </cell>
        </row>
        <row r="16">
          <cell r="A16" t="str">
            <v>81.192.11.133/443/certificate-common-name-mismatch</v>
          </cell>
          <cell r="B16" t="str">
            <v>Ext-06/20</v>
          </cell>
          <cell r="C16" t="str">
            <v>81.192.11.133</v>
          </cell>
          <cell r="D16" t="str">
            <v>172.20.0.31
10.9.0.14</v>
          </cell>
          <cell r="E16" t="str">
            <v>CDPRW-SIRHAPP</v>
          </cell>
          <cell r="F16" t="str">
            <v>Windows</v>
          </cell>
          <cell r="G16" t="str">
            <v>Wintel</v>
          </cell>
          <cell r="H16" t="str">
            <v>Faux Positive</v>
          </cell>
        </row>
        <row r="17">
          <cell r="A17" t="str">
            <v>81.192.11.133/443/http-cookie-http-only-flag</v>
          </cell>
          <cell r="B17" t="str">
            <v>Ext-04/20</v>
          </cell>
          <cell r="C17" t="str">
            <v>81.192.11.133</v>
          </cell>
          <cell r="D17" t="str">
            <v>172.20.0.31
10.9.0.14</v>
          </cell>
          <cell r="E17" t="str">
            <v>CDPRW-SIRHAPP</v>
          </cell>
          <cell r="F17" t="str">
            <v>Windows</v>
          </cell>
          <cell r="G17" t="str">
            <v>Wintel</v>
          </cell>
          <cell r="H17" t="str">
            <v>Fixed</v>
          </cell>
        </row>
        <row r="18">
          <cell r="A18" t="str">
            <v>81.192.11.133/443/http-cookie-secure-flag</v>
          </cell>
          <cell r="B18" t="str">
            <v>Ext-04/20</v>
          </cell>
          <cell r="C18" t="str">
            <v>81.192.11.133</v>
          </cell>
          <cell r="D18" t="str">
            <v>172.20.0.31
10.9.0.14</v>
          </cell>
          <cell r="E18" t="str">
            <v>CDPRW-SIRHAPP</v>
          </cell>
          <cell r="F18" t="str">
            <v>Windows</v>
          </cell>
          <cell r="G18" t="str">
            <v>Wintel</v>
          </cell>
          <cell r="H18" t="str">
            <v>Fixed</v>
          </cell>
        </row>
        <row r="19">
          <cell r="A19" t="str">
            <v>81.192.11.133/443/http-generic-click-jacking</v>
          </cell>
          <cell r="B19" t="str">
            <v>Ext-09/20</v>
          </cell>
          <cell r="C19" t="str">
            <v>81.192.11.133</v>
          </cell>
          <cell r="D19" t="str">
            <v>172.20.0.31
10.9.0.14</v>
          </cell>
          <cell r="E19" t="str">
            <v>CDPRW-SIRHAPP</v>
          </cell>
          <cell r="F19" t="str">
            <v>Windows</v>
          </cell>
          <cell r="G19" t="str">
            <v>Wintel</v>
          </cell>
          <cell r="H19" t="str">
            <v>Not Fixed</v>
          </cell>
        </row>
        <row r="20">
          <cell r="A20" t="str">
            <v>81.192.11.133/443/ssl-3des-ciphers</v>
          </cell>
          <cell r="B20" t="str">
            <v>Ext-04/20</v>
          </cell>
          <cell r="C20" t="str">
            <v>81.192.11.133</v>
          </cell>
          <cell r="D20" t="str">
            <v>172.20.0.31
10.9.0.14</v>
          </cell>
          <cell r="E20" t="str">
            <v>CDPRW-SIRHAPP</v>
          </cell>
          <cell r="F20" t="str">
            <v>Windows</v>
          </cell>
          <cell r="G20" t="str">
            <v>Wintel</v>
          </cell>
          <cell r="H20" t="str">
            <v>Not Fixed</v>
          </cell>
        </row>
        <row r="21">
          <cell r="A21" t="str">
            <v>81.192.11.133/443/ssl-cve-2011-3389-beast</v>
          </cell>
          <cell r="B21" t="str">
            <v>Ext-09/20</v>
          </cell>
          <cell r="C21" t="str">
            <v>81.192.11.133</v>
          </cell>
          <cell r="D21" t="str">
            <v>172.20.0.31
10.9.0.14</v>
          </cell>
          <cell r="E21" t="str">
            <v>CDPRW-SIRHAPP</v>
          </cell>
          <cell r="F21" t="str">
            <v>Windows</v>
          </cell>
          <cell r="G21" t="str">
            <v>Wintel</v>
          </cell>
          <cell r="H21" t="str">
            <v>Not Fixed</v>
          </cell>
        </row>
        <row r="22">
          <cell r="A22" t="str">
            <v>81.192.11.133/443/ssl-cve-2016-2183-sweet32</v>
          </cell>
          <cell r="B22" t="str">
            <v>Ext-09/20</v>
          </cell>
          <cell r="C22" t="str">
            <v>81.192.11.133</v>
          </cell>
          <cell r="D22" t="str">
            <v>172.20.0.31
10.9.0.14</v>
          </cell>
          <cell r="E22" t="str">
            <v>CDPRW-SIRHAPP</v>
          </cell>
          <cell r="F22" t="str">
            <v>Windows</v>
          </cell>
          <cell r="G22" t="str">
            <v>Wintel</v>
          </cell>
          <cell r="H22" t="str">
            <v>Not Fixed</v>
          </cell>
        </row>
        <row r="23">
          <cell r="A23" t="str">
            <v>81.192.11.133/443/ssl-static-key-ciphers</v>
          </cell>
          <cell r="B23" t="str">
            <v>Ext-04/20</v>
          </cell>
          <cell r="C23" t="str">
            <v>81.192.11.133</v>
          </cell>
          <cell r="D23" t="str">
            <v>172.20.0.31
10.9.0.14</v>
          </cell>
          <cell r="E23" t="str">
            <v>CDPRW-SIRHAPP</v>
          </cell>
          <cell r="F23" t="str">
            <v>Windows</v>
          </cell>
          <cell r="G23" t="str">
            <v>Wintel</v>
          </cell>
          <cell r="H23" t="str">
            <v>Not Fixed</v>
          </cell>
        </row>
        <row r="24">
          <cell r="A24" t="str">
            <v>81.192.11.133/443/tls-server-cert-to-expire</v>
          </cell>
          <cell r="B24" t="str">
            <v>Ext-08/20</v>
          </cell>
          <cell r="C24" t="str">
            <v>81.192.11.133</v>
          </cell>
          <cell r="D24" t="str">
            <v>172.20.0.31
10.9.0.14</v>
          </cell>
          <cell r="E24" t="str">
            <v>CDPRW-SIRHAPP</v>
          </cell>
          <cell r="F24" t="str">
            <v>Windows</v>
          </cell>
          <cell r="G24" t="str">
            <v>Client</v>
          </cell>
          <cell r="H24" t="str">
            <v>Fixed</v>
          </cell>
        </row>
        <row r="25">
          <cell r="A25" t="str">
            <v>81.192.11.133/443/tlsv1_0-enabled</v>
          </cell>
          <cell r="B25" t="str">
            <v>Ext-09/20</v>
          </cell>
          <cell r="C25" t="str">
            <v>81.192.11.133</v>
          </cell>
          <cell r="D25" t="str">
            <v>172.20.0.31
10.9.0.14</v>
          </cell>
          <cell r="E25" t="str">
            <v>CDPRW-SIRHAPP</v>
          </cell>
          <cell r="F25" t="str">
            <v>Windows</v>
          </cell>
          <cell r="G25" t="str">
            <v>Wintel</v>
          </cell>
          <cell r="H25" t="str">
            <v>Not Fixed</v>
          </cell>
        </row>
        <row r="26">
          <cell r="A26" t="str">
            <v>81.192.11.133/443/tlsv1_1-enabled</v>
          </cell>
          <cell r="B26" t="str">
            <v>Ext-04/20</v>
          </cell>
          <cell r="C26" t="str">
            <v>81.192.11.133</v>
          </cell>
          <cell r="D26" t="str">
            <v>172.20.0.31
10.9.0.14</v>
          </cell>
          <cell r="E26" t="str">
            <v>CDPRW-SIRHAPP</v>
          </cell>
          <cell r="F26" t="str">
            <v>Windows</v>
          </cell>
          <cell r="G26" t="str">
            <v>Wintel</v>
          </cell>
          <cell r="H26" t="str">
            <v>Not Fixed</v>
          </cell>
        </row>
        <row r="27">
          <cell r="A27" t="str">
            <v>81.192.11.135/0/generic-tcp-timestamp</v>
          </cell>
          <cell r="B27" t="str">
            <v>Ext-04/20</v>
          </cell>
          <cell r="C27" t="str">
            <v>81.192.11.135</v>
          </cell>
          <cell r="D27" t="str">
            <v>10.9.0.13</v>
          </cell>
          <cell r="E27" t="str">
            <v>WS - Tawtik-CDGNET</v>
          </cell>
          <cell r="F27" t="str">
            <v>UNIX / 10.250.251.50</v>
          </cell>
          <cell r="G27" t="str">
            <v>Unix</v>
          </cell>
          <cell r="H27" t="str">
            <v>Fixed</v>
          </cell>
        </row>
        <row r="28">
          <cell r="A28" t="str">
            <v>81.192.11.135/443/certificate-common-name-mismatch</v>
          </cell>
          <cell r="B28" t="str">
            <v>Ext-04/20</v>
          </cell>
          <cell r="C28" t="str">
            <v>81.192.11.135</v>
          </cell>
          <cell r="D28" t="str">
            <v>10.9.0.13</v>
          </cell>
          <cell r="E28" t="str">
            <v>WS - Tawtik-CDGNET</v>
          </cell>
          <cell r="F28" t="str">
            <v>UNIX / 10.250.251.50</v>
          </cell>
          <cell r="G28" t="str">
            <v>Unix</v>
          </cell>
          <cell r="H28" t="str">
            <v>Faux Positive</v>
          </cell>
        </row>
        <row r="29">
          <cell r="A29" t="str">
            <v>81.192.11.135/443/http-options-method-enabled</v>
          </cell>
          <cell r="B29" t="str">
            <v>Ext-04/20</v>
          </cell>
          <cell r="C29" t="str">
            <v>81.192.11.135</v>
          </cell>
          <cell r="D29" t="str">
            <v>10.9.0.13</v>
          </cell>
          <cell r="E29" t="str">
            <v>WS - Tawtik-CDGNET</v>
          </cell>
          <cell r="F29" t="str">
            <v>UNIX / 10.250.251.50</v>
          </cell>
          <cell r="G29" t="str">
            <v>Unix</v>
          </cell>
          <cell r="H29" t="str">
            <v>Fixed</v>
          </cell>
        </row>
        <row r="30">
          <cell r="A30" t="str">
            <v>81.192.11.135/443/ssl-cve-2011-3389-beast</v>
          </cell>
          <cell r="B30" t="str">
            <v>Ext-04/20</v>
          </cell>
          <cell r="C30" t="str">
            <v>81.192.11.135</v>
          </cell>
          <cell r="D30" t="str">
            <v>10.9.0.13</v>
          </cell>
          <cell r="E30" t="str">
            <v>WS - Tawtik-CDGNET</v>
          </cell>
          <cell r="F30" t="str">
            <v>UNIX / 10.250.251.50</v>
          </cell>
          <cell r="G30" t="str">
            <v>Unix</v>
          </cell>
          <cell r="H30" t="str">
            <v>Fixed</v>
          </cell>
        </row>
        <row r="31">
          <cell r="A31" t="str">
            <v>81.192.11.135/443/ssl-static-key-ciphers</v>
          </cell>
          <cell r="B31" t="str">
            <v>Ext-04/20</v>
          </cell>
          <cell r="C31" t="str">
            <v>81.192.11.135</v>
          </cell>
          <cell r="D31" t="str">
            <v>10.9.0.13</v>
          </cell>
          <cell r="E31" t="str">
            <v>WS - Tawtik-CDGNET</v>
          </cell>
          <cell r="F31" t="str">
            <v>UNIX / 10.250.251.50</v>
          </cell>
          <cell r="G31" t="str">
            <v>Unix</v>
          </cell>
          <cell r="H31" t="str">
            <v>Fixed</v>
          </cell>
        </row>
        <row r="32">
          <cell r="A32" t="str">
            <v>81.192.11.135/443/tls-dh-primes</v>
          </cell>
          <cell r="B32" t="str">
            <v>Ext-04/20</v>
          </cell>
          <cell r="C32" t="str">
            <v>81.192.11.135</v>
          </cell>
          <cell r="D32" t="str">
            <v>10.9.0.13</v>
          </cell>
          <cell r="E32" t="str">
            <v>WS - Tawtik-CDGNET</v>
          </cell>
          <cell r="F32" t="str">
            <v>UNIX / 10.250.251.50</v>
          </cell>
          <cell r="G32" t="str">
            <v>Unix</v>
          </cell>
          <cell r="H32" t="str">
            <v>Fixed</v>
          </cell>
        </row>
        <row r="33">
          <cell r="A33" t="str">
            <v>81.192.11.135/443/tlsv1_0-enabled</v>
          </cell>
          <cell r="B33" t="str">
            <v>Ext-04/20</v>
          </cell>
          <cell r="C33" t="str">
            <v>81.192.11.135</v>
          </cell>
          <cell r="D33" t="str">
            <v>10.9.0.13</v>
          </cell>
          <cell r="E33" t="str">
            <v>WS - Tawtik-CDGNET</v>
          </cell>
          <cell r="F33" t="str">
            <v>UNIX / 10.250.251.50</v>
          </cell>
          <cell r="G33" t="str">
            <v>Unix</v>
          </cell>
          <cell r="H33" t="str">
            <v>Fixed</v>
          </cell>
        </row>
        <row r="34">
          <cell r="A34" t="str">
            <v>81.192.11.135/443/tlsv1_1-enabled</v>
          </cell>
          <cell r="B34" t="str">
            <v>Ext-04/20</v>
          </cell>
          <cell r="C34" t="str">
            <v>81.192.11.135</v>
          </cell>
          <cell r="D34" t="str">
            <v>10.9.0.13</v>
          </cell>
          <cell r="E34" t="str">
            <v>WS - Tawtik-CDGNET</v>
          </cell>
          <cell r="F34" t="str">
            <v>UNIX / 10.250.251.50</v>
          </cell>
          <cell r="G34" t="str">
            <v>Unix</v>
          </cell>
          <cell r="H34" t="str">
            <v>Fixed</v>
          </cell>
        </row>
        <row r="35">
          <cell r="A35" t="str">
            <v>81.192.11.137/0/generic-tcp-timestamp</v>
          </cell>
          <cell r="B35" t="str">
            <v>Ext-04/20</v>
          </cell>
          <cell r="C35" t="str">
            <v>81.192.11.137</v>
          </cell>
          <cell r="D35" t="str">
            <v>NAT 10.9.0.10
172.20.0.5</v>
          </cell>
          <cell r="E35" t="str">
            <v>EXPROD01</v>
          </cell>
          <cell r="F35" t="str">
            <v>Windows</v>
          </cell>
          <cell r="G35" t="str">
            <v>Client</v>
          </cell>
          <cell r="H35" t="str">
            <v>Fixed</v>
          </cell>
        </row>
        <row r="36">
          <cell r="A36" t="str">
            <v>81.192.11.137/443/certificate-common-name-mismatch</v>
          </cell>
          <cell r="B36" t="str">
            <v>Ext-04/20</v>
          </cell>
          <cell r="C36" t="str">
            <v>81.192.11.137</v>
          </cell>
          <cell r="D36" t="str">
            <v>NAT 10.9.0.10
172.20.0.5</v>
          </cell>
          <cell r="E36" t="str">
            <v>EXPROD01</v>
          </cell>
          <cell r="F36" t="str">
            <v>Windows</v>
          </cell>
          <cell r="G36" t="str">
            <v>Client</v>
          </cell>
          <cell r="H36" t="str">
            <v>Faux Positive</v>
          </cell>
        </row>
        <row r="37">
          <cell r="A37" t="str">
            <v>81.192.11.137/443/http-generic-click-jacking</v>
          </cell>
          <cell r="B37" t="str">
            <v>Ext-05/20</v>
          </cell>
          <cell r="C37" t="str">
            <v>81.192.11.137</v>
          </cell>
          <cell r="D37" t="str">
            <v>NAT 10.9.0.10
172.20.0.5</v>
          </cell>
          <cell r="E37" t="str">
            <v>EXPROD01</v>
          </cell>
          <cell r="F37" t="str">
            <v>Windows</v>
          </cell>
          <cell r="G37" t="str">
            <v>Client</v>
          </cell>
          <cell r="H37" t="str">
            <v>Not Fixed</v>
          </cell>
        </row>
        <row r="38">
          <cell r="A38" t="str">
            <v>81.192.11.137/443/ssl-3des-ciphers</v>
          </cell>
          <cell r="B38" t="str">
            <v>Ext-04/20</v>
          </cell>
          <cell r="C38" t="str">
            <v>81.192.11.137</v>
          </cell>
          <cell r="D38" t="str">
            <v>NAT 10.9.0.10
172.20.0.5</v>
          </cell>
          <cell r="E38" t="str">
            <v>EXPROD01</v>
          </cell>
          <cell r="F38" t="str">
            <v>Windows</v>
          </cell>
          <cell r="G38" t="str">
            <v>Client</v>
          </cell>
          <cell r="H38" t="str">
            <v>Not Fixed</v>
          </cell>
        </row>
        <row r="39">
          <cell r="A39" t="str">
            <v>81.192.11.137/443/ssl-cve-2011-3389-beast</v>
          </cell>
          <cell r="B39" t="str">
            <v>Ext-04/20</v>
          </cell>
          <cell r="C39" t="str">
            <v>81.192.11.137</v>
          </cell>
          <cell r="D39" t="str">
            <v>NAT 10.9.0.10
172.20.0.5</v>
          </cell>
          <cell r="E39" t="str">
            <v>EXPROD01</v>
          </cell>
          <cell r="F39" t="str">
            <v>Windows</v>
          </cell>
          <cell r="G39" t="str">
            <v>Client</v>
          </cell>
          <cell r="H39" t="str">
            <v>Not Fixed</v>
          </cell>
        </row>
        <row r="40">
          <cell r="A40" t="str">
            <v>81.192.11.137/443/ssl-cve-2016-2183-sweet32</v>
          </cell>
          <cell r="B40" t="str">
            <v>Ext-04/20</v>
          </cell>
          <cell r="C40" t="str">
            <v>81.192.11.137</v>
          </cell>
          <cell r="D40" t="str">
            <v>NAT 10.9.0.10
172.20.0.5</v>
          </cell>
          <cell r="E40" t="str">
            <v>EXPROD01</v>
          </cell>
          <cell r="F40" t="str">
            <v>Windows</v>
          </cell>
          <cell r="G40" t="str">
            <v>Client</v>
          </cell>
          <cell r="H40" t="str">
            <v>Not Fixed</v>
          </cell>
        </row>
        <row r="41">
          <cell r="A41" t="str">
            <v>81.192.11.137/443/ssl-static-key-ciphers</v>
          </cell>
          <cell r="B41" t="str">
            <v>Ext-04/20</v>
          </cell>
          <cell r="C41" t="str">
            <v>81.192.11.137</v>
          </cell>
          <cell r="D41" t="str">
            <v>NAT 10.9.0.10
172.20.0.5</v>
          </cell>
          <cell r="E41" t="str">
            <v>EXPROD01</v>
          </cell>
          <cell r="F41" t="str">
            <v>Windows</v>
          </cell>
          <cell r="G41" t="str">
            <v>Client</v>
          </cell>
          <cell r="H41" t="str">
            <v>Not Fixed</v>
          </cell>
        </row>
        <row r="42">
          <cell r="A42" t="str">
            <v>81.192.11.137/443/tls-server-cert-to-expire</v>
          </cell>
          <cell r="B42" t="str">
            <v>Ext-08/20</v>
          </cell>
          <cell r="C42" t="str">
            <v>81.192.11.137</v>
          </cell>
          <cell r="D42" t="str">
            <v>NAT 10.9.0.10
172.20.0.5</v>
          </cell>
          <cell r="E42" t="str">
            <v>EXPROD01</v>
          </cell>
          <cell r="F42" t="str">
            <v>Windows</v>
          </cell>
          <cell r="G42" t="str">
            <v>Client</v>
          </cell>
          <cell r="H42" t="str">
            <v>Fixed</v>
          </cell>
        </row>
        <row r="43">
          <cell r="A43" t="str">
            <v>81.192.11.137/443/tlsv1_0-enabled</v>
          </cell>
          <cell r="B43" t="str">
            <v>Ext-04/20</v>
          </cell>
          <cell r="C43" t="str">
            <v>81.192.11.137</v>
          </cell>
          <cell r="D43" t="str">
            <v>NAT 10.9.0.10
172.20.0.5</v>
          </cell>
          <cell r="E43" t="str">
            <v>EXPROD01</v>
          </cell>
          <cell r="F43" t="str">
            <v>Windows</v>
          </cell>
          <cell r="G43" t="str">
            <v>Client</v>
          </cell>
          <cell r="H43" t="str">
            <v>Not Fixed</v>
          </cell>
        </row>
        <row r="44">
          <cell r="A44" t="str">
            <v>81.192.11.137/443/tlsv1_1-enabled</v>
          </cell>
          <cell r="B44" t="str">
            <v>Ext-04/20</v>
          </cell>
          <cell r="C44" t="str">
            <v>81.192.11.137</v>
          </cell>
          <cell r="D44" t="str">
            <v>NAT 10.9.0.10
172.20.0.5</v>
          </cell>
          <cell r="E44" t="str">
            <v>EXPROD01</v>
          </cell>
          <cell r="F44" t="str">
            <v>Windows</v>
          </cell>
          <cell r="G44" t="str">
            <v>Client</v>
          </cell>
          <cell r="H44" t="str">
            <v>Not Fixed</v>
          </cell>
        </row>
        <row r="45">
          <cell r="A45" t="str">
            <v>81.192.11.140/0/generic-tcp-timestamp</v>
          </cell>
          <cell r="B45" t="str">
            <v>Ext-10/20</v>
          </cell>
          <cell r="C45" t="str">
            <v>81.192.11.140</v>
          </cell>
          <cell r="D45" t="str">
            <v xml:space="preserve">10.8.0.6 </v>
          </cell>
          <cell r="E45" t="str">
            <v>PCDG-WebFond</v>
          </cell>
          <cell r="F45" t="str">
            <v>UNIX</v>
          </cell>
          <cell r="G45" t="str">
            <v>Unix</v>
          </cell>
          <cell r="H45" t="str">
            <v>Not Fixed</v>
          </cell>
        </row>
        <row r="46">
          <cell r="A46" t="str">
            <v>81.192.11.140/25/tlsv1_0-enabled</v>
          </cell>
          <cell r="B46" t="str">
            <v>Ext-10/20</v>
          </cell>
          <cell r="C46" t="str">
            <v>81.192.11.140</v>
          </cell>
          <cell r="D46" t="str">
            <v xml:space="preserve">10.8.0.6 </v>
          </cell>
          <cell r="E46" t="str">
            <v>PCDG-WebFond</v>
          </cell>
          <cell r="F46" t="str">
            <v>UNIX</v>
          </cell>
          <cell r="G46" t="str">
            <v>Unix</v>
          </cell>
          <cell r="H46" t="str">
            <v>Not Fixed</v>
          </cell>
        </row>
        <row r="47">
          <cell r="A47" t="str">
            <v>81.192.11.140/25/tlsv1_1-enabled</v>
          </cell>
          <cell r="B47" t="str">
            <v>Ext-10/20</v>
          </cell>
          <cell r="C47" t="str">
            <v>81.192.11.140</v>
          </cell>
          <cell r="D47" t="str">
            <v xml:space="preserve">10.8.0.6 </v>
          </cell>
          <cell r="E47" t="str">
            <v>PCDG-WebFond</v>
          </cell>
          <cell r="F47" t="str">
            <v>UNIX</v>
          </cell>
          <cell r="G47" t="str">
            <v>Unix</v>
          </cell>
          <cell r="H47" t="str">
            <v>Not Fixed</v>
          </cell>
        </row>
        <row r="48">
          <cell r="A48" t="str">
            <v>81.192.11.141/0/generic-tcp-timestamp</v>
          </cell>
          <cell r="B48" t="str">
            <v>Ext-04/20</v>
          </cell>
          <cell r="C48" t="str">
            <v>81.192.11.141</v>
          </cell>
          <cell r="D48" t="str">
            <v>10.8.0.49</v>
          </cell>
          <cell r="E48" t="str">
            <v xml:space="preserve">	PCDG-SFTPDMZ</v>
          </cell>
          <cell r="F48" t="str">
            <v>UNIX</v>
          </cell>
          <cell r="G48" t="str">
            <v>Unix</v>
          </cell>
          <cell r="H48" t="str">
            <v>Fixed</v>
          </cell>
        </row>
        <row r="49">
          <cell r="A49" t="str">
            <v>81.192.11.141/22/ssh-3des-ciphers</v>
          </cell>
          <cell r="B49" t="str">
            <v>Ext-04/20</v>
          </cell>
          <cell r="C49" t="str">
            <v>81.192.11.141</v>
          </cell>
          <cell r="D49" t="str">
            <v>10.8.0.49</v>
          </cell>
          <cell r="E49" t="str">
            <v xml:space="preserve">	PCDG-SFTPDMZ</v>
          </cell>
          <cell r="F49" t="str">
            <v>UNIX</v>
          </cell>
          <cell r="G49" t="str">
            <v>Unix</v>
          </cell>
          <cell r="H49" t="str">
            <v>Fixed</v>
          </cell>
        </row>
        <row r="50">
          <cell r="A50" t="str">
            <v>81.192.11.141/22/ssh-cbc-ciphers</v>
          </cell>
          <cell r="B50" t="str">
            <v>Ext-04/20</v>
          </cell>
          <cell r="C50" t="str">
            <v>81.192.11.141</v>
          </cell>
          <cell r="D50" t="str">
            <v>10.8.0.49</v>
          </cell>
          <cell r="E50" t="str">
            <v xml:space="preserve">	PCDG-SFTPDMZ</v>
          </cell>
          <cell r="F50" t="str">
            <v>UNIX</v>
          </cell>
          <cell r="G50" t="str">
            <v>Unix</v>
          </cell>
          <cell r="H50" t="str">
            <v>Fixed</v>
          </cell>
        </row>
        <row r="51">
          <cell r="A51" t="str">
            <v>81.192.11.141/22/ssh-cve-2015-4000</v>
          </cell>
          <cell r="B51" t="str">
            <v>Ext-04/20</v>
          </cell>
          <cell r="C51" t="str">
            <v>81.192.11.141</v>
          </cell>
          <cell r="D51" t="str">
            <v>10.8.0.49</v>
          </cell>
          <cell r="E51" t="str">
            <v xml:space="preserve">	PCDG-SFTPDMZ</v>
          </cell>
          <cell r="F51" t="str">
            <v>UNIX</v>
          </cell>
          <cell r="G51" t="str">
            <v>Unix</v>
          </cell>
          <cell r="H51" t="str">
            <v>Fixed</v>
          </cell>
        </row>
        <row r="52">
          <cell r="A52" t="str">
            <v>81.192.11.141/22/ssh-cve-2016-2183-sweet32</v>
          </cell>
          <cell r="B52" t="str">
            <v>Ext-04/20</v>
          </cell>
          <cell r="C52" t="str">
            <v>81.192.11.141</v>
          </cell>
          <cell r="D52" t="str">
            <v>10.8.0.49</v>
          </cell>
          <cell r="E52" t="str">
            <v xml:space="preserve">	PCDG-SFTPDMZ</v>
          </cell>
          <cell r="F52" t="str">
            <v>UNIX</v>
          </cell>
          <cell r="G52" t="str">
            <v>Unix</v>
          </cell>
          <cell r="H52" t="str">
            <v>Fixed</v>
          </cell>
        </row>
        <row r="53">
          <cell r="A53" t="str">
            <v>81.192.11.141/22/ssh-weak-kex-algorithms</v>
          </cell>
          <cell r="B53" t="str">
            <v>Ext-04/20</v>
          </cell>
          <cell r="C53" t="str">
            <v>81.192.11.141</v>
          </cell>
          <cell r="D53" t="str">
            <v>10.8.0.49</v>
          </cell>
          <cell r="E53" t="str">
            <v xml:space="preserve">	PCDG-SFTPDMZ</v>
          </cell>
          <cell r="F53" t="str">
            <v>UNIX</v>
          </cell>
          <cell r="G53" t="str">
            <v>Unix</v>
          </cell>
          <cell r="H53" t="str">
            <v>Fixed</v>
          </cell>
        </row>
        <row r="54">
          <cell r="A54" t="str">
            <v>81.192.11.143/0/generic-tcp-timestamp</v>
          </cell>
          <cell r="B54" t="str">
            <v>Ext-09/20</v>
          </cell>
          <cell r="C54" t="str">
            <v>81.192.11.143</v>
          </cell>
          <cell r="D54" t="str">
            <v>10.8.0.36</v>
          </cell>
          <cell r="E54" t="str">
            <v>DCDG-VOID</v>
          </cell>
          <cell r="F54" t="str">
            <v>UNIX</v>
          </cell>
          <cell r="G54" t="str">
            <v>Unix</v>
          </cell>
          <cell r="H54" t="str">
            <v>Fixed</v>
          </cell>
        </row>
        <row r="55">
          <cell r="A55" t="str">
            <v>81.192.11.143/22/ssh-3des-ciphers</v>
          </cell>
          <cell r="B55" t="str">
            <v>Ext-04/20</v>
          </cell>
          <cell r="C55" t="str">
            <v>81.192.11.143</v>
          </cell>
          <cell r="D55" t="str">
            <v>10.8.0.36</v>
          </cell>
          <cell r="E55" t="str">
            <v>DCDG-VOID</v>
          </cell>
          <cell r="F55" t="str">
            <v>UNIX</v>
          </cell>
          <cell r="G55" t="str">
            <v>Unix</v>
          </cell>
          <cell r="H55" t="str">
            <v>Fixed</v>
          </cell>
        </row>
        <row r="56">
          <cell r="A56" t="str">
            <v>81.192.11.143/22/ssh-cbc-ciphers</v>
          </cell>
          <cell r="B56" t="str">
            <v>Ext-04/20</v>
          </cell>
          <cell r="C56" t="str">
            <v>81.192.11.143</v>
          </cell>
          <cell r="D56" t="str">
            <v>10.8.0.36</v>
          </cell>
          <cell r="E56" t="str">
            <v>DCDG-VOID</v>
          </cell>
          <cell r="F56" t="str">
            <v>UNIX</v>
          </cell>
          <cell r="G56" t="str">
            <v>Unix</v>
          </cell>
          <cell r="H56" t="str">
            <v>Fixed</v>
          </cell>
        </row>
        <row r="57">
          <cell r="A57" t="str">
            <v>81.192.11.143/22/ssh-cve-2015-4000</v>
          </cell>
          <cell r="B57" t="str">
            <v>Ext-04/20</v>
          </cell>
          <cell r="C57" t="str">
            <v>81.192.11.143</v>
          </cell>
          <cell r="D57" t="str">
            <v>10.8.0.36</v>
          </cell>
          <cell r="E57" t="str">
            <v>DCDG-VOID</v>
          </cell>
          <cell r="F57" t="str">
            <v>UNIX</v>
          </cell>
          <cell r="G57" t="str">
            <v>Unix</v>
          </cell>
          <cell r="H57" t="str">
            <v>Fixed</v>
          </cell>
        </row>
        <row r="58">
          <cell r="A58" t="str">
            <v>81.192.11.143/22/ssh-cve-2016-2183-sweet32</v>
          </cell>
          <cell r="B58" t="str">
            <v>Ext-04/20</v>
          </cell>
          <cell r="C58" t="str">
            <v>81.192.11.143</v>
          </cell>
          <cell r="D58" t="str">
            <v>10.8.0.36</v>
          </cell>
          <cell r="E58" t="str">
            <v>DCDG-VOID</v>
          </cell>
          <cell r="F58" t="str">
            <v>UNIX</v>
          </cell>
          <cell r="G58" t="str">
            <v>Unix</v>
          </cell>
          <cell r="H58" t="str">
            <v>Fixed</v>
          </cell>
        </row>
        <row r="59">
          <cell r="A59" t="str">
            <v>81.192.11.143/22/ssh-rc4-ciphers</v>
          </cell>
          <cell r="B59" t="str">
            <v>Ext-04/20</v>
          </cell>
          <cell r="C59" t="str">
            <v>81.192.11.143</v>
          </cell>
          <cell r="D59" t="str">
            <v>10.8.0.36</v>
          </cell>
          <cell r="E59" t="str">
            <v>DCDG-VOID</v>
          </cell>
          <cell r="F59" t="str">
            <v>UNIX</v>
          </cell>
          <cell r="G59" t="str">
            <v>Unix</v>
          </cell>
          <cell r="H59" t="str">
            <v>Fixed</v>
          </cell>
        </row>
        <row r="60">
          <cell r="A60" t="str">
            <v>81.192.11.143/22/ssh-weak-kex-algorithms</v>
          </cell>
          <cell r="B60" t="str">
            <v>Ext-04/20</v>
          </cell>
          <cell r="C60" t="str">
            <v>81.192.11.143</v>
          </cell>
          <cell r="D60" t="str">
            <v>10.8.0.36</v>
          </cell>
          <cell r="E60" t="str">
            <v>DCDG-VOID</v>
          </cell>
          <cell r="F60" t="str">
            <v>UNIX</v>
          </cell>
          <cell r="G60" t="str">
            <v>Unix</v>
          </cell>
          <cell r="H60" t="str">
            <v>Not Fixed</v>
          </cell>
        </row>
        <row r="61">
          <cell r="A61" t="str">
            <v>81.192.11.143/22/ssh-weak-message-authentication-code-algorithms</v>
          </cell>
          <cell r="B61" t="str">
            <v>Ext-04/20</v>
          </cell>
          <cell r="C61" t="str">
            <v>81.192.11.143</v>
          </cell>
          <cell r="D61" t="str">
            <v>10.8.0.36</v>
          </cell>
          <cell r="E61" t="str">
            <v>DCDG-VOID</v>
          </cell>
          <cell r="F61" t="str">
            <v>UNIX</v>
          </cell>
          <cell r="G61" t="str">
            <v>Unix</v>
          </cell>
          <cell r="H61" t="str">
            <v>Fixed</v>
          </cell>
        </row>
        <row r="62">
          <cell r="A62" t="str">
            <v>81.192.11.145/0/generic-tcp-timestamp</v>
          </cell>
          <cell r="B62" t="str">
            <v>Ext-04/20</v>
          </cell>
          <cell r="C62" t="str">
            <v>81.192.11.145</v>
          </cell>
          <cell r="D62" t="str">
            <v>10.8.0.54</v>
          </cell>
          <cell r="E62" t="str">
            <v>PCDG-WebCDG</v>
          </cell>
          <cell r="F62" t="str">
            <v>UNIX</v>
          </cell>
          <cell r="G62" t="str">
            <v>Unix</v>
          </cell>
          <cell r="H62" t="str">
            <v>Fixed</v>
          </cell>
        </row>
        <row r="63">
          <cell r="A63" t="str">
            <v>81.192.11.145/22/ssh-3des-ciphers</v>
          </cell>
          <cell r="B63" t="str">
            <v>Ext-04/20</v>
          </cell>
          <cell r="C63" t="str">
            <v>81.192.11.145</v>
          </cell>
          <cell r="D63" t="str">
            <v>10.8.0.54</v>
          </cell>
          <cell r="E63" t="str">
            <v>PCDG-WebCDG</v>
          </cell>
          <cell r="F63" t="str">
            <v>UNIX</v>
          </cell>
          <cell r="G63" t="str">
            <v>Unix</v>
          </cell>
          <cell r="H63" t="str">
            <v>Fixed</v>
          </cell>
        </row>
        <row r="64">
          <cell r="A64" t="str">
            <v>81.192.11.145/22/ssh-cbc-ciphers</v>
          </cell>
          <cell r="B64" t="str">
            <v>Ext-04/20</v>
          </cell>
          <cell r="C64" t="str">
            <v>81.192.11.145</v>
          </cell>
          <cell r="D64" t="str">
            <v>10.8.0.54</v>
          </cell>
          <cell r="E64" t="str">
            <v>PCDG-WebCDG</v>
          </cell>
          <cell r="F64" t="str">
            <v>UNIX</v>
          </cell>
          <cell r="G64" t="str">
            <v>Unix</v>
          </cell>
          <cell r="H64" t="str">
            <v>Fixed</v>
          </cell>
        </row>
        <row r="65">
          <cell r="A65" t="str">
            <v>81.192.11.145/22/ssh-cve-2015-4000</v>
          </cell>
          <cell r="B65" t="str">
            <v>Ext-04/20</v>
          </cell>
          <cell r="C65" t="str">
            <v>81.192.11.145</v>
          </cell>
          <cell r="D65" t="str">
            <v>10.8.0.54</v>
          </cell>
          <cell r="E65" t="str">
            <v>PCDG-WebCDG</v>
          </cell>
          <cell r="F65" t="str">
            <v>UNIX</v>
          </cell>
          <cell r="G65" t="str">
            <v>Unix</v>
          </cell>
          <cell r="H65" t="str">
            <v>Fixed</v>
          </cell>
        </row>
        <row r="66">
          <cell r="A66" t="str">
            <v>81.192.11.145/22/ssh-cve-2016-2183-sweet32</v>
          </cell>
          <cell r="B66" t="str">
            <v>Ext-04/20</v>
          </cell>
          <cell r="C66" t="str">
            <v>81.192.11.145</v>
          </cell>
          <cell r="D66" t="str">
            <v>10.8.0.54</v>
          </cell>
          <cell r="E66" t="str">
            <v>PCDG-WebCDG</v>
          </cell>
          <cell r="F66" t="str">
            <v>UNIX</v>
          </cell>
          <cell r="G66" t="str">
            <v>Unix</v>
          </cell>
          <cell r="H66" t="str">
            <v>Fixed</v>
          </cell>
        </row>
        <row r="67">
          <cell r="A67" t="str">
            <v>81.192.11.145/22/ssh-rc4-ciphers</v>
          </cell>
          <cell r="B67" t="str">
            <v>Ext-04/20</v>
          </cell>
          <cell r="C67" t="str">
            <v>81.192.11.145</v>
          </cell>
          <cell r="D67" t="str">
            <v>10.8.0.54</v>
          </cell>
          <cell r="E67" t="str">
            <v>PCDG-WebCDG</v>
          </cell>
          <cell r="F67" t="str">
            <v>UNIX</v>
          </cell>
          <cell r="G67" t="str">
            <v>Unix</v>
          </cell>
          <cell r="H67" t="str">
            <v>Fixed</v>
          </cell>
        </row>
        <row r="68">
          <cell r="A68" t="str">
            <v>81.192.11.145/22/ssh-weak-kex-algorithms</v>
          </cell>
          <cell r="B68" t="str">
            <v>Ext-04/20</v>
          </cell>
          <cell r="C68" t="str">
            <v>81.192.11.145</v>
          </cell>
          <cell r="D68" t="str">
            <v>10.8.0.54</v>
          </cell>
          <cell r="E68" t="str">
            <v>PCDG-WebCDG</v>
          </cell>
          <cell r="F68" t="str">
            <v>UNIX</v>
          </cell>
          <cell r="G68" t="str">
            <v>Unix</v>
          </cell>
          <cell r="H68" t="str">
            <v>Fixed</v>
          </cell>
        </row>
        <row r="69">
          <cell r="A69" t="str">
            <v>81.192.11.145/22/ssh-weak-message-authentication-code-algorithms</v>
          </cell>
          <cell r="B69" t="str">
            <v>Ext-04/20</v>
          </cell>
          <cell r="C69" t="str">
            <v>81.192.11.145</v>
          </cell>
          <cell r="D69" t="str">
            <v>10.8.0.54</v>
          </cell>
          <cell r="E69" t="str">
            <v>PCDG-WebCDG</v>
          </cell>
          <cell r="F69" t="str">
            <v>UNIX</v>
          </cell>
          <cell r="G69" t="str">
            <v>Unix</v>
          </cell>
          <cell r="H69" t="str">
            <v>Fixed</v>
          </cell>
        </row>
        <row r="70">
          <cell r="A70" t="str">
            <v>81.192.11.146/0/generic-tcp-timestamp</v>
          </cell>
          <cell r="B70" t="str">
            <v>Ext-04/20</v>
          </cell>
          <cell r="C70" t="str">
            <v>81.192.11.146</v>
          </cell>
          <cell r="D70" t="str">
            <v>10.9.0.25</v>
          </cell>
          <cell r="E70" t="str">
            <v>Dématérialisation Des Marchés</v>
          </cell>
          <cell r="F70" t="str">
            <v>UNIX / 10.250.252.16</v>
          </cell>
          <cell r="G70" t="str">
            <v>Client</v>
          </cell>
          <cell r="H70" t="str">
            <v>Fixed</v>
          </cell>
        </row>
        <row r="71">
          <cell r="A71" t="str">
            <v>81.192.11.146/443/certificate-common-name-mismatch</v>
          </cell>
          <cell r="B71" t="str">
            <v>Ext-04/20</v>
          </cell>
          <cell r="C71" t="str">
            <v>81.192.11.146</v>
          </cell>
          <cell r="D71" t="str">
            <v>10.9.0.25</v>
          </cell>
          <cell r="E71" t="str">
            <v>Dématérialisation Des Marchés</v>
          </cell>
          <cell r="F71" t="str">
            <v>UNIX / 10.250.252.16</v>
          </cell>
          <cell r="G71" t="str">
            <v>Client</v>
          </cell>
          <cell r="H71" t="str">
            <v>Faux Positive</v>
          </cell>
        </row>
        <row r="72">
          <cell r="A72" t="str">
            <v>81.192.11.146/443/http-cookie-http-only-flag</v>
          </cell>
          <cell r="B72" t="str">
            <v>Ext-04/20</v>
          </cell>
          <cell r="C72" t="str">
            <v>81.192.11.146</v>
          </cell>
          <cell r="D72" t="str">
            <v>10.9.0.25</v>
          </cell>
          <cell r="E72" t="str">
            <v>Dématérialisation Des Marchés</v>
          </cell>
          <cell r="F72" t="str">
            <v>UNIX / 10.250.252.16</v>
          </cell>
          <cell r="G72" t="str">
            <v>Client</v>
          </cell>
          <cell r="H72" t="str">
            <v>Not Fixed</v>
          </cell>
        </row>
        <row r="73">
          <cell r="A73" t="str">
            <v>81.192.11.146/443/http-cookie-secure-flag</v>
          </cell>
          <cell r="B73" t="str">
            <v>Ext-04/20</v>
          </cell>
          <cell r="C73" t="str">
            <v>81.192.11.146</v>
          </cell>
          <cell r="D73" t="str">
            <v>10.9.0.25</v>
          </cell>
          <cell r="E73" t="str">
            <v>Dématérialisation Des Marchés</v>
          </cell>
          <cell r="F73" t="str">
            <v>UNIX / 10.250.252.16</v>
          </cell>
          <cell r="G73" t="str">
            <v>Client</v>
          </cell>
          <cell r="H73" t="str">
            <v>Not Fixed</v>
          </cell>
        </row>
        <row r="74">
          <cell r="A74" t="str">
            <v>81.192.11.146/443/http-trace-method-enabled</v>
          </cell>
          <cell r="B74" t="str">
            <v>Ext-09/20</v>
          </cell>
          <cell r="C74" t="str">
            <v>81.192.11.146</v>
          </cell>
          <cell r="D74" t="str">
            <v>10.9.0.25</v>
          </cell>
          <cell r="E74" t="str">
            <v>Dématérialisation Des Marchés</v>
          </cell>
          <cell r="F74" t="str">
            <v>UNIX / 10.250.252.16</v>
          </cell>
          <cell r="G74" t="str">
            <v>Client</v>
          </cell>
          <cell r="H74" t="str">
            <v>Fixed</v>
          </cell>
        </row>
        <row r="75">
          <cell r="A75" t="str">
            <v>81.192.11.146/443/ssl-3des-ciphers</v>
          </cell>
          <cell r="B75" t="str">
            <v>Ext-04/20</v>
          </cell>
          <cell r="C75" t="str">
            <v>81.192.11.146</v>
          </cell>
          <cell r="D75" t="str">
            <v>10.9.0.25</v>
          </cell>
          <cell r="E75" t="str">
            <v>Dématérialisation Des Marchés</v>
          </cell>
          <cell r="F75" t="str">
            <v>UNIX / 10.250.252.16</v>
          </cell>
          <cell r="G75" t="str">
            <v>Client</v>
          </cell>
          <cell r="H75" t="str">
            <v>In Progress</v>
          </cell>
        </row>
        <row r="76">
          <cell r="A76" t="str">
            <v>81.192.11.146/443/ssl-cve-2016-2183-sweet32</v>
          </cell>
          <cell r="B76" t="str">
            <v>Ext-04/20</v>
          </cell>
          <cell r="C76" t="str">
            <v>81.192.11.146</v>
          </cell>
          <cell r="D76" t="str">
            <v>10.9.0.25</v>
          </cell>
          <cell r="E76" t="str">
            <v>Dématérialisation Des Marchés</v>
          </cell>
          <cell r="F76" t="str">
            <v>UNIX / 10.250.252.16</v>
          </cell>
          <cell r="G76" t="str">
            <v>Client</v>
          </cell>
          <cell r="H76" t="str">
            <v>Not Fixed</v>
          </cell>
        </row>
        <row r="77">
          <cell r="A77" t="str">
            <v>81.192.11.146/443/ssl-static-key-ciphers</v>
          </cell>
          <cell r="B77" t="str">
            <v>Ext-04/20</v>
          </cell>
          <cell r="C77" t="str">
            <v>81.192.11.146</v>
          </cell>
          <cell r="D77" t="str">
            <v>10.9.0.25</v>
          </cell>
          <cell r="E77" t="str">
            <v>Dématérialisation Des Marchés</v>
          </cell>
          <cell r="F77" t="str">
            <v>UNIX / 10.250.252.16</v>
          </cell>
          <cell r="G77" t="str">
            <v>Client</v>
          </cell>
          <cell r="H77" t="str">
            <v>In Progress</v>
          </cell>
        </row>
        <row r="78">
          <cell r="A78" t="str">
            <v>81.192.11.146/443/tls-server-cert-to-expire</v>
          </cell>
          <cell r="B78" t="str">
            <v>Ext-08/20</v>
          </cell>
          <cell r="C78" t="str">
            <v>81.192.11.146</v>
          </cell>
          <cell r="D78" t="str">
            <v>10.9.0.25</v>
          </cell>
          <cell r="E78" t="str">
            <v>Dématérialisation Des Marchés</v>
          </cell>
          <cell r="F78" t="str">
            <v>UNIX / 10.250.252.16</v>
          </cell>
          <cell r="G78" t="str">
            <v>Client</v>
          </cell>
          <cell r="H78" t="str">
            <v>Fixed</v>
          </cell>
        </row>
        <row r="79">
          <cell r="A79" t="str">
            <v>81.192.11.148/0/generic-tcp-timestamp</v>
          </cell>
          <cell r="B79" t="str">
            <v>Ext-11/20</v>
          </cell>
          <cell r="C79" t="str">
            <v>81.192.11.148</v>
          </cell>
          <cell r="D79" t="str">
            <v>10.9.0.56</v>
          </cell>
          <cell r="E79" t="str">
            <v>HFM V11</v>
          </cell>
          <cell r="F79" t="str">
            <v>Windows / 172.20.60.251</v>
          </cell>
          <cell r="G79" t="str">
            <v>Client</v>
          </cell>
          <cell r="H79" t="str">
            <v>New</v>
          </cell>
        </row>
        <row r="80">
          <cell r="A80" t="str">
            <v>81.192.11.148/443/certificate-common-name-mismatch</v>
          </cell>
          <cell r="B80" t="str">
            <v>Ext-04/20</v>
          </cell>
          <cell r="C80" t="str">
            <v>81.192.11.148</v>
          </cell>
          <cell r="D80" t="str">
            <v>10.9.0.56</v>
          </cell>
          <cell r="E80" t="str">
            <v>HFM V11</v>
          </cell>
          <cell r="F80" t="str">
            <v>Windows / 172.20.60.251</v>
          </cell>
          <cell r="G80" t="str">
            <v>Client</v>
          </cell>
          <cell r="H80" t="str">
            <v>Faux Positive</v>
          </cell>
        </row>
        <row r="81">
          <cell r="A81" t="str">
            <v>81.192.11.148/443/http-generic-click-jacking</v>
          </cell>
          <cell r="B81" t="str">
            <v>Ext-09/20</v>
          </cell>
          <cell r="C81" t="str">
            <v>81.192.11.148</v>
          </cell>
          <cell r="D81" t="str">
            <v>10.9.0.56</v>
          </cell>
          <cell r="E81" t="str">
            <v>HFM V11</v>
          </cell>
          <cell r="F81" t="str">
            <v>Windows / 172.20.60.251</v>
          </cell>
          <cell r="G81" t="str">
            <v>Client</v>
          </cell>
          <cell r="H81" t="str">
            <v>Not Fixed</v>
          </cell>
        </row>
        <row r="82">
          <cell r="A82" t="str">
            <v>81.192.11.148/443/http-options-method-enabled</v>
          </cell>
          <cell r="B82" t="str">
            <v>Ext-09/20</v>
          </cell>
          <cell r="C82" t="str">
            <v>81.192.11.148</v>
          </cell>
          <cell r="D82" t="str">
            <v>10.9.0.56</v>
          </cell>
          <cell r="E82" t="str">
            <v>HFM V11</v>
          </cell>
          <cell r="F82" t="str">
            <v>Windows / 172.20.60.251</v>
          </cell>
          <cell r="G82" t="str">
            <v>Client</v>
          </cell>
          <cell r="H82" t="str">
            <v>Not Fixed</v>
          </cell>
        </row>
        <row r="83">
          <cell r="A83" t="str">
            <v>81.192.11.148/443/http-trace-method-enabled</v>
          </cell>
          <cell r="B83" t="str">
            <v>Ext-09/20</v>
          </cell>
          <cell r="C83" t="str">
            <v>81.192.11.148</v>
          </cell>
          <cell r="D83" t="str">
            <v>10.9.0.56</v>
          </cell>
          <cell r="E83" t="str">
            <v>HFM V11</v>
          </cell>
          <cell r="F83" t="str">
            <v>Windows / 172.20.60.251</v>
          </cell>
          <cell r="G83" t="str">
            <v>Client</v>
          </cell>
          <cell r="H83" t="str">
            <v>Not Fixed</v>
          </cell>
        </row>
        <row r="84">
          <cell r="A84" t="str">
            <v>81.192.11.148/443/ssl-3des-ciphers</v>
          </cell>
          <cell r="B84" t="str">
            <v>Ext-04/20</v>
          </cell>
          <cell r="C84" t="str">
            <v>81.192.11.148</v>
          </cell>
          <cell r="D84" t="str">
            <v>10.9.0.56</v>
          </cell>
          <cell r="E84" t="str">
            <v>HFM V11</v>
          </cell>
          <cell r="F84" t="str">
            <v>Windows / 172.20.60.251</v>
          </cell>
          <cell r="G84" t="str">
            <v>Client</v>
          </cell>
          <cell r="H84" t="str">
            <v>Fixed</v>
          </cell>
        </row>
        <row r="85">
          <cell r="A85" t="str">
            <v>81.192.11.148/443/ssl-cve-2011-3389-beast</v>
          </cell>
          <cell r="B85" t="str">
            <v>Ext-04/20</v>
          </cell>
          <cell r="C85" t="str">
            <v>81.192.11.148</v>
          </cell>
          <cell r="D85" t="str">
            <v>10.9.0.56</v>
          </cell>
          <cell r="E85" t="str">
            <v>HFM V11</v>
          </cell>
          <cell r="F85" t="str">
            <v>Windows / 172.20.60.251</v>
          </cell>
          <cell r="G85" t="str">
            <v>Client</v>
          </cell>
          <cell r="H85" t="str">
            <v>Fixed</v>
          </cell>
        </row>
        <row r="86">
          <cell r="A86" t="str">
            <v>81.192.11.148/443/ssl-cve-2016-2183-sweet32</v>
          </cell>
          <cell r="B86" t="str">
            <v>Ext-04/20</v>
          </cell>
          <cell r="C86" t="str">
            <v>81.192.11.148</v>
          </cell>
          <cell r="D86" t="str">
            <v>10.9.0.56</v>
          </cell>
          <cell r="E86" t="str">
            <v>HFM V11</v>
          </cell>
          <cell r="F86" t="str">
            <v>Windows / 172.20.60.251</v>
          </cell>
          <cell r="G86" t="str">
            <v>Client</v>
          </cell>
          <cell r="H86" t="str">
            <v>Fixed</v>
          </cell>
        </row>
        <row r="87">
          <cell r="A87" t="str">
            <v>81.192.11.148/443/ssl-static-key-ciphers</v>
          </cell>
          <cell r="B87" t="str">
            <v>Ext-04/20</v>
          </cell>
          <cell r="C87" t="str">
            <v>81.192.11.148</v>
          </cell>
          <cell r="D87" t="str">
            <v>10.9.0.56</v>
          </cell>
          <cell r="E87" t="str">
            <v>HFM V11</v>
          </cell>
          <cell r="F87" t="str">
            <v>Windows / 172.20.60.251</v>
          </cell>
          <cell r="G87" t="str">
            <v>Client</v>
          </cell>
          <cell r="H87" t="str">
            <v>Fixed</v>
          </cell>
        </row>
        <row r="88">
          <cell r="A88" t="str">
            <v>81.192.11.148/443/tls-server-cert-to-expire</v>
          </cell>
          <cell r="B88" t="str">
            <v>Ext-08/20</v>
          </cell>
          <cell r="C88" t="str">
            <v>81.192.11.148</v>
          </cell>
          <cell r="D88" t="str">
            <v>10.9.0.56</v>
          </cell>
          <cell r="E88" t="str">
            <v>HFM V11</v>
          </cell>
          <cell r="F88" t="str">
            <v>Windows / 172.20.60.251</v>
          </cell>
          <cell r="G88" t="str">
            <v>Client</v>
          </cell>
          <cell r="H88" t="str">
            <v>Fixed</v>
          </cell>
        </row>
        <row r="89">
          <cell r="A89" t="str">
            <v>81.192.11.148/443/tlsv1_0-enabled</v>
          </cell>
          <cell r="B89" t="str">
            <v>Ext-04/20</v>
          </cell>
          <cell r="C89" t="str">
            <v>81.192.11.148</v>
          </cell>
          <cell r="D89" t="str">
            <v>10.9.0.56</v>
          </cell>
          <cell r="E89" t="str">
            <v>HFM V11</v>
          </cell>
          <cell r="F89" t="str">
            <v>Windows / 172.20.60.251</v>
          </cell>
          <cell r="G89" t="str">
            <v>Client</v>
          </cell>
          <cell r="H89" t="str">
            <v>Fixed</v>
          </cell>
        </row>
        <row r="90">
          <cell r="A90" t="str">
            <v>81.192.11.148/443/tlsv1_1-enabled</v>
          </cell>
          <cell r="B90" t="str">
            <v>Ext-04/20</v>
          </cell>
          <cell r="C90" t="str">
            <v>81.192.11.148</v>
          </cell>
          <cell r="D90" t="str">
            <v>10.9.0.56</v>
          </cell>
          <cell r="E90" t="str">
            <v>HFM V11</v>
          </cell>
          <cell r="F90" t="str">
            <v>Windows / 172.20.60.251</v>
          </cell>
          <cell r="G90" t="str">
            <v>Client</v>
          </cell>
          <cell r="H90" t="str">
            <v>Fixed</v>
          </cell>
        </row>
        <row r="91">
          <cell r="A91" t="str">
            <v>81.192.11.151/0/drupal-cve-2020-11022</v>
          </cell>
          <cell r="B91" t="str">
            <v>Ext-07/20</v>
          </cell>
          <cell r="C91" t="str">
            <v>81.192.11.151</v>
          </cell>
          <cell r="D91" t="str">
            <v>10.8.0.54
10.9.0.31</v>
          </cell>
          <cell r="E91" t="str">
            <v>PCDG-WebCDG</v>
          </cell>
          <cell r="F91" t="str">
            <v>UNIX</v>
          </cell>
          <cell r="G91" t="str">
            <v>Unix</v>
          </cell>
          <cell r="H91" t="str">
            <v>Not Fixed</v>
          </cell>
        </row>
        <row r="92">
          <cell r="A92" t="str">
            <v>81.192.11.151/0/drupal-cve-2020-11023</v>
          </cell>
          <cell r="B92" t="str">
            <v>Ext-07/20</v>
          </cell>
          <cell r="C92" t="str">
            <v>81.192.11.151</v>
          </cell>
          <cell r="D92" t="str">
            <v>10.8.0.54
10.9.0.31</v>
          </cell>
          <cell r="E92" t="str">
            <v>PCDG-WebCDG</v>
          </cell>
          <cell r="F92" t="str">
            <v>UNIX</v>
          </cell>
          <cell r="G92" t="str">
            <v>Unix</v>
          </cell>
          <cell r="H92" t="str">
            <v>Not Fixed</v>
          </cell>
        </row>
        <row r="93">
          <cell r="A93" t="str">
            <v>81.192.11.151/0/drupal-cve-2020-13663</v>
          </cell>
          <cell r="B93" t="str">
            <v>Ext-07/20</v>
          </cell>
          <cell r="C93" t="str">
            <v>81.192.11.151</v>
          </cell>
          <cell r="D93" t="str">
            <v>10.8.0.54
10.9.0.31</v>
          </cell>
          <cell r="E93" t="str">
            <v>PCDG-WebCDG</v>
          </cell>
          <cell r="F93" t="str">
            <v>UNIX</v>
          </cell>
          <cell r="G93" t="str">
            <v>Unix</v>
          </cell>
          <cell r="H93" t="str">
            <v>Not Fixed</v>
          </cell>
        </row>
        <row r="94">
          <cell r="A94" t="str">
            <v>81.192.11.151/0/drupal-cve-2020-13666</v>
          </cell>
          <cell r="B94" t="str">
            <v>Ext-10/20</v>
          </cell>
          <cell r="C94" t="str">
            <v>81.192.11.151</v>
          </cell>
          <cell r="D94" t="str">
            <v>10.8.0.54
10.9.0.31</v>
          </cell>
          <cell r="E94" t="str">
            <v>PCDG-WebCDG</v>
          </cell>
          <cell r="F94" t="str">
            <v>UNIX</v>
          </cell>
          <cell r="G94" t="str">
            <v>Unix</v>
          </cell>
          <cell r="H94" t="str">
            <v>Not Fixed</v>
          </cell>
        </row>
        <row r="95">
          <cell r="A95" t="str">
            <v>81.192.11.151/0/generic-tcp-timestamp</v>
          </cell>
          <cell r="B95" t="str">
            <v>Ext-04/20</v>
          </cell>
          <cell r="C95" t="str">
            <v>81.192.11.151</v>
          </cell>
          <cell r="D95" t="str">
            <v>10.8.0.54
10.9.0.31</v>
          </cell>
          <cell r="E95" t="str">
            <v>PCDG-WebCDG</v>
          </cell>
          <cell r="F95" t="str">
            <v>UNIX</v>
          </cell>
          <cell r="G95" t="str">
            <v>Unix</v>
          </cell>
          <cell r="H95" t="str">
            <v>Fixed</v>
          </cell>
        </row>
        <row r="96">
          <cell r="A96" t="str">
            <v>81.192.11.151/443/ssl-3des-ciphers</v>
          </cell>
          <cell r="B96" t="str">
            <v>Ext-04/20</v>
          </cell>
          <cell r="C96" t="str">
            <v>81.192.11.151</v>
          </cell>
          <cell r="D96" t="str">
            <v>10.8.0.54
10.9.0.31</v>
          </cell>
          <cell r="E96" t="str">
            <v>PCDG-WebCDG</v>
          </cell>
          <cell r="F96" t="str">
            <v>UNIX</v>
          </cell>
          <cell r="G96" t="str">
            <v>Unix</v>
          </cell>
          <cell r="H96" t="str">
            <v>In Progress</v>
          </cell>
        </row>
        <row r="97">
          <cell r="A97" t="str">
            <v>81.192.11.151/443/ssl-cve-2011-3389-beast</v>
          </cell>
          <cell r="B97" t="str">
            <v>Ext-04/20</v>
          </cell>
          <cell r="C97" t="str">
            <v>81.192.11.151</v>
          </cell>
          <cell r="D97" t="str">
            <v>10.8.0.54
10.9.0.31</v>
          </cell>
          <cell r="E97" t="str">
            <v>PCDG-WebCDG</v>
          </cell>
          <cell r="F97" t="str">
            <v>UNIX</v>
          </cell>
          <cell r="G97" t="str">
            <v>Unix</v>
          </cell>
          <cell r="H97" t="str">
            <v>In Progress</v>
          </cell>
        </row>
        <row r="98">
          <cell r="A98" t="str">
            <v>81.192.11.151/443/ssl-cve-2016-2183-sweet32</v>
          </cell>
          <cell r="B98" t="str">
            <v>Ext-04/20</v>
          </cell>
          <cell r="C98" t="str">
            <v>81.192.11.151</v>
          </cell>
          <cell r="D98" t="str">
            <v>10.8.0.54
10.9.0.31</v>
          </cell>
          <cell r="E98" t="str">
            <v>PCDG-WebCDG</v>
          </cell>
          <cell r="F98" t="str">
            <v>UNIX</v>
          </cell>
          <cell r="G98" t="str">
            <v>Unix</v>
          </cell>
          <cell r="H98" t="str">
            <v>In Progress</v>
          </cell>
        </row>
        <row r="99">
          <cell r="A99" t="str">
            <v>81.192.11.151/443/ssl-static-key-ciphers</v>
          </cell>
          <cell r="B99" t="str">
            <v>Ext-04/20</v>
          </cell>
          <cell r="C99" t="str">
            <v>81.192.11.151</v>
          </cell>
          <cell r="D99" t="str">
            <v>10.8.0.54
10.9.0.31</v>
          </cell>
          <cell r="E99" t="str">
            <v>PCDG-WebCDG</v>
          </cell>
          <cell r="F99" t="str">
            <v>UNIX</v>
          </cell>
          <cell r="G99" t="str">
            <v>Unix</v>
          </cell>
          <cell r="H99" t="str">
            <v>In Progress</v>
          </cell>
        </row>
        <row r="100">
          <cell r="A100" t="str">
            <v>81.192.11.151/443/tlsv1_0-enabled</v>
          </cell>
          <cell r="B100" t="str">
            <v>Ext-04/20</v>
          </cell>
          <cell r="C100" t="str">
            <v>81.192.11.151</v>
          </cell>
          <cell r="D100" t="str">
            <v>10.8.0.54
10.9.0.31</v>
          </cell>
          <cell r="E100" t="str">
            <v>PCDG-WebCDG</v>
          </cell>
          <cell r="F100" t="str">
            <v>UNIX</v>
          </cell>
          <cell r="G100" t="str">
            <v>Unix</v>
          </cell>
          <cell r="H100" t="str">
            <v>In Progress</v>
          </cell>
        </row>
        <row r="101">
          <cell r="A101" t="str">
            <v>81.192.11.151/443/tlsv1_1-enabled</v>
          </cell>
          <cell r="B101" t="str">
            <v>Ext-04/20</v>
          </cell>
          <cell r="C101" t="str">
            <v>81.192.11.151</v>
          </cell>
          <cell r="D101" t="str">
            <v>10.8.0.54
10.9.0.31</v>
          </cell>
          <cell r="E101" t="str">
            <v>PCDG-WebCDG</v>
          </cell>
          <cell r="F101" t="str">
            <v>UNIX</v>
          </cell>
          <cell r="G101" t="str">
            <v>Unix</v>
          </cell>
          <cell r="H101" t="str">
            <v>In Progress</v>
          </cell>
        </row>
        <row r="102">
          <cell r="A102" t="str">
            <v>81.192.11.154/0/drupal-cve-2020-11022</v>
          </cell>
          <cell r="B102" t="str">
            <v>Ext-06/20</v>
          </cell>
          <cell r="C102" t="str">
            <v>81.192.11.154</v>
          </cell>
          <cell r="D102" t="str">
            <v>10.8.0.51
10.9.0.61</v>
          </cell>
          <cell r="E102" t="str">
            <v xml:space="preserve">	PCDG-WFOND	</v>
          </cell>
          <cell r="F102" t="str">
            <v>UNIX</v>
          </cell>
          <cell r="G102" t="str">
            <v>Unix</v>
          </cell>
          <cell r="H102" t="str">
            <v>Not Fixed</v>
          </cell>
        </row>
        <row r="103">
          <cell r="A103" t="str">
            <v>81.192.11.154/0/drupal-cve-2020-11023</v>
          </cell>
          <cell r="B103" t="str">
            <v>Ext-06/20</v>
          </cell>
          <cell r="C103" t="str">
            <v>81.192.11.154</v>
          </cell>
          <cell r="D103" t="str">
            <v>10.8.0.51
10.9.0.61</v>
          </cell>
          <cell r="E103" t="str">
            <v xml:space="preserve">	PCDG-WFOND	</v>
          </cell>
          <cell r="F103" t="str">
            <v>UNIX</v>
          </cell>
          <cell r="G103" t="str">
            <v>Unix</v>
          </cell>
          <cell r="H103" t="str">
            <v>Not Fixed</v>
          </cell>
        </row>
        <row r="104">
          <cell r="A104" t="str">
            <v>81.192.11.154/0/drupal-cve-2020-13663</v>
          </cell>
          <cell r="B104" t="str">
            <v>Ext-07/20</v>
          </cell>
          <cell r="C104" t="str">
            <v>81.192.11.154</v>
          </cell>
          <cell r="D104" t="str">
            <v>10.8.0.51
10.9.0.61</v>
          </cell>
          <cell r="E104" t="str">
            <v xml:space="preserve">	PCDG-WFOND	</v>
          </cell>
          <cell r="F104" t="str">
            <v>UNIX</v>
          </cell>
          <cell r="G104" t="str">
            <v>Unix</v>
          </cell>
          <cell r="H104" t="str">
            <v>Not Fixed</v>
          </cell>
        </row>
        <row r="105">
          <cell r="A105" t="str">
            <v>81.192.11.154/0/drupal-cve-2020-13666</v>
          </cell>
          <cell r="B105" t="str">
            <v>Ext-10/20</v>
          </cell>
          <cell r="C105" t="str">
            <v>81.192.11.154</v>
          </cell>
          <cell r="D105" t="str">
            <v>10.8.0.51
10.9.0.61</v>
          </cell>
          <cell r="E105" t="str">
            <v xml:space="preserve">	PCDG-WFOND	</v>
          </cell>
          <cell r="F105" t="str">
            <v>UNIX</v>
          </cell>
          <cell r="G105" t="str">
            <v>Unix</v>
          </cell>
          <cell r="H105" t="str">
            <v>Not Fixed</v>
          </cell>
        </row>
        <row r="106">
          <cell r="A106" t="str">
            <v>81.192.11.154/0/generic-tcp-timestamp</v>
          </cell>
          <cell r="B106" t="str">
            <v>Ext-10/20</v>
          </cell>
          <cell r="C106" t="str">
            <v>81.192.11.154</v>
          </cell>
          <cell r="D106" t="str">
            <v>10.8.0.51
10.9.0.61</v>
          </cell>
          <cell r="E106" t="str">
            <v xml:space="preserve">	PCDG-WFOND	</v>
          </cell>
          <cell r="F106" t="str">
            <v>UNIX</v>
          </cell>
          <cell r="G106" t="str">
            <v>Unix</v>
          </cell>
          <cell r="H106" t="str">
            <v>Not Fixed</v>
          </cell>
        </row>
        <row r="107">
          <cell r="A107" t="str">
            <v>81.192.11.154/22/ssh-3des-ciphers</v>
          </cell>
          <cell r="B107" t="str">
            <v>Ext-04/20</v>
          </cell>
          <cell r="C107" t="str">
            <v>81.192.11.154</v>
          </cell>
          <cell r="D107" t="str">
            <v>10.8.0.51
10.9.0.61</v>
          </cell>
          <cell r="E107" t="str">
            <v xml:space="preserve">	PCDG-WFOND	</v>
          </cell>
          <cell r="F107" t="str">
            <v>UNIX</v>
          </cell>
          <cell r="G107" t="str">
            <v>Unix</v>
          </cell>
          <cell r="H107" t="str">
            <v>Not Fixed</v>
          </cell>
        </row>
        <row r="108">
          <cell r="A108" t="str">
            <v>81.192.11.154/22/ssh-cbc-ciphers</v>
          </cell>
          <cell r="B108" t="str">
            <v>Ext-04/20</v>
          </cell>
          <cell r="C108" t="str">
            <v>81.192.11.154</v>
          </cell>
          <cell r="D108" t="str">
            <v>10.8.0.51
10.9.0.61</v>
          </cell>
          <cell r="E108" t="str">
            <v xml:space="preserve">	PCDG-WFOND	</v>
          </cell>
          <cell r="F108" t="str">
            <v>UNIX</v>
          </cell>
          <cell r="G108" t="str">
            <v>Unix</v>
          </cell>
          <cell r="H108" t="str">
            <v>Not Fixed</v>
          </cell>
        </row>
        <row r="109">
          <cell r="A109" t="str">
            <v>81.192.11.154/22/ssh-cve-2015-4000</v>
          </cell>
          <cell r="B109" t="str">
            <v>Ext-04/20</v>
          </cell>
          <cell r="C109" t="str">
            <v>81.192.11.154</v>
          </cell>
          <cell r="D109" t="str">
            <v>10.8.0.51
10.9.0.61</v>
          </cell>
          <cell r="E109" t="str">
            <v xml:space="preserve">	PCDG-WFOND	</v>
          </cell>
          <cell r="F109" t="str">
            <v>UNIX</v>
          </cell>
          <cell r="G109" t="str">
            <v>Unix</v>
          </cell>
          <cell r="H109" t="str">
            <v>Not Fixed</v>
          </cell>
        </row>
        <row r="110">
          <cell r="A110" t="str">
            <v>81.192.11.154/22/ssh-cve-2016-2183-sweet32</v>
          </cell>
          <cell r="B110" t="str">
            <v>Ext-04/20</v>
          </cell>
          <cell r="C110" t="str">
            <v>81.192.11.154</v>
          </cell>
          <cell r="D110" t="str">
            <v>10.8.0.51
10.9.0.61</v>
          </cell>
          <cell r="E110" t="str">
            <v xml:space="preserve">	PCDG-WFOND	</v>
          </cell>
          <cell r="F110" t="str">
            <v>UNIX</v>
          </cell>
          <cell r="G110" t="str">
            <v>Unix</v>
          </cell>
          <cell r="H110" t="str">
            <v>Not Fixed</v>
          </cell>
        </row>
        <row r="111">
          <cell r="A111" t="str">
            <v>81.192.11.154/22/ssh-rc4-ciphers</v>
          </cell>
          <cell r="B111" t="str">
            <v>Ext-04/20</v>
          </cell>
          <cell r="C111" t="str">
            <v>81.192.11.154</v>
          </cell>
          <cell r="D111" t="str">
            <v>10.8.0.51
10.9.0.61</v>
          </cell>
          <cell r="E111" t="str">
            <v xml:space="preserve">	PCDG-WFOND	</v>
          </cell>
          <cell r="F111" t="str">
            <v>UNIX</v>
          </cell>
          <cell r="G111" t="str">
            <v>Unix</v>
          </cell>
          <cell r="H111" t="str">
            <v>Not Fixed</v>
          </cell>
        </row>
        <row r="112">
          <cell r="A112" t="str">
            <v>81.192.11.154/22/ssh-weak-kex-algorithms</v>
          </cell>
          <cell r="B112" t="str">
            <v>Ext-04/20</v>
          </cell>
          <cell r="C112" t="str">
            <v>81.192.11.154</v>
          </cell>
          <cell r="D112" t="str">
            <v>10.8.0.51
10.9.0.61</v>
          </cell>
          <cell r="E112" t="str">
            <v xml:space="preserve">	PCDG-WFOND	</v>
          </cell>
          <cell r="F112" t="str">
            <v>UNIX</v>
          </cell>
          <cell r="G112" t="str">
            <v>Unix</v>
          </cell>
          <cell r="H112" t="str">
            <v>Not Fixed</v>
          </cell>
        </row>
        <row r="113">
          <cell r="A113" t="str">
            <v>81.192.11.154/22/ssh-weak-message-authentication-code-algorithms</v>
          </cell>
          <cell r="B113" t="str">
            <v>Ext-04/20</v>
          </cell>
          <cell r="C113" t="str">
            <v>81.192.11.154</v>
          </cell>
          <cell r="D113" t="str">
            <v>10.8.0.51
10.9.0.61</v>
          </cell>
          <cell r="E113" t="str">
            <v xml:space="preserve">	PCDG-WFOND	</v>
          </cell>
          <cell r="F113" t="str">
            <v>UNIX</v>
          </cell>
          <cell r="G113" t="str">
            <v>Unix</v>
          </cell>
          <cell r="H113" t="str">
            <v>Not Fixed</v>
          </cell>
        </row>
        <row r="114">
          <cell r="A114" t="str">
            <v>81.192.11.154/443/http-cookie-http-only-flag</v>
          </cell>
          <cell r="B114" t="str">
            <v>Ext-04/20</v>
          </cell>
          <cell r="C114" t="str">
            <v>81.192.11.154</v>
          </cell>
          <cell r="D114" t="str">
            <v>10.8.0.51
10.9.0.61</v>
          </cell>
          <cell r="E114" t="str">
            <v xml:space="preserve">	PCDG-WFOND	</v>
          </cell>
          <cell r="F114" t="str">
            <v>UNIX</v>
          </cell>
          <cell r="G114" t="str">
            <v>Unix</v>
          </cell>
          <cell r="H114" t="str">
            <v>Not Fixed</v>
          </cell>
        </row>
        <row r="115">
          <cell r="A115" t="str">
            <v>81.192.11.154/443/ssl-3des-ciphers</v>
          </cell>
          <cell r="B115" t="str">
            <v>Ext-04/20</v>
          </cell>
          <cell r="C115" t="str">
            <v>81.192.11.154</v>
          </cell>
          <cell r="D115" t="str">
            <v>10.8.0.51
10.9.0.61</v>
          </cell>
          <cell r="E115" t="str">
            <v xml:space="preserve">	PCDG-WFOND	</v>
          </cell>
          <cell r="F115" t="str">
            <v>UNIX</v>
          </cell>
          <cell r="G115" t="str">
            <v>Unix</v>
          </cell>
          <cell r="H115" t="str">
            <v>Not Fixed</v>
          </cell>
        </row>
        <row r="116">
          <cell r="A116" t="str">
            <v>81.192.11.154/443/ssl-cve-2016-2183-sweet32</v>
          </cell>
          <cell r="B116" t="str">
            <v>Ext-04/20</v>
          </cell>
          <cell r="C116" t="str">
            <v>81.192.11.154</v>
          </cell>
          <cell r="D116" t="str">
            <v>10.8.0.51
10.9.0.61</v>
          </cell>
          <cell r="E116" t="str">
            <v xml:space="preserve">	PCDG-WFOND	</v>
          </cell>
          <cell r="F116" t="str">
            <v>UNIX</v>
          </cell>
          <cell r="G116" t="str">
            <v>Unix</v>
          </cell>
          <cell r="H116" t="str">
            <v>Not Fixed</v>
          </cell>
        </row>
        <row r="117">
          <cell r="A117" t="str">
            <v>81.192.11.154/443/ssl-self-signed-certificate</v>
          </cell>
          <cell r="B117" t="str">
            <v>Ext-04/20</v>
          </cell>
          <cell r="C117" t="str">
            <v>81.192.11.154</v>
          </cell>
          <cell r="D117" t="str">
            <v>10.8.0.51
10.9.0.61</v>
          </cell>
          <cell r="E117" t="str">
            <v xml:space="preserve">	PCDG-WFOND	</v>
          </cell>
          <cell r="F117" t="str">
            <v>UNIX</v>
          </cell>
          <cell r="G117" t="str">
            <v>Unix</v>
          </cell>
          <cell r="H117" t="str">
            <v>Not Fixed</v>
          </cell>
        </row>
        <row r="118">
          <cell r="A118" t="str">
            <v>81.192.11.154/443/ssl-static-key-ciphers</v>
          </cell>
          <cell r="B118" t="str">
            <v>Ext-04/20</v>
          </cell>
          <cell r="C118" t="str">
            <v>81.192.11.154</v>
          </cell>
          <cell r="D118" t="str">
            <v>10.8.0.51
10.9.0.61</v>
          </cell>
          <cell r="E118" t="str">
            <v xml:space="preserve">	PCDG-WFOND	</v>
          </cell>
          <cell r="F118" t="str">
            <v>UNIX</v>
          </cell>
          <cell r="G118" t="str">
            <v>Unix</v>
          </cell>
          <cell r="H118" t="str">
            <v>Not Fixed</v>
          </cell>
        </row>
        <row r="119">
          <cell r="A119" t="str">
            <v>81.192.11.154/443/tls-server-cert-sig-alg-sha1</v>
          </cell>
          <cell r="B119" t="str">
            <v>Ext-04/20</v>
          </cell>
          <cell r="C119" t="str">
            <v>81.192.11.154</v>
          </cell>
          <cell r="D119" t="str">
            <v>10.8.0.51
10.9.0.61</v>
          </cell>
          <cell r="E119" t="str">
            <v xml:space="preserve">	PCDG-WFOND	</v>
          </cell>
          <cell r="F119" t="str">
            <v>UNIX</v>
          </cell>
          <cell r="G119" t="str">
            <v>Unix</v>
          </cell>
          <cell r="H119" t="str">
            <v>Not Fixed</v>
          </cell>
        </row>
        <row r="120">
          <cell r="A120" t="str">
            <v>81.192.11.154/443/tls-server-cert-to-expire</v>
          </cell>
          <cell r="B120" t="str">
            <v>Ext-05/20</v>
          </cell>
          <cell r="C120" t="str">
            <v>81.192.11.154</v>
          </cell>
          <cell r="D120" t="str">
            <v>10.8.0.51
10.9.0.61</v>
          </cell>
          <cell r="E120" t="str">
            <v xml:space="preserve">	PCDG-WFOND	</v>
          </cell>
          <cell r="F120" t="str">
            <v>UNIX</v>
          </cell>
          <cell r="G120" t="str">
            <v>Unix</v>
          </cell>
          <cell r="H120" t="str">
            <v>Fixed</v>
          </cell>
        </row>
        <row r="121">
          <cell r="A121" t="str">
            <v>81.192.11.154/443/tls-untrusted-ca</v>
          </cell>
          <cell r="B121" t="str">
            <v>Ext-04/20</v>
          </cell>
          <cell r="C121" t="str">
            <v>81.192.11.154</v>
          </cell>
          <cell r="D121" t="str">
            <v>10.8.0.51
10.9.0.61</v>
          </cell>
          <cell r="E121" t="str">
            <v xml:space="preserve">	PCDG-WFOND	</v>
          </cell>
          <cell r="F121" t="str">
            <v>UNIX</v>
          </cell>
          <cell r="G121" t="str">
            <v>Unix</v>
          </cell>
          <cell r="H121" t="str">
            <v>Not Fixed</v>
          </cell>
        </row>
        <row r="122">
          <cell r="A122" t="str">
            <v>81.192.11.154/80/http-generic-click-jacking</v>
          </cell>
          <cell r="B122" t="str">
            <v>Ext-08/20</v>
          </cell>
          <cell r="C122" t="str">
            <v>81.192.11.154</v>
          </cell>
          <cell r="D122" t="str">
            <v>10.8.0.51
10.9.0.61</v>
          </cell>
          <cell r="E122" t="str">
            <v xml:space="preserve">	PCDG-WFOND	</v>
          </cell>
          <cell r="F122" t="str">
            <v>UNIX</v>
          </cell>
          <cell r="G122" t="str">
            <v>Unix</v>
          </cell>
          <cell r="H122" t="str">
            <v>Not Fixed</v>
          </cell>
        </row>
        <row r="123">
          <cell r="A123" t="str">
            <v>81.192.11.155/0/generic-tcp-timestamp</v>
          </cell>
          <cell r="B123" t="str">
            <v>Ext-10/20</v>
          </cell>
          <cell r="C123" t="str">
            <v>81.192.11.155</v>
          </cell>
          <cell r="D123" t="str">
            <v>10.8.0.53 
10.9.0.67</v>
          </cell>
          <cell r="E123" t="str">
            <v>PCDG-WebInst</v>
          </cell>
          <cell r="F123" t="str">
            <v>UNIX</v>
          </cell>
          <cell r="G123" t="str">
            <v>Unix</v>
          </cell>
          <cell r="H123" t="str">
            <v>Fixed</v>
          </cell>
        </row>
        <row r="124">
          <cell r="A124" t="str">
            <v>81.192.11.155/443/http-generic-browsable-dir</v>
          </cell>
          <cell r="B124" t="str">
            <v>Ext-04/20</v>
          </cell>
          <cell r="C124" t="str">
            <v>81.192.11.155</v>
          </cell>
          <cell r="D124" t="str">
            <v>10.8.0.53 
10.9.0.67</v>
          </cell>
          <cell r="E124" t="str">
            <v>PCDG-WebInst</v>
          </cell>
          <cell r="F124" t="str">
            <v>UNIX</v>
          </cell>
          <cell r="G124" t="str">
            <v>Unix</v>
          </cell>
          <cell r="H124" t="str">
            <v>Fixed</v>
          </cell>
        </row>
        <row r="125">
          <cell r="A125" t="str">
            <v>81.192.11.155/443/jquery-cve-2012-6708</v>
          </cell>
          <cell r="B125" t="str">
            <v>Ext-04/20</v>
          </cell>
          <cell r="C125" t="str">
            <v>81.192.11.155</v>
          </cell>
          <cell r="D125" t="str">
            <v>10.8.0.53 
10.9.0.67</v>
          </cell>
          <cell r="E125" t="str">
            <v>PCDG-WebInst</v>
          </cell>
          <cell r="F125" t="str">
            <v>UNIX</v>
          </cell>
          <cell r="G125" t="str">
            <v>Unix</v>
          </cell>
          <cell r="H125" t="str">
            <v>Fixed</v>
          </cell>
        </row>
        <row r="126">
          <cell r="A126" t="str">
            <v>81.192.11.155/443/jquery-cve-2014-6071</v>
          </cell>
          <cell r="B126" t="str">
            <v>Ext-04/20</v>
          </cell>
          <cell r="C126" t="str">
            <v>81.192.11.155</v>
          </cell>
          <cell r="D126" t="str">
            <v>10.8.0.53 
10.9.0.67</v>
          </cell>
          <cell r="E126" t="str">
            <v>PCDG-WebInst</v>
          </cell>
          <cell r="F126" t="str">
            <v>UNIX</v>
          </cell>
          <cell r="G126" t="str">
            <v>Unix</v>
          </cell>
          <cell r="H126" t="str">
            <v>Fixed</v>
          </cell>
        </row>
        <row r="127">
          <cell r="A127" t="str">
            <v>81.192.11.155/443/jquery-cve-2020-7656</v>
          </cell>
          <cell r="B127" t="str">
            <v>Ext-06/20</v>
          </cell>
          <cell r="C127" t="str">
            <v>81.192.11.155</v>
          </cell>
          <cell r="D127" t="str">
            <v>10.8.0.53 
10.9.0.67</v>
          </cell>
          <cell r="E127" t="str">
            <v>PCDG-WebInst</v>
          </cell>
          <cell r="F127" t="str">
            <v>UNIX</v>
          </cell>
          <cell r="G127" t="str">
            <v>Unix</v>
          </cell>
          <cell r="H127" t="str">
            <v>Fixed</v>
          </cell>
        </row>
        <row r="128">
          <cell r="A128" t="str">
            <v>81.192.11.155/443/ssl-self-signed-certificate</v>
          </cell>
          <cell r="B128" t="str">
            <v>Ext-04/20</v>
          </cell>
          <cell r="C128" t="str">
            <v>81.192.11.155</v>
          </cell>
          <cell r="D128" t="str">
            <v>10.8.0.53 
10.9.0.67</v>
          </cell>
          <cell r="E128" t="str">
            <v>PCDG-WebInst</v>
          </cell>
          <cell r="F128" t="str">
            <v>UNIX</v>
          </cell>
          <cell r="G128" t="str">
            <v>Unix</v>
          </cell>
          <cell r="H128" t="str">
            <v>Fixed</v>
          </cell>
        </row>
        <row r="129">
          <cell r="A129" t="str">
            <v>81.192.11.155/443/ssl-static-key-ciphers</v>
          </cell>
          <cell r="B129" t="str">
            <v>Ext-04/20</v>
          </cell>
          <cell r="C129" t="str">
            <v>81.192.11.155</v>
          </cell>
          <cell r="D129" t="str">
            <v>10.8.0.53 
10.9.0.67</v>
          </cell>
          <cell r="E129" t="str">
            <v>PCDG-WebInst</v>
          </cell>
          <cell r="F129" t="str">
            <v>UNIX</v>
          </cell>
          <cell r="G129" t="str">
            <v>Unix</v>
          </cell>
          <cell r="H129" t="str">
            <v>Fixed</v>
          </cell>
        </row>
        <row r="130">
          <cell r="A130" t="str">
            <v>81.192.11.155/443/tls-untrusted-ca</v>
          </cell>
          <cell r="B130" t="str">
            <v>Ext-04/20</v>
          </cell>
          <cell r="C130" t="str">
            <v>81.192.11.155</v>
          </cell>
          <cell r="D130" t="str">
            <v>10.8.0.53 
10.9.0.67</v>
          </cell>
          <cell r="E130" t="str">
            <v>PCDG-WebInst</v>
          </cell>
          <cell r="F130" t="str">
            <v>UNIX</v>
          </cell>
          <cell r="G130" t="str">
            <v>Unix</v>
          </cell>
          <cell r="H130" t="str">
            <v>Fixed</v>
          </cell>
        </row>
        <row r="131">
          <cell r="A131" t="str">
            <v>81.192.11.155/80/http-generic-click-jacking</v>
          </cell>
          <cell r="B131" t="str">
            <v>Ext-04/20</v>
          </cell>
          <cell r="C131" t="str">
            <v>81.192.11.155</v>
          </cell>
          <cell r="D131" t="str">
            <v>10.8.0.53 
10.9.0.67</v>
          </cell>
          <cell r="E131" t="str">
            <v>PCDG-WebInst</v>
          </cell>
          <cell r="F131" t="str">
            <v>UNIX</v>
          </cell>
          <cell r="G131" t="str">
            <v>Unix</v>
          </cell>
          <cell r="H131" t="str">
            <v>Fixed</v>
          </cell>
        </row>
        <row r="132">
          <cell r="A132" t="str">
            <v>81.192.11.157/0/generic-tcp-timestamp</v>
          </cell>
          <cell r="B132" t="str">
            <v>Ext-04/20</v>
          </cell>
          <cell r="C132" t="str">
            <v>81.192.11.157</v>
          </cell>
          <cell r="D132" t="str">
            <v>10.9.0.3</v>
          </cell>
          <cell r="E132" t="str">
            <v>SI Gouvernance - E-Hakama</v>
          </cell>
          <cell r="F132" t="str">
            <v>UNIX / 10.250.251.4</v>
          </cell>
          <cell r="G132" t="str">
            <v>Unix</v>
          </cell>
          <cell r="H132" t="str">
            <v>Fixed</v>
          </cell>
        </row>
        <row r="133">
          <cell r="A133" t="str">
            <v>81.192.11.157/443/http-generic-click-jacking</v>
          </cell>
          <cell r="B133" t="str">
            <v>Ext-09/20</v>
          </cell>
          <cell r="C133" t="str">
            <v>81.192.11.157</v>
          </cell>
          <cell r="D133" t="str">
            <v>10.9.0.3</v>
          </cell>
          <cell r="E133" t="str">
            <v>SI Gouvernance - E-Hakama</v>
          </cell>
          <cell r="F133" t="str">
            <v>UNIX / 10.250.251.4</v>
          </cell>
          <cell r="G133" t="str">
            <v>Unix</v>
          </cell>
          <cell r="H133" t="str">
            <v>Fixed</v>
          </cell>
        </row>
        <row r="134">
          <cell r="A134" t="str">
            <v>81.192.11.157/443/ssl-3des-ciphers</v>
          </cell>
          <cell r="B134" t="str">
            <v>Ext-05/20</v>
          </cell>
          <cell r="C134" t="str">
            <v>81.192.11.157</v>
          </cell>
          <cell r="D134" t="str">
            <v>10.9.0.3</v>
          </cell>
          <cell r="E134" t="str">
            <v>SI Gouvernance - E-Hakama</v>
          </cell>
          <cell r="F134" t="str">
            <v>UNIX / 10.250.251.4</v>
          </cell>
          <cell r="G134" t="str">
            <v>Unix</v>
          </cell>
          <cell r="H134" t="str">
            <v>In Progress</v>
          </cell>
        </row>
        <row r="135">
          <cell r="A135" t="str">
            <v>81.192.11.157/443/ssl-cve-2016-2183-sweet32</v>
          </cell>
          <cell r="B135" t="str">
            <v>Ext-05/20</v>
          </cell>
          <cell r="C135" t="str">
            <v>81.192.11.157</v>
          </cell>
          <cell r="D135" t="str">
            <v>10.9.0.3</v>
          </cell>
          <cell r="E135" t="str">
            <v>SI Gouvernance - E-Hakama</v>
          </cell>
          <cell r="F135" t="str">
            <v>UNIX / 10.250.251.4</v>
          </cell>
          <cell r="G135" t="str">
            <v>Unix</v>
          </cell>
          <cell r="H135" t="str">
            <v>Not Fixed</v>
          </cell>
        </row>
        <row r="136">
          <cell r="A136" t="str">
            <v>81.192.11.157/443/ssl-static-key-ciphers</v>
          </cell>
          <cell r="B136" t="str">
            <v>Ext-05/20</v>
          </cell>
          <cell r="C136" t="str">
            <v>81.192.11.157</v>
          </cell>
          <cell r="D136" t="str">
            <v>10.9.0.3</v>
          </cell>
          <cell r="E136" t="str">
            <v>SI Gouvernance - E-Hakama</v>
          </cell>
          <cell r="F136" t="str">
            <v>UNIX / 10.250.251.4</v>
          </cell>
          <cell r="G136" t="str">
            <v>Unix</v>
          </cell>
          <cell r="H136" t="str">
            <v>In Progress</v>
          </cell>
        </row>
        <row r="137">
          <cell r="A137" t="str">
            <v>81.192.11.157/443/tls-untrusted-ca</v>
          </cell>
          <cell r="B137" t="str">
            <v>Ext-06/20</v>
          </cell>
          <cell r="C137" t="str">
            <v>81.192.11.157</v>
          </cell>
          <cell r="D137" t="str">
            <v>10.9.0.3</v>
          </cell>
          <cell r="E137" t="str">
            <v>SI Gouvernance - E-Hakama</v>
          </cell>
          <cell r="F137" t="str">
            <v>UNIX / 10.250.251.4</v>
          </cell>
          <cell r="G137" t="str">
            <v>Unix</v>
          </cell>
          <cell r="H137" t="str">
            <v>In Progress</v>
          </cell>
        </row>
        <row r="138">
          <cell r="A138" t="str">
            <v>81.192.11.158/0/generic-tcp-timestamp</v>
          </cell>
          <cell r="B138" t="str">
            <v>Ext-10/20</v>
          </cell>
          <cell r="C138" t="str">
            <v>81.192.11.158</v>
          </cell>
          <cell r="D138" t="str">
            <v>10.8.0.51
10.9.0.61</v>
          </cell>
          <cell r="E138" t="str">
            <v xml:space="preserve">	PCDG-WFOND	</v>
          </cell>
          <cell r="F138" t="str">
            <v>UNIX</v>
          </cell>
          <cell r="G138" t="str">
            <v>Unix</v>
          </cell>
          <cell r="H138" t="str">
            <v>Not Fixed</v>
          </cell>
        </row>
        <row r="139">
          <cell r="A139" t="str">
            <v>81.192.11.160/0/generic-tcp-timestamp</v>
          </cell>
          <cell r="B139" t="str">
            <v>Ext-04/20</v>
          </cell>
          <cell r="C139" t="str">
            <v>81.192.11.160</v>
          </cell>
          <cell r="D139" t="str">
            <v>10.9.0.32</v>
          </cell>
          <cell r="E139" t="str">
            <v>Olyweb</v>
          </cell>
          <cell r="F139" t="str">
            <v>UNIX / 10.250.251.50</v>
          </cell>
          <cell r="G139" t="str">
            <v>Unix</v>
          </cell>
          <cell r="H139" t="str">
            <v>Fixed</v>
          </cell>
        </row>
        <row r="140">
          <cell r="A140" t="str">
            <v>81.192.11.160/443/rc4-cve-2013-2566</v>
          </cell>
          <cell r="B140" t="str">
            <v>Ext-04/20</v>
          </cell>
          <cell r="C140" t="str">
            <v>81.192.11.160</v>
          </cell>
          <cell r="D140" t="str">
            <v>10.9.0.32</v>
          </cell>
          <cell r="E140" t="str">
            <v>Olyweb</v>
          </cell>
          <cell r="F140" t="str">
            <v>UNIX / 10.250.251.50</v>
          </cell>
          <cell r="G140" t="str">
            <v>Unix</v>
          </cell>
          <cell r="H140" t="str">
            <v>Fixed</v>
          </cell>
        </row>
        <row r="141">
          <cell r="A141" t="str">
            <v>81.192.11.160/443/ssl-cve-2011-3389-beast</v>
          </cell>
          <cell r="B141" t="str">
            <v>Ext-04/20</v>
          </cell>
          <cell r="C141" t="str">
            <v>81.192.11.160</v>
          </cell>
          <cell r="D141" t="str">
            <v>10.9.0.32</v>
          </cell>
          <cell r="E141" t="str">
            <v>Olyweb</v>
          </cell>
          <cell r="F141" t="str">
            <v>UNIX / 10.250.251.50</v>
          </cell>
          <cell r="G141" t="str">
            <v>Unix</v>
          </cell>
          <cell r="H141" t="str">
            <v>Fixed</v>
          </cell>
        </row>
        <row r="142">
          <cell r="A142" t="str">
            <v>81.192.11.160/443/ssl-only-weak-ciphers</v>
          </cell>
          <cell r="B142" t="str">
            <v>Ext-04/20</v>
          </cell>
          <cell r="C142" t="str">
            <v>81.192.11.160</v>
          </cell>
          <cell r="D142" t="str">
            <v>10.9.0.32</v>
          </cell>
          <cell r="E142" t="str">
            <v>Olyweb</v>
          </cell>
          <cell r="F142" t="str">
            <v>UNIX / 10.250.251.50</v>
          </cell>
          <cell r="G142" t="str">
            <v>Unix</v>
          </cell>
          <cell r="H142" t="str">
            <v>Fixed</v>
          </cell>
        </row>
        <row r="143">
          <cell r="A143" t="str">
            <v>81.192.11.160/443/ssl-static-key-ciphers</v>
          </cell>
          <cell r="B143" t="str">
            <v>Ext-04/20</v>
          </cell>
          <cell r="C143" t="str">
            <v>81.192.11.160</v>
          </cell>
          <cell r="D143" t="str">
            <v>10.9.0.32</v>
          </cell>
          <cell r="E143" t="str">
            <v>Olyweb</v>
          </cell>
          <cell r="F143" t="str">
            <v>UNIX / 10.250.251.50</v>
          </cell>
          <cell r="G143" t="str">
            <v>Unix</v>
          </cell>
          <cell r="H143" t="str">
            <v>Fixed</v>
          </cell>
        </row>
        <row r="144">
          <cell r="A144" t="str">
            <v>81.192.11.160/443/sslv3-cve-2014-3566-poodle</v>
          </cell>
          <cell r="B144" t="str">
            <v>Ext-04/20</v>
          </cell>
          <cell r="C144" t="str">
            <v>81.192.11.160</v>
          </cell>
          <cell r="D144" t="str">
            <v>10.9.0.32</v>
          </cell>
          <cell r="E144" t="str">
            <v>Olyweb</v>
          </cell>
          <cell r="F144" t="str">
            <v>UNIX / 10.250.251.50</v>
          </cell>
          <cell r="G144" t="str">
            <v>Unix</v>
          </cell>
          <cell r="H144" t="str">
            <v>Fixed</v>
          </cell>
        </row>
        <row r="145">
          <cell r="A145" t="str">
            <v>81.192.11.160/443/sslv3-supported</v>
          </cell>
          <cell r="B145" t="str">
            <v>Ext-04/20</v>
          </cell>
          <cell r="C145" t="str">
            <v>81.192.11.160</v>
          </cell>
          <cell r="D145" t="str">
            <v>10.9.0.32</v>
          </cell>
          <cell r="E145" t="str">
            <v>Olyweb</v>
          </cell>
          <cell r="F145" t="str">
            <v>UNIX / 10.250.251.50</v>
          </cell>
          <cell r="G145" t="str">
            <v>Unix</v>
          </cell>
          <cell r="H145" t="str">
            <v>Fixed</v>
          </cell>
        </row>
        <row r="146">
          <cell r="A146" t="str">
            <v>81.192.11.160/443/tlsv1_0-enabled</v>
          </cell>
          <cell r="B146" t="str">
            <v>Ext-04/20</v>
          </cell>
          <cell r="C146" t="str">
            <v>81.192.11.160</v>
          </cell>
          <cell r="D146" t="str">
            <v>10.9.0.32</v>
          </cell>
          <cell r="E146" t="str">
            <v>Olyweb</v>
          </cell>
          <cell r="F146" t="str">
            <v>UNIX / 10.250.251.50</v>
          </cell>
          <cell r="G146" t="str">
            <v>Unix</v>
          </cell>
          <cell r="H146" t="str">
            <v>Fixed</v>
          </cell>
        </row>
        <row r="147">
          <cell r="A147" t="str">
            <v>81.192.11.160/443/tlsv1_1-enabled</v>
          </cell>
          <cell r="B147" t="str">
            <v>Ext-04/20</v>
          </cell>
          <cell r="C147" t="str">
            <v>81.192.11.160</v>
          </cell>
          <cell r="D147" t="str">
            <v>10.9.0.32</v>
          </cell>
          <cell r="E147" t="str">
            <v>Olyweb</v>
          </cell>
          <cell r="F147" t="str">
            <v>UNIX / 10.250.251.50</v>
          </cell>
          <cell r="G147" t="str">
            <v>Unix</v>
          </cell>
          <cell r="H147" t="str">
            <v>Fixed</v>
          </cell>
        </row>
        <row r="148">
          <cell r="A148" t="str">
            <v>81.192.11.161/0/generic-tcp-timestamp</v>
          </cell>
          <cell r="B148" t="str">
            <v>Ext-10/20</v>
          </cell>
          <cell r="C148" t="str">
            <v>81.192.11.161</v>
          </cell>
          <cell r="D148" t="str">
            <v>10.8.0.46</v>
          </cell>
          <cell r="E148" t="str">
            <v>PCDG-WebWif</v>
          </cell>
          <cell r="F148" t="str">
            <v>UNIX</v>
          </cell>
          <cell r="G148" t="str">
            <v>Unix</v>
          </cell>
          <cell r="H148" t="str">
            <v>Not Fixed</v>
          </cell>
        </row>
        <row r="149">
          <cell r="A149" t="str">
            <v>81.192.11.161/22/ssh-3des-ciphers</v>
          </cell>
          <cell r="B149" t="str">
            <v>Ext-04/20</v>
          </cell>
          <cell r="C149" t="str">
            <v>81.192.11.161</v>
          </cell>
          <cell r="D149" t="str">
            <v>10.8.0.46</v>
          </cell>
          <cell r="E149" t="str">
            <v>PCDG-WebWif</v>
          </cell>
          <cell r="F149" t="str">
            <v>UNIX</v>
          </cell>
          <cell r="G149" t="str">
            <v>Unix</v>
          </cell>
          <cell r="H149" t="str">
            <v>Not Fixed</v>
          </cell>
        </row>
        <row r="150">
          <cell r="A150" t="str">
            <v>81.192.11.161/22/ssh-cbc-ciphers</v>
          </cell>
          <cell r="B150" t="str">
            <v>Ext-04/20</v>
          </cell>
          <cell r="C150" t="str">
            <v>81.192.11.161</v>
          </cell>
          <cell r="D150" t="str">
            <v>10.8.0.46</v>
          </cell>
          <cell r="E150" t="str">
            <v>PCDG-WebWif</v>
          </cell>
          <cell r="F150" t="str">
            <v>UNIX</v>
          </cell>
          <cell r="G150" t="str">
            <v>Unix</v>
          </cell>
          <cell r="H150" t="str">
            <v>Not Fixed</v>
          </cell>
        </row>
        <row r="151">
          <cell r="A151" t="str">
            <v>81.192.11.161/22/ssh-cve-2015-4000</v>
          </cell>
          <cell r="B151" t="str">
            <v>Ext-04/20</v>
          </cell>
          <cell r="C151" t="str">
            <v>81.192.11.161</v>
          </cell>
          <cell r="D151" t="str">
            <v>10.8.0.46</v>
          </cell>
          <cell r="E151" t="str">
            <v>PCDG-WebWif</v>
          </cell>
          <cell r="F151" t="str">
            <v>UNIX</v>
          </cell>
          <cell r="G151" t="str">
            <v>Unix</v>
          </cell>
          <cell r="H151" t="str">
            <v>Not Fixed</v>
          </cell>
        </row>
        <row r="152">
          <cell r="A152" t="str">
            <v>81.192.11.161/22/ssh-cve-2016-2183-sweet32</v>
          </cell>
          <cell r="B152" t="str">
            <v>Ext-04/20</v>
          </cell>
          <cell r="C152" t="str">
            <v>81.192.11.161</v>
          </cell>
          <cell r="D152" t="str">
            <v>10.8.0.46</v>
          </cell>
          <cell r="E152" t="str">
            <v>PCDG-WebWif</v>
          </cell>
          <cell r="F152" t="str">
            <v>UNIX</v>
          </cell>
          <cell r="G152" t="str">
            <v>Unix</v>
          </cell>
          <cell r="H152" t="str">
            <v>Not Fixed</v>
          </cell>
        </row>
        <row r="153">
          <cell r="A153" t="str">
            <v>81.192.11.161/22/ssh-rc4-ciphers</v>
          </cell>
          <cell r="B153" t="str">
            <v>Ext-04/20</v>
          </cell>
          <cell r="C153" t="str">
            <v>81.192.11.161</v>
          </cell>
          <cell r="D153" t="str">
            <v>10.8.0.46</v>
          </cell>
          <cell r="E153" t="str">
            <v>PCDG-WebWif</v>
          </cell>
          <cell r="F153" t="str">
            <v>UNIX</v>
          </cell>
          <cell r="G153" t="str">
            <v>Unix</v>
          </cell>
          <cell r="H153" t="str">
            <v>Not Fixed</v>
          </cell>
        </row>
        <row r="154">
          <cell r="A154" t="str">
            <v>81.192.11.161/22/ssh-weak-kex-algorithms</v>
          </cell>
          <cell r="B154" t="str">
            <v>Ext-04/20</v>
          </cell>
          <cell r="C154" t="str">
            <v>81.192.11.161</v>
          </cell>
          <cell r="D154" t="str">
            <v>10.8.0.46</v>
          </cell>
          <cell r="E154" t="str">
            <v>PCDG-WebWif</v>
          </cell>
          <cell r="F154" t="str">
            <v>UNIX</v>
          </cell>
          <cell r="G154" t="str">
            <v>Unix</v>
          </cell>
          <cell r="H154" t="str">
            <v>Not Fixed</v>
          </cell>
        </row>
        <row r="155">
          <cell r="A155" t="str">
            <v>81.192.11.161/22/ssh-weak-message-authentication-code-algorithms</v>
          </cell>
          <cell r="B155" t="str">
            <v>Ext-04/20</v>
          </cell>
          <cell r="C155" t="str">
            <v>81.192.11.161</v>
          </cell>
          <cell r="D155" t="str">
            <v>10.8.0.46</v>
          </cell>
          <cell r="E155" t="str">
            <v>PCDG-WebWif</v>
          </cell>
          <cell r="F155" t="str">
            <v>UNIX</v>
          </cell>
          <cell r="G155" t="str">
            <v>Unix</v>
          </cell>
          <cell r="H155" t="str">
            <v>Not Fixed</v>
          </cell>
        </row>
        <row r="156">
          <cell r="A156" t="str">
            <v>81.192.11.161/443/certificate-common-name-mismatch</v>
          </cell>
          <cell r="B156" t="str">
            <v>Ext-04/20</v>
          </cell>
          <cell r="C156" t="str">
            <v>81.192.11.161</v>
          </cell>
          <cell r="D156" t="str">
            <v>10.8.0.46</v>
          </cell>
          <cell r="E156" t="str">
            <v>PCDG-WebWif</v>
          </cell>
          <cell r="F156" t="str">
            <v>UNIX</v>
          </cell>
          <cell r="G156" t="str">
            <v>Unix</v>
          </cell>
          <cell r="H156" t="str">
            <v>Faux Positive</v>
          </cell>
        </row>
        <row r="157">
          <cell r="A157" t="str">
            <v>81.192.11.161/443/http-cookie-http-only-flag</v>
          </cell>
          <cell r="B157" t="str">
            <v>Ext-04/20</v>
          </cell>
          <cell r="C157" t="str">
            <v>81.192.11.161</v>
          </cell>
          <cell r="D157" t="str">
            <v>10.8.0.46</v>
          </cell>
          <cell r="E157" t="str">
            <v>PCDG-WebWif</v>
          </cell>
          <cell r="F157" t="str">
            <v>UNIX</v>
          </cell>
          <cell r="G157" t="str">
            <v>Unix</v>
          </cell>
          <cell r="H157" t="str">
            <v>Fixed</v>
          </cell>
        </row>
        <row r="158">
          <cell r="A158" t="str">
            <v>81.192.11.161/443/http-cookie-secure-flag</v>
          </cell>
          <cell r="B158" t="str">
            <v>Ext-04/20</v>
          </cell>
          <cell r="C158" t="str">
            <v>81.192.11.161</v>
          </cell>
          <cell r="D158" t="str">
            <v>10.8.0.46</v>
          </cell>
          <cell r="E158" t="str">
            <v>PCDG-WebWif</v>
          </cell>
          <cell r="F158" t="str">
            <v>UNIX</v>
          </cell>
          <cell r="G158" t="str">
            <v>Unix</v>
          </cell>
          <cell r="H158" t="str">
            <v>Fixed</v>
          </cell>
        </row>
        <row r="159">
          <cell r="A159" t="str">
            <v>81.192.11.161/443/http-generic-browsable-dir</v>
          </cell>
          <cell r="B159" t="str">
            <v>Ext-04/20</v>
          </cell>
          <cell r="C159" t="str">
            <v>81.192.11.161</v>
          </cell>
          <cell r="D159" t="str">
            <v>10.8.0.46</v>
          </cell>
          <cell r="E159" t="str">
            <v>PCDG-WebWif</v>
          </cell>
          <cell r="F159" t="str">
            <v>UNIX</v>
          </cell>
          <cell r="G159" t="str">
            <v>Unix</v>
          </cell>
          <cell r="H159" t="str">
            <v>Not Fixed</v>
          </cell>
        </row>
        <row r="160">
          <cell r="A160" t="str">
            <v>81.192.11.161/443/rc4-cve-2013-2566</v>
          </cell>
          <cell r="B160" t="str">
            <v>Ext-04/20</v>
          </cell>
          <cell r="C160" t="str">
            <v>81.192.11.161</v>
          </cell>
          <cell r="D160" t="str">
            <v>10.8.0.46</v>
          </cell>
          <cell r="E160" t="str">
            <v>PCDG-WebWif</v>
          </cell>
          <cell r="F160" t="str">
            <v>UNIX</v>
          </cell>
          <cell r="G160" t="str">
            <v>Unix</v>
          </cell>
          <cell r="H160" t="str">
            <v>Not Fixed</v>
          </cell>
        </row>
        <row r="161">
          <cell r="A161" t="str">
            <v>81.192.11.161/443/ssl-3des-ciphers</v>
          </cell>
          <cell r="B161" t="str">
            <v>Ext-04/20</v>
          </cell>
          <cell r="C161" t="str">
            <v>81.192.11.161</v>
          </cell>
          <cell r="D161" t="str">
            <v>10.8.0.46</v>
          </cell>
          <cell r="E161" t="str">
            <v>PCDG-WebWif</v>
          </cell>
          <cell r="F161" t="str">
            <v>UNIX</v>
          </cell>
          <cell r="G161" t="str">
            <v>Unix</v>
          </cell>
          <cell r="H161" t="str">
            <v>Not Fixed</v>
          </cell>
        </row>
        <row r="162">
          <cell r="A162" t="str">
            <v>81.192.11.161/443/ssl-cve-2016-2183-sweet32</v>
          </cell>
          <cell r="B162" t="str">
            <v>Ext-04/20</v>
          </cell>
          <cell r="C162" t="str">
            <v>81.192.11.161</v>
          </cell>
          <cell r="D162" t="str">
            <v>10.8.0.46</v>
          </cell>
          <cell r="E162" t="str">
            <v>PCDG-WebWif</v>
          </cell>
          <cell r="F162" t="str">
            <v>UNIX</v>
          </cell>
          <cell r="G162" t="str">
            <v>Unix</v>
          </cell>
          <cell r="H162" t="str">
            <v>Not Fixed</v>
          </cell>
        </row>
        <row r="163">
          <cell r="A163" t="str">
            <v>81.192.11.161/443/ssl-des-ciphers</v>
          </cell>
          <cell r="B163" t="str">
            <v>Ext-04/20</v>
          </cell>
          <cell r="C163" t="str">
            <v>81.192.11.161</v>
          </cell>
          <cell r="D163" t="str">
            <v>10.8.0.46</v>
          </cell>
          <cell r="E163" t="str">
            <v>PCDG-WebWif</v>
          </cell>
          <cell r="F163" t="str">
            <v>UNIX</v>
          </cell>
          <cell r="G163" t="str">
            <v>Unix</v>
          </cell>
          <cell r="H163" t="str">
            <v>Not Fixed</v>
          </cell>
        </row>
        <row r="164">
          <cell r="A164" t="str">
            <v>81.192.11.161/443/ssl-self-signed-certificate</v>
          </cell>
          <cell r="B164" t="str">
            <v>Ext-04/20</v>
          </cell>
          <cell r="C164" t="str">
            <v>81.192.11.161</v>
          </cell>
          <cell r="D164" t="str">
            <v>10.8.0.46</v>
          </cell>
          <cell r="E164" t="str">
            <v>PCDG-WebWif</v>
          </cell>
          <cell r="F164" t="str">
            <v>UNIX</v>
          </cell>
          <cell r="G164" t="str">
            <v>Unix</v>
          </cell>
          <cell r="H164" t="str">
            <v>Not Fixed</v>
          </cell>
        </row>
        <row r="165">
          <cell r="A165" t="str">
            <v>81.192.11.161/443/ssl-static-key-ciphers</v>
          </cell>
          <cell r="B165" t="str">
            <v>Ext-04/20</v>
          </cell>
          <cell r="C165" t="str">
            <v>81.192.11.161</v>
          </cell>
          <cell r="D165" t="str">
            <v>10.8.0.46</v>
          </cell>
          <cell r="E165" t="str">
            <v>PCDG-WebWif</v>
          </cell>
          <cell r="F165" t="str">
            <v>UNIX</v>
          </cell>
          <cell r="G165" t="str">
            <v>Unix</v>
          </cell>
          <cell r="H165" t="str">
            <v>Not Fixed</v>
          </cell>
        </row>
        <row r="166">
          <cell r="A166" t="str">
            <v>81.192.11.161/443/tls-server-cert-expired</v>
          </cell>
          <cell r="B166" t="str">
            <v>Ext-04/20</v>
          </cell>
          <cell r="C166" t="str">
            <v>81.192.11.161</v>
          </cell>
          <cell r="D166" t="str">
            <v>10.8.0.46</v>
          </cell>
          <cell r="E166" t="str">
            <v>PCDG-WebWif</v>
          </cell>
          <cell r="F166" t="str">
            <v>UNIX</v>
          </cell>
          <cell r="G166" t="str">
            <v>Unix</v>
          </cell>
          <cell r="H166" t="str">
            <v>Not Fixed</v>
          </cell>
        </row>
        <row r="167">
          <cell r="A167" t="str">
            <v>81.192.11.161/443/tls-untrusted-ca</v>
          </cell>
          <cell r="B167" t="str">
            <v>Ext-04/20</v>
          </cell>
          <cell r="C167" t="str">
            <v>81.192.11.161</v>
          </cell>
          <cell r="D167" t="str">
            <v>10.8.0.46</v>
          </cell>
          <cell r="E167" t="str">
            <v>PCDG-WebWif</v>
          </cell>
          <cell r="F167" t="str">
            <v>UNIX</v>
          </cell>
          <cell r="G167" t="str">
            <v>Unix</v>
          </cell>
          <cell r="H167" t="str">
            <v>Not Fixed</v>
          </cell>
        </row>
        <row r="168">
          <cell r="A168" t="str">
            <v>81.192.11.161/80/http-cookie-http-only-flag</v>
          </cell>
          <cell r="B168" t="str">
            <v>Ext-04/20</v>
          </cell>
          <cell r="C168" t="str">
            <v>81.192.11.161</v>
          </cell>
          <cell r="D168" t="str">
            <v>10.8.0.46</v>
          </cell>
          <cell r="E168" t="str">
            <v>PCDG-WebWif</v>
          </cell>
          <cell r="F168" t="str">
            <v>UNIX</v>
          </cell>
          <cell r="G168" t="str">
            <v>Unix</v>
          </cell>
          <cell r="H168" t="str">
            <v>Fixed</v>
          </cell>
        </row>
        <row r="169">
          <cell r="A169" t="str">
            <v>81.192.11.161/80/http-generic-browsable-dir</v>
          </cell>
          <cell r="B169" t="str">
            <v>Ext-04/20</v>
          </cell>
          <cell r="C169" t="str">
            <v>81.192.11.161</v>
          </cell>
          <cell r="D169" t="str">
            <v>10.8.0.46</v>
          </cell>
          <cell r="E169" t="str">
            <v>PCDG-WebWif</v>
          </cell>
          <cell r="F169" t="str">
            <v>UNIX</v>
          </cell>
          <cell r="G169" t="str">
            <v>Unix</v>
          </cell>
          <cell r="H169" t="str">
            <v>Not Fixed</v>
          </cell>
        </row>
        <row r="170">
          <cell r="A170" t="str">
            <v>81.192.11.162/0/generic-tcp-timestamp</v>
          </cell>
          <cell r="B170" t="str">
            <v>Ext-11/20</v>
          </cell>
          <cell r="C170" t="str">
            <v>81.192.11.162</v>
          </cell>
          <cell r="D170" t="str">
            <v>10.8.0.72</v>
          </cell>
          <cell r="E170" t="str">
            <v>CGI</v>
          </cell>
          <cell r="F170" t="str">
            <v>UNIX</v>
          </cell>
          <cell r="G170" t="str">
            <v>Unix</v>
          </cell>
          <cell r="H170" t="str">
            <v>New</v>
          </cell>
        </row>
        <row r="171">
          <cell r="A171" t="str">
            <v>81.192.11.162/22/ssh-3des-ciphers</v>
          </cell>
          <cell r="B171" t="str">
            <v>Ext-04/20</v>
          </cell>
          <cell r="C171" t="str">
            <v>81.192.11.162</v>
          </cell>
          <cell r="D171" t="str">
            <v>10.8.0.72</v>
          </cell>
          <cell r="E171" t="str">
            <v>CGI</v>
          </cell>
          <cell r="F171" t="str">
            <v>UNIX</v>
          </cell>
          <cell r="G171" t="str">
            <v>Unix</v>
          </cell>
          <cell r="H171" t="str">
            <v>Not Fixed</v>
          </cell>
        </row>
        <row r="172">
          <cell r="A172" t="str">
            <v>81.192.11.162/22/ssh-cbc-ciphers</v>
          </cell>
          <cell r="B172" t="str">
            <v>Ext-04/20</v>
          </cell>
          <cell r="C172" t="str">
            <v>81.192.11.162</v>
          </cell>
          <cell r="D172" t="str">
            <v>10.8.0.72</v>
          </cell>
          <cell r="E172" t="str">
            <v>CGI</v>
          </cell>
          <cell r="F172" t="str">
            <v>UNIX</v>
          </cell>
          <cell r="G172" t="str">
            <v>Unix</v>
          </cell>
          <cell r="H172" t="str">
            <v>Not Fixed</v>
          </cell>
        </row>
        <row r="173">
          <cell r="A173" t="str">
            <v>81.192.11.162/22/ssh-cve-2015-4000</v>
          </cell>
          <cell r="B173" t="str">
            <v>Ext-04/20</v>
          </cell>
          <cell r="C173" t="str">
            <v>81.192.11.162</v>
          </cell>
          <cell r="D173" t="str">
            <v>10.8.0.72</v>
          </cell>
          <cell r="E173" t="str">
            <v>CGI</v>
          </cell>
          <cell r="F173" t="str">
            <v>UNIX</v>
          </cell>
          <cell r="G173" t="str">
            <v>Unix</v>
          </cell>
          <cell r="H173" t="str">
            <v>Not Fixed</v>
          </cell>
        </row>
        <row r="174">
          <cell r="A174" t="str">
            <v>81.192.11.162/22/ssh-cve-2016-2183-sweet32</v>
          </cell>
          <cell r="B174" t="str">
            <v>Ext-04/20</v>
          </cell>
          <cell r="C174" t="str">
            <v>81.192.11.162</v>
          </cell>
          <cell r="D174" t="str">
            <v>10.8.0.72</v>
          </cell>
          <cell r="E174" t="str">
            <v>CGI</v>
          </cell>
          <cell r="F174" t="str">
            <v>UNIX</v>
          </cell>
          <cell r="G174" t="str">
            <v>Unix</v>
          </cell>
          <cell r="H174" t="str">
            <v>Not Fixed</v>
          </cell>
        </row>
        <row r="175">
          <cell r="A175" t="str">
            <v>81.192.11.162/22/ssh-weak-kex-algorithms</v>
          </cell>
          <cell r="B175" t="str">
            <v>Ext-04/20</v>
          </cell>
          <cell r="C175" t="str">
            <v>81.192.11.162</v>
          </cell>
          <cell r="D175" t="str">
            <v>10.8.0.72</v>
          </cell>
          <cell r="E175" t="str">
            <v>CGI</v>
          </cell>
          <cell r="F175" t="str">
            <v>UNIX</v>
          </cell>
          <cell r="G175" t="str">
            <v>Unix</v>
          </cell>
          <cell r="H175" t="str">
            <v>Not Fixed</v>
          </cell>
        </row>
        <row r="176">
          <cell r="A176" t="str">
            <v>81.192.11.162/80/http-cookie-http-only-flag</v>
          </cell>
          <cell r="B176" t="str">
            <v>Ext-04/20</v>
          </cell>
          <cell r="C176" t="str">
            <v>81.192.11.162</v>
          </cell>
          <cell r="D176" t="str">
            <v>10.8.0.72</v>
          </cell>
          <cell r="E176" t="str">
            <v>CGI</v>
          </cell>
          <cell r="F176" t="str">
            <v>UNIX</v>
          </cell>
          <cell r="G176" t="str">
            <v>Unix</v>
          </cell>
          <cell r="H176" t="str">
            <v>Not Fixed</v>
          </cell>
        </row>
        <row r="177">
          <cell r="A177" t="str">
            <v>81.192.11.162/80/http-generic-browsable-dir</v>
          </cell>
          <cell r="B177" t="str">
            <v>Ext-04/20</v>
          </cell>
          <cell r="C177" t="str">
            <v>81.192.11.162</v>
          </cell>
          <cell r="D177" t="str">
            <v>10.8.0.72</v>
          </cell>
          <cell r="E177" t="str">
            <v>CGI</v>
          </cell>
          <cell r="F177" t="str">
            <v>UNIX</v>
          </cell>
          <cell r="G177" t="str">
            <v>Unix</v>
          </cell>
          <cell r="H177" t="str">
            <v>Fixed</v>
          </cell>
        </row>
        <row r="178">
          <cell r="A178" t="str">
            <v>81.192.11.162/80/http-generic-click-jacking</v>
          </cell>
          <cell r="B178" t="str">
            <v>Ext-04/20</v>
          </cell>
          <cell r="C178" t="str">
            <v>81.192.11.162</v>
          </cell>
          <cell r="D178" t="str">
            <v>10.8.0.72</v>
          </cell>
          <cell r="E178" t="str">
            <v>CGI</v>
          </cell>
          <cell r="F178" t="str">
            <v>UNIX</v>
          </cell>
          <cell r="G178" t="str">
            <v>Unix</v>
          </cell>
          <cell r="H178" t="str">
            <v>Fixed</v>
          </cell>
        </row>
        <row r="179">
          <cell r="A179" t="str">
            <v>81.192.11.162/80/http-generic-sensitive-form-data-unencrypted</v>
          </cell>
          <cell r="B179" t="str">
            <v>Ext-04/20</v>
          </cell>
          <cell r="C179" t="str">
            <v>81.192.11.162</v>
          </cell>
          <cell r="D179" t="str">
            <v>10.8.0.72</v>
          </cell>
          <cell r="E179" t="str">
            <v>CGI</v>
          </cell>
          <cell r="F179" t="str">
            <v>UNIX</v>
          </cell>
          <cell r="G179" t="str">
            <v>Unix</v>
          </cell>
          <cell r="H179" t="str">
            <v>Not Fixed</v>
          </cell>
        </row>
        <row r="180">
          <cell r="A180" t="str">
            <v>81.192.11.163/0/generic-tcp-timestamp</v>
          </cell>
          <cell r="B180" t="str">
            <v>Ext-04/20</v>
          </cell>
          <cell r="C180" t="str">
            <v>81.192.11.163</v>
          </cell>
          <cell r="D180" t="str">
            <v>10.8.0.108</v>
          </cell>
          <cell r="E180" t="str">
            <v>CGI</v>
          </cell>
          <cell r="F180" t="str">
            <v>UNIX</v>
          </cell>
          <cell r="G180" t="str">
            <v>Unix</v>
          </cell>
          <cell r="H180" t="str">
            <v>Fixed</v>
          </cell>
        </row>
        <row r="181">
          <cell r="A181" t="str">
            <v>81.192.11.163/22/ssh-3des-ciphers</v>
          </cell>
          <cell r="B181" t="str">
            <v>Ext-04/20</v>
          </cell>
          <cell r="C181" t="str">
            <v>81.192.11.163</v>
          </cell>
          <cell r="D181" t="str">
            <v>10.8.0.108</v>
          </cell>
          <cell r="E181" t="str">
            <v>CGI</v>
          </cell>
          <cell r="F181" t="str">
            <v>UNIX</v>
          </cell>
          <cell r="G181" t="str">
            <v>Unix</v>
          </cell>
          <cell r="H181" t="str">
            <v>Fixed</v>
          </cell>
        </row>
        <row r="182">
          <cell r="A182" t="str">
            <v>81.192.11.163/22/ssh-cbc-ciphers</v>
          </cell>
          <cell r="B182" t="str">
            <v>Ext-04/20</v>
          </cell>
          <cell r="C182" t="str">
            <v>81.192.11.163</v>
          </cell>
          <cell r="D182" t="str">
            <v>10.8.0.108</v>
          </cell>
          <cell r="E182" t="str">
            <v>CGI</v>
          </cell>
          <cell r="F182" t="str">
            <v>UNIX</v>
          </cell>
          <cell r="G182" t="str">
            <v>Unix</v>
          </cell>
          <cell r="H182" t="str">
            <v>Fixed</v>
          </cell>
        </row>
        <row r="183">
          <cell r="A183" t="str">
            <v>81.192.11.163/22/ssh-cve-2015-4000</v>
          </cell>
          <cell r="B183" t="str">
            <v>Ext-04/20</v>
          </cell>
          <cell r="C183" t="str">
            <v>81.192.11.163</v>
          </cell>
          <cell r="D183" t="str">
            <v>10.8.0.108</v>
          </cell>
          <cell r="E183" t="str">
            <v>CGI</v>
          </cell>
          <cell r="F183" t="str">
            <v>UNIX</v>
          </cell>
          <cell r="G183" t="str">
            <v>Unix</v>
          </cell>
          <cell r="H183" t="str">
            <v>Fixed</v>
          </cell>
        </row>
        <row r="184">
          <cell r="A184" t="str">
            <v>81.192.11.163/22/ssh-cve-2016-2183-sweet32</v>
          </cell>
          <cell r="B184" t="str">
            <v>Ext-04/20</v>
          </cell>
          <cell r="C184" t="str">
            <v>81.192.11.163</v>
          </cell>
          <cell r="D184" t="str">
            <v>10.8.0.108</v>
          </cell>
          <cell r="E184" t="str">
            <v>CGI</v>
          </cell>
          <cell r="F184" t="str">
            <v>UNIX</v>
          </cell>
          <cell r="G184" t="str">
            <v>Unix</v>
          </cell>
          <cell r="H184" t="str">
            <v>Fixed</v>
          </cell>
        </row>
        <row r="185">
          <cell r="A185" t="str">
            <v>81.192.11.163/22/ssh-rc4-ciphers</v>
          </cell>
          <cell r="B185" t="str">
            <v>Ext-04/20</v>
          </cell>
          <cell r="C185" t="str">
            <v>81.192.11.163</v>
          </cell>
          <cell r="D185" t="str">
            <v>10.8.0.108</v>
          </cell>
          <cell r="E185" t="str">
            <v>CGI</v>
          </cell>
          <cell r="F185" t="str">
            <v>UNIX</v>
          </cell>
          <cell r="G185" t="str">
            <v>Unix</v>
          </cell>
          <cell r="H185" t="str">
            <v>Fixed</v>
          </cell>
        </row>
        <row r="186">
          <cell r="A186" t="str">
            <v>81.192.11.163/22/ssh-weak-kex-algorithms</v>
          </cell>
          <cell r="B186" t="str">
            <v>Ext-04/20</v>
          </cell>
          <cell r="C186" t="str">
            <v>81.192.11.163</v>
          </cell>
          <cell r="D186" t="str">
            <v>10.8.0.108</v>
          </cell>
          <cell r="E186" t="str">
            <v>CGI</v>
          </cell>
          <cell r="F186" t="str">
            <v>UNIX</v>
          </cell>
          <cell r="G186" t="str">
            <v>Unix</v>
          </cell>
          <cell r="H186" t="str">
            <v>Fixed</v>
          </cell>
        </row>
        <row r="187">
          <cell r="A187" t="str">
            <v>81.192.11.163/22/ssh-weak-message-authentication-code-algorithms</v>
          </cell>
          <cell r="B187" t="str">
            <v>Ext-04/20</v>
          </cell>
          <cell r="C187" t="str">
            <v>81.192.11.163</v>
          </cell>
          <cell r="D187" t="str">
            <v>10.8.0.108</v>
          </cell>
          <cell r="E187" t="str">
            <v>CGI</v>
          </cell>
          <cell r="F187" t="str">
            <v>UNIX</v>
          </cell>
          <cell r="G187" t="str">
            <v>Unix</v>
          </cell>
          <cell r="H187" t="str">
            <v>Fixed</v>
          </cell>
        </row>
        <row r="188">
          <cell r="A188" t="str">
            <v>81.192.11.163/80/http-options-method-enabled</v>
          </cell>
          <cell r="B188" t="str">
            <v>Ext-04/20</v>
          </cell>
          <cell r="C188" t="str">
            <v>81.192.11.163</v>
          </cell>
          <cell r="D188" t="str">
            <v>10.8.0.108</v>
          </cell>
          <cell r="E188" t="str">
            <v>CGI</v>
          </cell>
          <cell r="F188" t="str">
            <v>UNIX</v>
          </cell>
          <cell r="G188" t="str">
            <v>Unix</v>
          </cell>
          <cell r="H188" t="str">
            <v>Fixed</v>
          </cell>
        </row>
        <row r="189">
          <cell r="A189" t="str">
            <v>81.192.11.164/0/generic-tcp-timestamp</v>
          </cell>
          <cell r="B189" t="str">
            <v>Ext-04/20</v>
          </cell>
          <cell r="C189" t="str">
            <v>81.192.11.164</v>
          </cell>
          <cell r="D189" t="str">
            <v>10.8.0.112
10.9.0.8</v>
          </cell>
          <cell r="E189" t="str">
            <v>CGI</v>
          </cell>
          <cell r="F189" t="str">
            <v>UNIX</v>
          </cell>
          <cell r="G189" t="str">
            <v>Unix</v>
          </cell>
          <cell r="H189" t="str">
            <v>Fixed</v>
          </cell>
        </row>
        <row r="190">
          <cell r="A190" t="str">
            <v>81.192.11.164/22/ssh-3des-ciphers</v>
          </cell>
          <cell r="B190" t="str">
            <v>Ext-04/20</v>
          </cell>
          <cell r="C190" t="str">
            <v>81.192.11.164</v>
          </cell>
          <cell r="D190" t="str">
            <v>10.8.0.112
10.9.0.8</v>
          </cell>
          <cell r="E190" t="str">
            <v>CGI</v>
          </cell>
          <cell r="F190" t="str">
            <v>UNIX</v>
          </cell>
          <cell r="G190" t="str">
            <v>Unix</v>
          </cell>
          <cell r="H190" t="str">
            <v>Fixed</v>
          </cell>
        </row>
        <row r="191">
          <cell r="A191" t="str">
            <v>81.192.11.164/22/ssh-cbc-ciphers</v>
          </cell>
          <cell r="B191" t="str">
            <v>Ext-04/20</v>
          </cell>
          <cell r="C191" t="str">
            <v>81.192.11.164</v>
          </cell>
          <cell r="D191" t="str">
            <v>10.8.0.112
10.9.0.8</v>
          </cell>
          <cell r="E191" t="str">
            <v>CGI</v>
          </cell>
          <cell r="F191" t="str">
            <v>UNIX</v>
          </cell>
          <cell r="G191" t="str">
            <v>Unix</v>
          </cell>
          <cell r="H191" t="str">
            <v>Fixed</v>
          </cell>
        </row>
        <row r="192">
          <cell r="A192" t="str">
            <v>81.192.11.164/22/ssh-cve-2015-4000</v>
          </cell>
          <cell r="B192" t="str">
            <v>Ext-04/20</v>
          </cell>
          <cell r="C192" t="str">
            <v>81.192.11.164</v>
          </cell>
          <cell r="D192" t="str">
            <v>10.8.0.112
10.9.0.8</v>
          </cell>
          <cell r="E192" t="str">
            <v>CGI</v>
          </cell>
          <cell r="F192" t="str">
            <v>UNIX</v>
          </cell>
          <cell r="G192" t="str">
            <v>Unix</v>
          </cell>
          <cell r="H192" t="str">
            <v>Fixed</v>
          </cell>
        </row>
        <row r="193">
          <cell r="A193" t="str">
            <v>81.192.11.164/22/ssh-cve-2016-2183-sweet32</v>
          </cell>
          <cell r="B193" t="str">
            <v>Ext-04/20</v>
          </cell>
          <cell r="C193" t="str">
            <v>81.192.11.164</v>
          </cell>
          <cell r="D193" t="str">
            <v>10.8.0.112
10.9.0.8</v>
          </cell>
          <cell r="E193" t="str">
            <v>CGI</v>
          </cell>
          <cell r="F193" t="str">
            <v>UNIX</v>
          </cell>
          <cell r="G193" t="str">
            <v>Unix</v>
          </cell>
          <cell r="H193" t="str">
            <v>Fixed</v>
          </cell>
        </row>
        <row r="194">
          <cell r="A194" t="str">
            <v>81.192.11.164/22/ssh-rc4-ciphers</v>
          </cell>
          <cell r="B194" t="str">
            <v>Ext-04/20</v>
          </cell>
          <cell r="C194" t="str">
            <v>81.192.11.164</v>
          </cell>
          <cell r="D194" t="str">
            <v>10.8.0.112
10.9.0.8</v>
          </cell>
          <cell r="E194" t="str">
            <v>CGI</v>
          </cell>
          <cell r="F194" t="str">
            <v>UNIX</v>
          </cell>
          <cell r="G194" t="str">
            <v>Unix</v>
          </cell>
          <cell r="H194" t="str">
            <v>Fixed</v>
          </cell>
        </row>
        <row r="195">
          <cell r="A195" t="str">
            <v>81.192.11.164/22/ssh-weak-kex-algorithms</v>
          </cell>
          <cell r="B195" t="str">
            <v>Ext-04/20</v>
          </cell>
          <cell r="C195" t="str">
            <v>81.192.11.164</v>
          </cell>
          <cell r="D195" t="str">
            <v>10.8.0.112
10.9.0.8</v>
          </cell>
          <cell r="E195" t="str">
            <v>CGI</v>
          </cell>
          <cell r="F195" t="str">
            <v>UNIX</v>
          </cell>
          <cell r="G195" t="str">
            <v>Unix</v>
          </cell>
          <cell r="H195" t="str">
            <v>Fixed</v>
          </cell>
        </row>
        <row r="196">
          <cell r="A196" t="str">
            <v>81.192.11.164/22/ssh-weak-message-authentication-code-algorithms</v>
          </cell>
          <cell r="B196" t="str">
            <v>Ext-04/20</v>
          </cell>
          <cell r="C196" t="str">
            <v>81.192.11.164</v>
          </cell>
          <cell r="D196" t="str">
            <v>10.8.0.112
10.9.0.8</v>
          </cell>
          <cell r="E196" t="str">
            <v>CGI</v>
          </cell>
          <cell r="F196" t="str">
            <v>UNIX</v>
          </cell>
          <cell r="G196" t="str">
            <v>Unix</v>
          </cell>
          <cell r="H196" t="str">
            <v>Fixed</v>
          </cell>
        </row>
        <row r="197">
          <cell r="A197" t="str">
            <v>81.192.11.164/443/http-generic-browsable-dir</v>
          </cell>
          <cell r="B197" t="str">
            <v>Ext-09/20</v>
          </cell>
          <cell r="C197" t="str">
            <v>81.192.11.164</v>
          </cell>
          <cell r="D197" t="str">
            <v>10.8.0.112
10.9.0.8</v>
          </cell>
          <cell r="E197" t="str">
            <v>CGI</v>
          </cell>
          <cell r="F197" t="str">
            <v>UNIX</v>
          </cell>
          <cell r="G197" t="str">
            <v>Unix</v>
          </cell>
          <cell r="H197" t="str">
            <v>Not Fixed</v>
          </cell>
        </row>
        <row r="198">
          <cell r="A198" t="str">
            <v>81.192.11.164/443/http-generic-click-jacking</v>
          </cell>
          <cell r="B198" t="str">
            <v>Ext-09/20</v>
          </cell>
          <cell r="C198" t="str">
            <v>81.192.11.164</v>
          </cell>
          <cell r="D198" t="str">
            <v>10.8.0.112
10.9.0.8</v>
          </cell>
          <cell r="E198" t="str">
            <v>CGI</v>
          </cell>
          <cell r="F198" t="str">
            <v>UNIX</v>
          </cell>
          <cell r="G198" t="str">
            <v>Unix</v>
          </cell>
          <cell r="H198" t="str">
            <v>Not Fixed</v>
          </cell>
        </row>
        <row r="199">
          <cell r="A199" t="str">
            <v>81.192.11.164/80/http-generic-browsable-dir</v>
          </cell>
          <cell r="B199" t="str">
            <v>Ext-06/20</v>
          </cell>
          <cell r="C199" t="str">
            <v>81.192.11.164</v>
          </cell>
          <cell r="D199" t="str">
            <v>10.8.0.112
10.9.0.8</v>
          </cell>
          <cell r="E199" t="str">
            <v>CGI</v>
          </cell>
          <cell r="F199" t="str">
            <v>UNIX</v>
          </cell>
          <cell r="G199" t="str">
            <v>Unix</v>
          </cell>
          <cell r="H199" t="str">
            <v>Fixed</v>
          </cell>
        </row>
        <row r="200">
          <cell r="A200" t="str">
            <v>81.192.11.164/80/http-generic-click-jacking</v>
          </cell>
          <cell r="B200" t="str">
            <v>Ext-06/20</v>
          </cell>
          <cell r="C200" t="str">
            <v>81.192.11.164</v>
          </cell>
          <cell r="D200" t="str">
            <v>10.8.0.112
10.9.0.8</v>
          </cell>
          <cell r="E200" t="str">
            <v>CGI</v>
          </cell>
          <cell r="F200" t="str">
            <v>UNIX</v>
          </cell>
          <cell r="G200" t="str">
            <v>Unix</v>
          </cell>
          <cell r="H200" t="str">
            <v>Fixed</v>
          </cell>
        </row>
        <row r="201">
          <cell r="A201" t="str">
            <v>81.192.11.165/0/generic-tcp-timestamp</v>
          </cell>
          <cell r="B201" t="str">
            <v>Ext-10/20</v>
          </cell>
          <cell r="C201" t="str">
            <v>81.192.11.165</v>
          </cell>
          <cell r="D201" t="str">
            <v>10.8.0.48
10.9.0.113</v>
          </cell>
          <cell r="E201" t="str">
            <v>PCDG-WebFIP</v>
          </cell>
          <cell r="F201" t="str">
            <v>UNIX</v>
          </cell>
          <cell r="G201" t="str">
            <v>NA</v>
          </cell>
          <cell r="H201" t="str">
            <v>Fixed</v>
          </cell>
        </row>
        <row r="202">
          <cell r="A202" t="str">
            <v>81.192.11.165/22/ssh-3des-ciphers</v>
          </cell>
          <cell r="B202" t="str">
            <v>Ext-04/20</v>
          </cell>
          <cell r="C202" t="str">
            <v>81.192.11.165</v>
          </cell>
          <cell r="D202" t="str">
            <v>10.8.0.48
10.9.0.113</v>
          </cell>
          <cell r="E202" t="str">
            <v>PCDG-WebFIP</v>
          </cell>
          <cell r="F202" t="str">
            <v>UNIX</v>
          </cell>
          <cell r="G202" t="str">
            <v>NA</v>
          </cell>
          <cell r="H202" t="str">
            <v>Not Fixed</v>
          </cell>
        </row>
        <row r="203">
          <cell r="A203" t="str">
            <v>81.192.11.165/22/ssh-cbc-ciphers</v>
          </cell>
          <cell r="B203" t="str">
            <v>Ext-04/20</v>
          </cell>
          <cell r="C203" t="str">
            <v>81.192.11.165</v>
          </cell>
          <cell r="D203" t="str">
            <v>10.8.0.48
10.9.0.113</v>
          </cell>
          <cell r="E203" t="str">
            <v>PCDG-WebFIP</v>
          </cell>
          <cell r="F203" t="str">
            <v>UNIX</v>
          </cell>
          <cell r="G203" t="str">
            <v>NA</v>
          </cell>
          <cell r="H203" t="str">
            <v>Not Fixed</v>
          </cell>
        </row>
        <row r="204">
          <cell r="A204" t="str">
            <v>81.192.11.165/22/ssh-cve-2015-4000</v>
          </cell>
          <cell r="B204" t="str">
            <v>Ext-04/20</v>
          </cell>
          <cell r="C204" t="str">
            <v>81.192.11.165</v>
          </cell>
          <cell r="D204" t="str">
            <v>10.8.0.48
10.9.0.113</v>
          </cell>
          <cell r="E204" t="str">
            <v>PCDG-WebFIP</v>
          </cell>
          <cell r="F204" t="str">
            <v>UNIX</v>
          </cell>
          <cell r="G204" t="str">
            <v>NA</v>
          </cell>
          <cell r="H204" t="str">
            <v>Not Fixed</v>
          </cell>
        </row>
        <row r="205">
          <cell r="A205" t="str">
            <v>81.192.11.165/22/ssh-cve-2016-2183-sweet32</v>
          </cell>
          <cell r="B205" t="str">
            <v>Ext-04/20</v>
          </cell>
          <cell r="C205" t="str">
            <v>81.192.11.165</v>
          </cell>
          <cell r="D205" t="str">
            <v>10.8.0.48
10.9.0.113</v>
          </cell>
          <cell r="E205" t="str">
            <v>PCDG-WebFIP</v>
          </cell>
          <cell r="F205" t="str">
            <v>UNIX</v>
          </cell>
          <cell r="G205" t="str">
            <v>NA</v>
          </cell>
          <cell r="H205" t="str">
            <v>Not Fixed</v>
          </cell>
        </row>
        <row r="206">
          <cell r="A206" t="str">
            <v>81.192.11.165/22/ssh-rc4-ciphers</v>
          </cell>
          <cell r="B206" t="str">
            <v>Ext-04/20</v>
          </cell>
          <cell r="C206" t="str">
            <v>81.192.11.165</v>
          </cell>
          <cell r="D206" t="str">
            <v>10.8.0.48
10.9.0.113</v>
          </cell>
          <cell r="E206" t="str">
            <v>PCDG-WebFIP</v>
          </cell>
          <cell r="F206" t="str">
            <v>UNIX</v>
          </cell>
          <cell r="G206" t="str">
            <v>NA</v>
          </cell>
          <cell r="H206" t="str">
            <v>Not Fixed</v>
          </cell>
        </row>
        <row r="207">
          <cell r="A207" t="str">
            <v>81.192.11.165/22/ssh-weak-kex-algorithms</v>
          </cell>
          <cell r="B207" t="str">
            <v>Ext-04/20</v>
          </cell>
          <cell r="C207" t="str">
            <v>81.192.11.165</v>
          </cell>
          <cell r="D207" t="str">
            <v>10.8.0.48
10.9.0.113</v>
          </cell>
          <cell r="E207" t="str">
            <v>PCDG-WebFIP</v>
          </cell>
          <cell r="F207" t="str">
            <v>UNIX</v>
          </cell>
          <cell r="G207" t="str">
            <v>NA</v>
          </cell>
          <cell r="H207" t="str">
            <v>Not Fixed</v>
          </cell>
        </row>
        <row r="208">
          <cell r="A208" t="str">
            <v>81.192.11.165/22/ssh-weak-message-authentication-code-algorithms</v>
          </cell>
          <cell r="B208" t="str">
            <v>Ext-04/20</v>
          </cell>
          <cell r="C208" t="str">
            <v>81.192.11.165</v>
          </cell>
          <cell r="D208" t="str">
            <v>10.8.0.48
10.9.0.113</v>
          </cell>
          <cell r="E208" t="str">
            <v>PCDG-WebFIP</v>
          </cell>
          <cell r="F208" t="str">
            <v>UNIX</v>
          </cell>
          <cell r="G208" t="str">
            <v>NA</v>
          </cell>
          <cell r="H208" t="str">
            <v>Not Fixed</v>
          </cell>
        </row>
        <row r="209">
          <cell r="A209" t="str">
            <v>81.192.11.165/443/certificate-common-name-mismatch</v>
          </cell>
          <cell r="B209" t="str">
            <v>Ext-04/20</v>
          </cell>
          <cell r="C209" t="str">
            <v>81.192.11.165</v>
          </cell>
          <cell r="D209" t="str">
            <v>10.8.0.48
10.9.0.113</v>
          </cell>
          <cell r="E209" t="str">
            <v>PCDG-WebFIP</v>
          </cell>
          <cell r="F209" t="str">
            <v>UNIX</v>
          </cell>
          <cell r="G209" t="str">
            <v>NA</v>
          </cell>
          <cell r="H209" t="str">
            <v>Faux Positive</v>
          </cell>
        </row>
        <row r="210">
          <cell r="A210" t="str">
            <v>81.192.11.165/443/http-apache-default-install-page</v>
          </cell>
          <cell r="B210" t="str">
            <v>Ext-09/20</v>
          </cell>
          <cell r="C210" t="str">
            <v>81.192.11.165</v>
          </cell>
          <cell r="D210" t="str">
            <v>10.8.0.48
10.9.0.113</v>
          </cell>
          <cell r="E210" t="str">
            <v>PCDG-WebFIP</v>
          </cell>
          <cell r="F210" t="str">
            <v>UNIX</v>
          </cell>
          <cell r="G210" t="str">
            <v>NA</v>
          </cell>
          <cell r="H210" t="str">
            <v>Fixed</v>
          </cell>
        </row>
        <row r="211">
          <cell r="A211" t="str">
            <v>81.192.11.165/443/http-cookie-http-only-flag</v>
          </cell>
          <cell r="B211" t="str">
            <v>Ext-09/20</v>
          </cell>
          <cell r="C211" t="str">
            <v>81.192.11.165</v>
          </cell>
          <cell r="D211" t="str">
            <v>10.8.0.48
10.9.0.113</v>
          </cell>
          <cell r="E211" t="str">
            <v>PCDG-WebFIP</v>
          </cell>
          <cell r="F211" t="str">
            <v>UNIX</v>
          </cell>
          <cell r="G211" t="str">
            <v>NA</v>
          </cell>
          <cell r="H211" t="str">
            <v>Fixed</v>
          </cell>
        </row>
        <row r="212">
          <cell r="A212" t="str">
            <v>81.192.11.165/443/http-cookie-secure-flag</v>
          </cell>
          <cell r="B212" t="str">
            <v>Ext-09/20</v>
          </cell>
          <cell r="C212" t="str">
            <v>81.192.11.165</v>
          </cell>
          <cell r="D212" t="str">
            <v>10.8.0.48
10.9.0.113</v>
          </cell>
          <cell r="E212" t="str">
            <v>PCDG-WebFIP</v>
          </cell>
          <cell r="F212" t="str">
            <v>UNIX</v>
          </cell>
          <cell r="G212" t="str">
            <v>NA</v>
          </cell>
          <cell r="H212" t="str">
            <v>Fixed</v>
          </cell>
        </row>
        <row r="213">
          <cell r="A213" t="str">
            <v>81.192.11.165/443/http-generic-browsable-dir</v>
          </cell>
          <cell r="B213" t="str">
            <v>Ext-09/20</v>
          </cell>
          <cell r="C213" t="str">
            <v>81.192.11.165</v>
          </cell>
          <cell r="D213" t="str">
            <v>10.8.0.48
10.9.0.113</v>
          </cell>
          <cell r="E213" t="str">
            <v>PCDG-WebFIP</v>
          </cell>
          <cell r="F213" t="str">
            <v>UNIX</v>
          </cell>
          <cell r="G213" t="str">
            <v>NA</v>
          </cell>
          <cell r="H213" t="str">
            <v>In Progress</v>
          </cell>
        </row>
        <row r="214">
          <cell r="A214" t="str">
            <v>81.192.11.165/443/ssl-3des-ciphers</v>
          </cell>
          <cell r="B214" t="str">
            <v>Ext-09/20</v>
          </cell>
          <cell r="C214" t="str">
            <v>81.192.11.165</v>
          </cell>
          <cell r="D214" t="str">
            <v>10.8.0.48
10.9.0.113</v>
          </cell>
          <cell r="E214" t="str">
            <v>PCDG-WebFIP</v>
          </cell>
          <cell r="F214" t="str">
            <v>UNIX</v>
          </cell>
          <cell r="G214" t="str">
            <v>NA</v>
          </cell>
          <cell r="H214" t="str">
            <v>In Progress</v>
          </cell>
        </row>
        <row r="215">
          <cell r="A215" t="str">
            <v>81.192.11.165/443/ssl-cve-2011-3389-beast</v>
          </cell>
          <cell r="B215" t="str">
            <v>Ext-09/20</v>
          </cell>
          <cell r="C215" t="str">
            <v>81.192.11.165</v>
          </cell>
          <cell r="D215" t="str">
            <v>10.8.0.48
10.9.0.113</v>
          </cell>
          <cell r="E215" t="str">
            <v>PCDG-WebFIP</v>
          </cell>
          <cell r="F215" t="str">
            <v>UNIX</v>
          </cell>
          <cell r="G215" t="str">
            <v>NA</v>
          </cell>
          <cell r="H215" t="str">
            <v>In Progress</v>
          </cell>
        </row>
        <row r="216">
          <cell r="A216" t="str">
            <v>81.192.11.165/443/ssl-cve-2016-2183-sweet32</v>
          </cell>
          <cell r="B216" t="str">
            <v>Ext-09/20</v>
          </cell>
          <cell r="C216" t="str">
            <v>81.192.11.165</v>
          </cell>
          <cell r="D216" t="str">
            <v>10.8.0.48
10.9.0.113</v>
          </cell>
          <cell r="E216" t="str">
            <v>PCDG-WebFIP</v>
          </cell>
          <cell r="F216" t="str">
            <v>UNIX</v>
          </cell>
          <cell r="G216" t="str">
            <v>NA</v>
          </cell>
          <cell r="H216" t="str">
            <v>In Progress</v>
          </cell>
        </row>
        <row r="217">
          <cell r="A217" t="str">
            <v>81.192.11.165/443/ssl-static-key-ciphers</v>
          </cell>
          <cell r="B217" t="str">
            <v>Ext-09/20</v>
          </cell>
          <cell r="C217" t="str">
            <v>81.192.11.165</v>
          </cell>
          <cell r="D217" t="str">
            <v>10.8.0.48
10.9.0.113</v>
          </cell>
          <cell r="E217" t="str">
            <v>PCDG-WebFIP</v>
          </cell>
          <cell r="F217" t="str">
            <v>UNIX</v>
          </cell>
          <cell r="G217" t="str">
            <v>NA</v>
          </cell>
          <cell r="H217" t="str">
            <v>In Progress</v>
          </cell>
        </row>
        <row r="218">
          <cell r="A218" t="str">
            <v>81.192.11.165/443/tls-server-cert-to-expire</v>
          </cell>
          <cell r="B218" t="str">
            <v>Ext-10/20</v>
          </cell>
          <cell r="C218" t="str">
            <v>81.192.11.165</v>
          </cell>
          <cell r="D218" t="str">
            <v>10.8.0.48
10.9.0.113</v>
          </cell>
          <cell r="E218" t="str">
            <v>PCDG-WebFIP</v>
          </cell>
          <cell r="F218" t="str">
            <v>UNIX</v>
          </cell>
          <cell r="G218" t="str">
            <v>NA</v>
          </cell>
          <cell r="H218" t="str">
            <v>Fixed</v>
          </cell>
        </row>
        <row r="219">
          <cell r="A219" t="str">
            <v>81.192.11.165/443/tlsv1_0-enabled</v>
          </cell>
          <cell r="B219" t="str">
            <v>Ext-09/20</v>
          </cell>
          <cell r="C219" t="str">
            <v>81.192.11.165</v>
          </cell>
          <cell r="D219" t="str">
            <v>10.8.0.48
10.9.0.113</v>
          </cell>
          <cell r="E219" t="str">
            <v>PCDG-WebFIP</v>
          </cell>
          <cell r="F219" t="str">
            <v>UNIX</v>
          </cell>
          <cell r="G219" t="str">
            <v>NA</v>
          </cell>
          <cell r="H219" t="str">
            <v>In Progress</v>
          </cell>
        </row>
        <row r="220">
          <cell r="A220" t="str">
            <v>81.192.11.165/443/tlsv1_1-enabled</v>
          </cell>
          <cell r="B220" t="str">
            <v>Ext-09/20</v>
          </cell>
          <cell r="C220" t="str">
            <v>81.192.11.165</v>
          </cell>
          <cell r="D220" t="str">
            <v>10.8.0.48
10.9.0.113</v>
          </cell>
          <cell r="E220" t="str">
            <v>PCDG-WebFIP</v>
          </cell>
          <cell r="F220" t="str">
            <v>UNIX</v>
          </cell>
          <cell r="G220" t="str">
            <v>NA</v>
          </cell>
          <cell r="H220" t="str">
            <v>In Progress</v>
          </cell>
        </row>
        <row r="221">
          <cell r="A221" t="str">
            <v>81.192.11.172/0/generic-tcp-timestamp</v>
          </cell>
          <cell r="B221" t="str">
            <v>Ext-04/20</v>
          </cell>
          <cell r="C221" t="str">
            <v>81.192.11.172</v>
          </cell>
          <cell r="D221" t="str">
            <v>10.8.0.22</v>
          </cell>
          <cell r="F221" t="str">
            <v>UNIX</v>
          </cell>
          <cell r="G221" t="str">
            <v>Network</v>
          </cell>
          <cell r="H221" t="str">
            <v>Fixed</v>
          </cell>
        </row>
        <row r="222">
          <cell r="A222" t="str">
            <v>81.192.11.172/22/ssh-cbc-ciphers</v>
          </cell>
          <cell r="B222" t="str">
            <v>Ext-04/20</v>
          </cell>
          <cell r="C222" t="str">
            <v>81.192.11.172</v>
          </cell>
          <cell r="D222" t="str">
            <v>10.8.0.22</v>
          </cell>
          <cell r="F222" t="str">
            <v>UNIX</v>
          </cell>
          <cell r="G222" t="str">
            <v>Unix</v>
          </cell>
          <cell r="H222" t="str">
            <v>Fixed</v>
          </cell>
        </row>
        <row r="223">
          <cell r="A223" t="str">
            <v>81.192.11.172/22/ssh-cve-2015-4000</v>
          </cell>
          <cell r="B223" t="str">
            <v>Ext-04/20</v>
          </cell>
          <cell r="C223" t="str">
            <v>81.192.11.172</v>
          </cell>
          <cell r="D223" t="str">
            <v>10.8.0.22</v>
          </cell>
          <cell r="F223" t="str">
            <v>UNIX</v>
          </cell>
          <cell r="G223" t="str">
            <v>Unix</v>
          </cell>
          <cell r="H223" t="str">
            <v>Fixed</v>
          </cell>
        </row>
        <row r="224">
          <cell r="A224" t="str">
            <v>81.192.11.172/22/ssh-weak-kex-algorithms</v>
          </cell>
          <cell r="B224" t="str">
            <v>Ext-04/20</v>
          </cell>
          <cell r="C224" t="str">
            <v>81.192.11.172</v>
          </cell>
          <cell r="D224" t="str">
            <v>10.8.0.22</v>
          </cell>
          <cell r="F224" t="str">
            <v>UNIX</v>
          </cell>
          <cell r="G224" t="str">
            <v>Unix</v>
          </cell>
          <cell r="H224" t="str">
            <v>Fixed</v>
          </cell>
        </row>
        <row r="225">
          <cell r="A225" t="str">
            <v>81.192.11.172/443/certificate-common-name-mismatch</v>
          </cell>
          <cell r="B225" t="str">
            <v>Ext-04/20</v>
          </cell>
          <cell r="C225" t="str">
            <v>81.192.11.172</v>
          </cell>
          <cell r="D225" t="str">
            <v>10.8.0.22</v>
          </cell>
          <cell r="F225" t="str">
            <v>UNIX</v>
          </cell>
          <cell r="G225" t="str">
            <v>Network</v>
          </cell>
          <cell r="H225" t="str">
            <v>Faux Positive</v>
          </cell>
        </row>
        <row r="226">
          <cell r="A226" t="str">
            <v>81.192.11.172/443/ssl-cve-2011-3389-beast</v>
          </cell>
          <cell r="B226" t="str">
            <v>Ext-04/20</v>
          </cell>
          <cell r="C226" t="str">
            <v>81.192.11.172</v>
          </cell>
          <cell r="D226" t="str">
            <v>10.8.0.22</v>
          </cell>
          <cell r="F226" t="str">
            <v>UNIX</v>
          </cell>
          <cell r="G226" t="str">
            <v>Unix</v>
          </cell>
          <cell r="H226" t="str">
            <v>Fixed</v>
          </cell>
        </row>
        <row r="227">
          <cell r="A227" t="str">
            <v>81.192.11.172/443/ssl-static-key-ciphers</v>
          </cell>
          <cell r="B227" t="str">
            <v>Ext-04/20</v>
          </cell>
          <cell r="C227" t="str">
            <v>81.192.11.172</v>
          </cell>
          <cell r="D227" t="str">
            <v>10.8.0.22</v>
          </cell>
          <cell r="F227" t="str">
            <v>UNIX</v>
          </cell>
          <cell r="G227" t="str">
            <v>Network</v>
          </cell>
          <cell r="H227" t="str">
            <v>Fixed</v>
          </cell>
        </row>
        <row r="228">
          <cell r="A228" t="str">
            <v>81.192.11.172/443/tls-dh-primes</v>
          </cell>
          <cell r="B228" t="str">
            <v>Ext-04/20</v>
          </cell>
          <cell r="C228" t="str">
            <v>81.192.11.172</v>
          </cell>
          <cell r="D228" t="str">
            <v>10.8.0.22</v>
          </cell>
          <cell r="F228" t="str">
            <v>UNIX</v>
          </cell>
          <cell r="G228" t="str">
            <v>Unix</v>
          </cell>
          <cell r="H228" t="str">
            <v>Fixed</v>
          </cell>
        </row>
        <row r="229">
          <cell r="A229" t="str">
            <v>81.192.11.172/443/tls-untrusted-ca</v>
          </cell>
          <cell r="B229" t="str">
            <v>Ext-04/20</v>
          </cell>
          <cell r="C229" t="str">
            <v>81.192.11.172</v>
          </cell>
          <cell r="D229" t="str">
            <v>10.8.0.22</v>
          </cell>
          <cell r="F229" t="str">
            <v>UNIX</v>
          </cell>
          <cell r="G229" t="str">
            <v>Network</v>
          </cell>
          <cell r="H229" t="str">
            <v>Fixed</v>
          </cell>
        </row>
        <row r="230">
          <cell r="A230" t="str">
            <v>81.192.11.172/443/tlsv1_0-enabled</v>
          </cell>
          <cell r="B230" t="str">
            <v>Ext-04/20</v>
          </cell>
          <cell r="C230" t="str">
            <v>81.192.11.172</v>
          </cell>
          <cell r="D230" t="str">
            <v>10.8.0.22</v>
          </cell>
          <cell r="F230" t="str">
            <v>UNIX</v>
          </cell>
          <cell r="G230" t="str">
            <v>Unix</v>
          </cell>
          <cell r="H230" t="str">
            <v>Fixed</v>
          </cell>
        </row>
        <row r="231">
          <cell r="A231" t="str">
            <v>81.192.11.172/443/tlsv1_1-enabled</v>
          </cell>
          <cell r="B231" t="str">
            <v>Ext-04/20</v>
          </cell>
          <cell r="C231" t="str">
            <v>81.192.11.172</v>
          </cell>
          <cell r="D231" t="str">
            <v>10.8.0.22</v>
          </cell>
          <cell r="F231" t="str">
            <v>UNIX</v>
          </cell>
          <cell r="G231" t="str">
            <v>Network</v>
          </cell>
          <cell r="H231" t="str">
            <v>Fixed</v>
          </cell>
        </row>
        <row r="232">
          <cell r="A232" t="str">
            <v>81.192.11.172/5061/certificate-common-name-mismatch</v>
          </cell>
          <cell r="B232" t="str">
            <v>Ext-04/20</v>
          </cell>
          <cell r="C232" t="str">
            <v>81.192.11.172</v>
          </cell>
          <cell r="D232" t="str">
            <v>10.8.0.22</v>
          </cell>
          <cell r="F232" t="str">
            <v>UNIX</v>
          </cell>
          <cell r="G232" t="str">
            <v>Network</v>
          </cell>
          <cell r="H232" t="str">
            <v>Faux Positive</v>
          </cell>
        </row>
        <row r="233">
          <cell r="A233" t="str">
            <v>81.192.11.172/5061/ssl-3des-ciphers</v>
          </cell>
          <cell r="B233" t="str">
            <v>Ext-04/20</v>
          </cell>
          <cell r="C233" t="str">
            <v>81.192.11.172</v>
          </cell>
          <cell r="D233" t="str">
            <v>10.8.0.22</v>
          </cell>
          <cell r="F233" t="str">
            <v>UNIX</v>
          </cell>
          <cell r="G233" t="str">
            <v>Network</v>
          </cell>
          <cell r="H233" t="str">
            <v>Fixed</v>
          </cell>
        </row>
        <row r="234">
          <cell r="A234" t="str">
            <v>81.192.11.172/5061/ssl-cve-2011-3389-beast</v>
          </cell>
          <cell r="B234" t="str">
            <v>Ext-04/20</v>
          </cell>
          <cell r="C234" t="str">
            <v>81.192.11.172</v>
          </cell>
          <cell r="D234" t="str">
            <v>10.8.0.22</v>
          </cell>
          <cell r="F234" t="str">
            <v>UNIX</v>
          </cell>
          <cell r="G234" t="str">
            <v>Unix</v>
          </cell>
          <cell r="H234" t="str">
            <v>Fixed</v>
          </cell>
        </row>
        <row r="235">
          <cell r="A235" t="str">
            <v>81.192.11.172/5061/ssl-cve-2016-2183-sweet32</v>
          </cell>
          <cell r="B235" t="str">
            <v>Ext-04/20</v>
          </cell>
          <cell r="C235" t="str">
            <v>81.192.11.172</v>
          </cell>
          <cell r="D235" t="str">
            <v>10.8.0.22</v>
          </cell>
          <cell r="F235" t="str">
            <v>UNIX</v>
          </cell>
          <cell r="G235" t="str">
            <v>Network</v>
          </cell>
          <cell r="H235" t="str">
            <v>Fixed</v>
          </cell>
        </row>
        <row r="236">
          <cell r="A236" t="str">
            <v>81.192.11.172/5061/ssl-static-key-ciphers</v>
          </cell>
          <cell r="B236" t="str">
            <v>Ext-04/20</v>
          </cell>
          <cell r="C236" t="str">
            <v>81.192.11.172</v>
          </cell>
          <cell r="D236" t="str">
            <v>10.8.0.22</v>
          </cell>
          <cell r="F236" t="str">
            <v>UNIX</v>
          </cell>
          <cell r="G236" t="str">
            <v>Network</v>
          </cell>
          <cell r="H236" t="str">
            <v>Fixed</v>
          </cell>
        </row>
        <row r="237">
          <cell r="A237" t="str">
            <v>81.192.11.172/5061/tls-dh-prime-under-2048-bits</v>
          </cell>
          <cell r="B237" t="str">
            <v>Ext-04/20</v>
          </cell>
          <cell r="C237" t="str">
            <v>81.192.11.172</v>
          </cell>
          <cell r="D237" t="str">
            <v>10.8.0.22</v>
          </cell>
          <cell r="F237" t="str">
            <v>UNIX</v>
          </cell>
          <cell r="G237" t="str">
            <v>Network</v>
          </cell>
          <cell r="H237" t="str">
            <v>Fixed</v>
          </cell>
        </row>
        <row r="238">
          <cell r="A238" t="str">
            <v>81.192.11.172/5061/tls-untrusted-ca</v>
          </cell>
          <cell r="B238" t="str">
            <v>Ext-04/20</v>
          </cell>
          <cell r="C238" t="str">
            <v>81.192.11.172</v>
          </cell>
          <cell r="D238" t="str">
            <v>10.8.0.22</v>
          </cell>
          <cell r="F238" t="str">
            <v>UNIX</v>
          </cell>
          <cell r="G238" t="str">
            <v>Network</v>
          </cell>
          <cell r="H238" t="str">
            <v>Fixed</v>
          </cell>
        </row>
        <row r="239">
          <cell r="A239" t="str">
            <v>81.192.11.172/5061/tlsv1_0-enabled</v>
          </cell>
          <cell r="B239" t="str">
            <v>Ext-04/20</v>
          </cell>
          <cell r="C239" t="str">
            <v>81.192.11.172</v>
          </cell>
          <cell r="D239" t="str">
            <v>10.8.0.22</v>
          </cell>
          <cell r="F239" t="str">
            <v>UNIX</v>
          </cell>
          <cell r="G239" t="str">
            <v>Unix</v>
          </cell>
          <cell r="H239" t="str">
            <v>Fixed</v>
          </cell>
        </row>
        <row r="240">
          <cell r="A240" t="str">
            <v>81.192.11.172/5061/tlsv1_1-enabled</v>
          </cell>
          <cell r="B240" t="str">
            <v>Ext-04/20</v>
          </cell>
          <cell r="C240" t="str">
            <v>81.192.11.172</v>
          </cell>
          <cell r="D240" t="str">
            <v>10.8.0.22</v>
          </cell>
          <cell r="F240" t="str">
            <v>UNIX</v>
          </cell>
          <cell r="G240" t="str">
            <v>Network</v>
          </cell>
          <cell r="H240" t="str">
            <v>Fixed</v>
          </cell>
        </row>
        <row r="241">
          <cell r="A241" t="str">
            <v>81.192.11.172/7001/ssl-3des-ciphers</v>
          </cell>
          <cell r="B241" t="str">
            <v>Ext-04/20</v>
          </cell>
          <cell r="C241" t="str">
            <v>81.192.11.172</v>
          </cell>
          <cell r="D241" t="str">
            <v>10.8.0.22</v>
          </cell>
          <cell r="F241" t="str">
            <v>UNIX</v>
          </cell>
          <cell r="G241" t="str">
            <v>Network</v>
          </cell>
          <cell r="H241" t="str">
            <v>Fixed</v>
          </cell>
        </row>
        <row r="242">
          <cell r="A242" t="str">
            <v>81.192.11.172/7001/ssl-cve-2011-3389-beast</v>
          </cell>
          <cell r="B242" t="str">
            <v>Ext-04/20</v>
          </cell>
          <cell r="C242" t="str">
            <v>81.192.11.172</v>
          </cell>
          <cell r="D242" t="str">
            <v>10.8.0.22</v>
          </cell>
          <cell r="F242" t="str">
            <v>UNIX</v>
          </cell>
          <cell r="G242" t="str">
            <v>Unix</v>
          </cell>
          <cell r="H242" t="str">
            <v>Fixed</v>
          </cell>
        </row>
        <row r="243">
          <cell r="A243" t="str">
            <v>81.192.11.172/7001/ssl-cve-2016-2183-sweet32</v>
          </cell>
          <cell r="B243" t="str">
            <v>Ext-04/20</v>
          </cell>
          <cell r="C243" t="str">
            <v>81.192.11.172</v>
          </cell>
          <cell r="D243" t="str">
            <v>10.8.0.22</v>
          </cell>
          <cell r="F243" t="str">
            <v>UNIX</v>
          </cell>
          <cell r="G243" t="str">
            <v>Network</v>
          </cell>
          <cell r="H243" t="str">
            <v>Fixed</v>
          </cell>
        </row>
        <row r="244">
          <cell r="A244" t="str">
            <v>81.192.11.172/7001/ssl-static-key-ciphers</v>
          </cell>
          <cell r="B244" t="str">
            <v>Ext-04/20</v>
          </cell>
          <cell r="C244" t="str">
            <v>81.192.11.172</v>
          </cell>
          <cell r="D244" t="str">
            <v>10.8.0.22</v>
          </cell>
          <cell r="F244" t="str">
            <v>UNIX</v>
          </cell>
          <cell r="G244" t="str">
            <v>Network</v>
          </cell>
          <cell r="H244" t="str">
            <v>Fixed</v>
          </cell>
        </row>
        <row r="245">
          <cell r="A245" t="str">
            <v>81.192.11.172/7001/tls-dh-prime-under-2048-bits</v>
          </cell>
          <cell r="B245" t="str">
            <v>Ext-04/20</v>
          </cell>
          <cell r="C245" t="str">
            <v>81.192.11.172</v>
          </cell>
          <cell r="D245" t="str">
            <v>10.8.0.22</v>
          </cell>
          <cell r="F245" t="str">
            <v>UNIX</v>
          </cell>
          <cell r="G245" t="str">
            <v>Network</v>
          </cell>
          <cell r="H245" t="str">
            <v>Fixed</v>
          </cell>
        </row>
        <row r="246">
          <cell r="A246" t="str">
            <v>81.192.11.172/7001/tlsv1_0-enabled</v>
          </cell>
          <cell r="B246" t="str">
            <v>Ext-04/20</v>
          </cell>
          <cell r="C246" t="str">
            <v>81.192.11.172</v>
          </cell>
          <cell r="D246" t="str">
            <v>10.8.0.22</v>
          </cell>
          <cell r="F246" t="str">
            <v>UNIX</v>
          </cell>
          <cell r="G246" t="str">
            <v>Unix</v>
          </cell>
          <cell r="H246" t="str">
            <v>Fixed</v>
          </cell>
        </row>
        <row r="247">
          <cell r="A247" t="str">
            <v>81.192.11.172/7001/tlsv1_1-enabled</v>
          </cell>
          <cell r="B247" t="str">
            <v>Ext-04/20</v>
          </cell>
          <cell r="C247" t="str">
            <v>81.192.11.172</v>
          </cell>
          <cell r="D247" t="str">
            <v>10.8.0.22</v>
          </cell>
          <cell r="F247" t="str">
            <v>UNIX</v>
          </cell>
          <cell r="G247" t="str">
            <v>Network</v>
          </cell>
          <cell r="H247" t="str">
            <v>Fixed</v>
          </cell>
        </row>
        <row r="248">
          <cell r="A248" t="str">
            <v>81.192.11.172/8443/certificate-common-name-mismatch</v>
          </cell>
          <cell r="B248" t="str">
            <v>Ext-04/20</v>
          </cell>
          <cell r="C248" t="str">
            <v>81.192.11.172</v>
          </cell>
          <cell r="D248" t="str">
            <v>10.8.0.22</v>
          </cell>
          <cell r="F248" t="str">
            <v>UNIX</v>
          </cell>
          <cell r="G248" t="str">
            <v>Network</v>
          </cell>
          <cell r="H248" t="str">
            <v>Faux Positive</v>
          </cell>
        </row>
        <row r="249">
          <cell r="A249" t="str">
            <v>81.192.11.172/8443/ssl-cve-2011-3389-beast</v>
          </cell>
          <cell r="B249" t="str">
            <v>Ext-04/20</v>
          </cell>
          <cell r="C249" t="str">
            <v>81.192.11.172</v>
          </cell>
          <cell r="D249" t="str">
            <v>10.8.0.22</v>
          </cell>
          <cell r="F249" t="str">
            <v>UNIX</v>
          </cell>
          <cell r="G249" t="str">
            <v>Unix</v>
          </cell>
          <cell r="H249" t="str">
            <v>Fixed</v>
          </cell>
        </row>
        <row r="250">
          <cell r="A250" t="str">
            <v>81.192.11.172/8443/ssl-static-key-ciphers</v>
          </cell>
          <cell r="B250" t="str">
            <v>Ext-04/20</v>
          </cell>
          <cell r="C250" t="str">
            <v>81.192.11.172</v>
          </cell>
          <cell r="D250" t="str">
            <v>10.8.0.22</v>
          </cell>
          <cell r="F250" t="str">
            <v>UNIX</v>
          </cell>
          <cell r="G250" t="str">
            <v>Network</v>
          </cell>
          <cell r="H250" t="str">
            <v>Fixed</v>
          </cell>
        </row>
        <row r="251">
          <cell r="A251" t="str">
            <v>81.192.11.172/8443/tls-dh-primes</v>
          </cell>
          <cell r="B251" t="str">
            <v>Ext-04/20</v>
          </cell>
          <cell r="C251" t="str">
            <v>81.192.11.172</v>
          </cell>
          <cell r="D251" t="str">
            <v>10.8.0.22</v>
          </cell>
          <cell r="F251" t="str">
            <v>UNIX</v>
          </cell>
          <cell r="G251" t="str">
            <v>Unix</v>
          </cell>
          <cell r="H251" t="str">
            <v>Fixed</v>
          </cell>
        </row>
        <row r="252">
          <cell r="A252" t="str">
            <v>81.192.11.172/8443/tls-untrusted-ca</v>
          </cell>
          <cell r="B252" t="str">
            <v>Ext-04/20</v>
          </cell>
          <cell r="C252" t="str">
            <v>81.192.11.172</v>
          </cell>
          <cell r="D252" t="str">
            <v>10.8.0.22</v>
          </cell>
          <cell r="F252" t="str">
            <v>UNIX</v>
          </cell>
          <cell r="G252" t="str">
            <v>Network</v>
          </cell>
          <cell r="H252" t="str">
            <v>Fixed</v>
          </cell>
        </row>
        <row r="253">
          <cell r="A253" t="str">
            <v>81.192.11.172/8443/tlsv1_0-enabled</v>
          </cell>
          <cell r="B253" t="str">
            <v>Ext-04/20</v>
          </cell>
          <cell r="C253" t="str">
            <v>81.192.11.172</v>
          </cell>
          <cell r="D253" t="str">
            <v>10.8.0.22</v>
          </cell>
          <cell r="F253" t="str">
            <v>UNIX</v>
          </cell>
          <cell r="G253" t="str">
            <v>Unix</v>
          </cell>
          <cell r="H253" t="str">
            <v>Fixed</v>
          </cell>
        </row>
        <row r="254">
          <cell r="A254" t="str">
            <v>81.192.11.172/8443/tlsv1_1-enabled</v>
          </cell>
          <cell r="B254" t="str">
            <v>Ext-04/20</v>
          </cell>
          <cell r="C254" t="str">
            <v>81.192.11.172</v>
          </cell>
          <cell r="D254" t="str">
            <v>10.8.0.22</v>
          </cell>
          <cell r="F254" t="str">
            <v>UNIX</v>
          </cell>
          <cell r="G254" t="str">
            <v>Network</v>
          </cell>
          <cell r="H254" t="str">
            <v>Fixed</v>
          </cell>
        </row>
        <row r="255">
          <cell r="A255" t="str">
            <v>81.192.11.174/0/generic-tcp-timestamp</v>
          </cell>
          <cell r="B255" t="str">
            <v>Ext-04/20</v>
          </cell>
          <cell r="C255" t="str">
            <v>81.192.11.174</v>
          </cell>
          <cell r="D255" t="str">
            <v>10.9.0.11</v>
          </cell>
          <cell r="E255" t="str">
            <v>SIPTF Mobile Prod - Ossol</v>
          </cell>
          <cell r="F255" t="str">
            <v>UNIX / 10.250.251.1</v>
          </cell>
          <cell r="G255" t="str">
            <v>Unix</v>
          </cell>
          <cell r="H255" t="str">
            <v>Fixed</v>
          </cell>
        </row>
        <row r="256">
          <cell r="A256" t="str">
            <v>81.192.11.174/443/http-generic-browsable-dir</v>
          </cell>
          <cell r="B256" t="str">
            <v>Ext-08/20</v>
          </cell>
          <cell r="C256" t="str">
            <v>81.192.11.174</v>
          </cell>
          <cell r="D256" t="str">
            <v>10.9.0.11</v>
          </cell>
          <cell r="E256" t="str">
            <v>SIPTF Mobile Prod - Ossol</v>
          </cell>
          <cell r="F256" t="str">
            <v>UNIX / 10.250.251.1</v>
          </cell>
          <cell r="G256" t="str">
            <v>Unix</v>
          </cell>
          <cell r="H256" t="str">
            <v>Not Fixed</v>
          </cell>
        </row>
        <row r="257">
          <cell r="A257" t="str">
            <v>81.192.11.174/443/jquery-cve-2019-11358</v>
          </cell>
          <cell r="B257" t="str">
            <v>Ext-07/20</v>
          </cell>
          <cell r="C257" t="str">
            <v>81.192.11.174</v>
          </cell>
          <cell r="D257" t="str">
            <v>10.9.0.11</v>
          </cell>
          <cell r="E257" t="str">
            <v>SIPTF Mobile Prod - Ossol</v>
          </cell>
          <cell r="F257" t="str">
            <v>UNIX / 10.250.251.1</v>
          </cell>
          <cell r="G257" t="str">
            <v>Unix</v>
          </cell>
          <cell r="H257" t="str">
            <v>In Progress</v>
          </cell>
        </row>
        <row r="258">
          <cell r="A258" t="str">
            <v>81.192.11.174/443/jquery-cve-2020-11022</v>
          </cell>
          <cell r="B258" t="str">
            <v>Ext-07/20</v>
          </cell>
          <cell r="C258" t="str">
            <v>81.192.11.174</v>
          </cell>
          <cell r="D258" t="str">
            <v>10.9.0.11</v>
          </cell>
          <cell r="E258" t="str">
            <v>SIPTF Mobile Prod - Ossol</v>
          </cell>
          <cell r="F258" t="str">
            <v>UNIX / 10.250.251.1</v>
          </cell>
          <cell r="G258" t="str">
            <v>Unix</v>
          </cell>
          <cell r="H258" t="str">
            <v>In Progress</v>
          </cell>
        </row>
        <row r="259">
          <cell r="A259" t="str">
            <v>81.192.11.174/443/jquery-cve-2020-11023</v>
          </cell>
          <cell r="B259" t="str">
            <v>Ext-07/20</v>
          </cell>
          <cell r="C259" t="str">
            <v>81.192.11.174</v>
          </cell>
          <cell r="D259" t="str">
            <v>10.9.0.11</v>
          </cell>
          <cell r="E259" t="str">
            <v>SIPTF Mobile Prod - Ossol</v>
          </cell>
          <cell r="F259" t="str">
            <v>UNIX / 10.250.251.1</v>
          </cell>
          <cell r="G259" t="str">
            <v>Unix</v>
          </cell>
          <cell r="H259" t="str">
            <v>In Progress</v>
          </cell>
        </row>
        <row r="260">
          <cell r="A260" t="str">
            <v>81.192.11.174/443/ssl-3des-ciphers</v>
          </cell>
          <cell r="B260" t="str">
            <v>Ext-07/20</v>
          </cell>
          <cell r="C260" t="str">
            <v>81.192.11.174</v>
          </cell>
          <cell r="D260" t="str">
            <v>10.9.0.11</v>
          </cell>
          <cell r="E260" t="str">
            <v>SIPTF Mobile Prod - Ossol</v>
          </cell>
          <cell r="F260" t="str">
            <v>UNIX / 10.250.251.1</v>
          </cell>
          <cell r="G260" t="str">
            <v>Unix</v>
          </cell>
          <cell r="H260" t="str">
            <v>In Progress</v>
          </cell>
        </row>
        <row r="261">
          <cell r="A261" t="str">
            <v>81.192.11.174/443/ssl-cve-2011-3389-beast</v>
          </cell>
          <cell r="B261" t="str">
            <v>Ext-07/20</v>
          </cell>
          <cell r="C261" t="str">
            <v>81.192.11.174</v>
          </cell>
          <cell r="D261" t="str">
            <v>10.9.0.11</v>
          </cell>
          <cell r="E261" t="str">
            <v>SIPTF Mobile Prod - Ossol</v>
          </cell>
          <cell r="F261" t="str">
            <v>UNIX / 10.250.251.1</v>
          </cell>
          <cell r="G261" t="str">
            <v>Unix</v>
          </cell>
          <cell r="H261" t="str">
            <v>Not Fixed</v>
          </cell>
        </row>
        <row r="262">
          <cell r="A262" t="str">
            <v>81.192.11.174/443/ssl-cve-2016-2183-sweet32</v>
          </cell>
          <cell r="B262" t="str">
            <v>Ext-07/20</v>
          </cell>
          <cell r="C262" t="str">
            <v>81.192.11.174</v>
          </cell>
          <cell r="D262" t="str">
            <v>10.9.0.11</v>
          </cell>
          <cell r="E262" t="str">
            <v>SIPTF Mobile Prod - Ossol</v>
          </cell>
          <cell r="F262" t="str">
            <v>UNIX / 10.250.251.1</v>
          </cell>
          <cell r="G262" t="str">
            <v>Unix</v>
          </cell>
          <cell r="H262" t="str">
            <v>Not Fixed</v>
          </cell>
        </row>
        <row r="263">
          <cell r="A263" t="str">
            <v>81.192.11.174/443/ssl-static-key-ciphers</v>
          </cell>
          <cell r="B263" t="str">
            <v>Ext-07/20</v>
          </cell>
          <cell r="C263" t="str">
            <v>81.192.11.174</v>
          </cell>
          <cell r="D263" t="str">
            <v>10.9.0.11</v>
          </cell>
          <cell r="E263" t="str">
            <v>SIPTF Mobile Prod - Ossol</v>
          </cell>
          <cell r="F263" t="str">
            <v>UNIX / 10.250.251.1</v>
          </cell>
          <cell r="G263" t="str">
            <v>Unix</v>
          </cell>
          <cell r="H263" t="str">
            <v>In Progress</v>
          </cell>
        </row>
        <row r="264">
          <cell r="A264" t="str">
            <v>81.192.11.174/443/tlsv1_0-enabled</v>
          </cell>
          <cell r="B264" t="str">
            <v>Ext-07/20</v>
          </cell>
          <cell r="C264" t="str">
            <v>81.192.11.174</v>
          </cell>
          <cell r="D264" t="str">
            <v>10.9.0.11</v>
          </cell>
          <cell r="E264" t="str">
            <v>SIPTF Mobile Prod - Ossol</v>
          </cell>
          <cell r="F264" t="str">
            <v>UNIX / 10.250.251.1</v>
          </cell>
          <cell r="G264" t="str">
            <v>Unix</v>
          </cell>
          <cell r="H264" t="str">
            <v>Not Fixed</v>
          </cell>
        </row>
        <row r="265">
          <cell r="A265" t="str">
            <v>81.192.11.174/443/tlsv1_1-enabled</v>
          </cell>
          <cell r="B265" t="str">
            <v>Ext-07/20</v>
          </cell>
          <cell r="C265" t="str">
            <v>81.192.11.174</v>
          </cell>
          <cell r="D265" t="str">
            <v>10.9.0.11</v>
          </cell>
          <cell r="E265" t="str">
            <v>SIPTF Mobile Prod - Ossol</v>
          </cell>
          <cell r="F265" t="str">
            <v>UNIX / 10.250.251.1</v>
          </cell>
          <cell r="G265" t="str">
            <v>Unix</v>
          </cell>
          <cell r="H265" t="str">
            <v>In Progress</v>
          </cell>
        </row>
        <row r="266">
          <cell r="A266" t="str">
            <v>81.192.11.181/0/generic-tcp-timestamp</v>
          </cell>
          <cell r="B266" t="str">
            <v>Ext-04/20</v>
          </cell>
          <cell r="C266" t="str">
            <v>81.192.11.181</v>
          </cell>
          <cell r="D266" t="str">
            <v>10.9.0.124</v>
          </cell>
          <cell r="E266" t="str">
            <v>POC Azure SharePoint</v>
          </cell>
          <cell r="F266" t="str">
            <v>Windows / 10.250.232.2</v>
          </cell>
          <cell r="G266" t="str">
            <v>Client</v>
          </cell>
          <cell r="H266" t="str">
            <v>Fixed</v>
          </cell>
        </row>
        <row r="267">
          <cell r="A267" t="str">
            <v>81.192.11.181/443/certificate-common-name-mismatch</v>
          </cell>
          <cell r="B267" t="str">
            <v>Ext-05/20</v>
          </cell>
          <cell r="C267" t="str">
            <v>81.192.11.181</v>
          </cell>
          <cell r="D267" t="str">
            <v>10.9.0.124</v>
          </cell>
          <cell r="E267" t="str">
            <v>POC Azure SharePoint</v>
          </cell>
          <cell r="F267" t="str">
            <v>Windows / 10.250.232.2</v>
          </cell>
          <cell r="G267" t="str">
            <v>Client</v>
          </cell>
          <cell r="H267" t="str">
            <v>Faux Positive</v>
          </cell>
        </row>
        <row r="268">
          <cell r="A268" t="str">
            <v>81.192.11.181/443/ssl-3des-ciphers</v>
          </cell>
          <cell r="B268" t="str">
            <v>Ext-04/20</v>
          </cell>
          <cell r="C268" t="str">
            <v>81.192.11.181</v>
          </cell>
          <cell r="D268" t="str">
            <v>10.9.0.124</v>
          </cell>
          <cell r="E268" t="str">
            <v>POC Azure SharePoint</v>
          </cell>
          <cell r="F268" t="str">
            <v>Windows / 10.250.232.2</v>
          </cell>
          <cell r="G268" t="str">
            <v>Client</v>
          </cell>
          <cell r="H268" t="str">
            <v>Not Fixed</v>
          </cell>
        </row>
        <row r="269">
          <cell r="A269" t="str">
            <v>81.192.11.181/443/ssl-cve-2016-2183-sweet32</v>
          </cell>
          <cell r="B269" t="str">
            <v>Ext-04/20</v>
          </cell>
          <cell r="C269" t="str">
            <v>81.192.11.181</v>
          </cell>
          <cell r="D269" t="str">
            <v>10.9.0.124</v>
          </cell>
          <cell r="E269" t="str">
            <v>POC Azure SharePoint</v>
          </cell>
          <cell r="F269" t="str">
            <v>Windows / 10.250.232.2</v>
          </cell>
          <cell r="G269" t="str">
            <v>Client</v>
          </cell>
          <cell r="H269" t="str">
            <v>Not Fixed</v>
          </cell>
        </row>
        <row r="270">
          <cell r="A270" t="str">
            <v>81.192.11.181/443/ssl-static-key-ciphers</v>
          </cell>
          <cell r="B270" t="str">
            <v>Ext-04/20</v>
          </cell>
          <cell r="C270" t="str">
            <v>81.192.11.181</v>
          </cell>
          <cell r="D270" t="str">
            <v>10.9.0.124</v>
          </cell>
          <cell r="E270" t="str">
            <v>POC Azure SharePoint</v>
          </cell>
          <cell r="F270" t="str">
            <v>Windows / 10.250.232.2</v>
          </cell>
          <cell r="G270" t="str">
            <v>Client</v>
          </cell>
          <cell r="H270" t="str">
            <v>Not Fixed</v>
          </cell>
        </row>
        <row r="271">
          <cell r="A271" t="str">
            <v>81.192.11.181/443/tls-server-cert-to-expire</v>
          </cell>
          <cell r="B271" t="str">
            <v>Ext-08/20</v>
          </cell>
          <cell r="C271" t="str">
            <v>81.192.11.181</v>
          </cell>
          <cell r="D271" t="str">
            <v>10.9.0.124</v>
          </cell>
          <cell r="E271" t="str">
            <v>POC Azure SharePoint</v>
          </cell>
          <cell r="F271" t="str">
            <v>Windows / 10.250.232.2</v>
          </cell>
          <cell r="G271" t="str">
            <v>Client</v>
          </cell>
          <cell r="H271" t="str">
            <v>Fixed</v>
          </cell>
        </row>
        <row r="272">
          <cell r="A272" t="str">
            <v>81.192.11.182/0/generic-tcp-timestamp</v>
          </cell>
          <cell r="B272" t="str">
            <v>Ext-04/20</v>
          </cell>
          <cell r="C272" t="str">
            <v>81.192.11.182</v>
          </cell>
          <cell r="D272" t="str">
            <v>10.9.0.120</v>
          </cell>
          <cell r="E272" t="str">
            <v>PARAPHEUR ELECTRONIQUE</v>
          </cell>
          <cell r="F272" t="str">
            <v>10.250.251.16</v>
          </cell>
          <cell r="G272" t="str">
            <v>Client</v>
          </cell>
          <cell r="H272" t="str">
            <v>Fixed</v>
          </cell>
        </row>
        <row r="273">
          <cell r="A273" t="str">
            <v>81.192.11.182/443/certificate-common-name-mismatch</v>
          </cell>
          <cell r="B273" t="str">
            <v>Ext-05/20</v>
          </cell>
          <cell r="C273" t="str">
            <v>81.192.11.182</v>
          </cell>
          <cell r="D273" t="str">
            <v>10.9.0.120</v>
          </cell>
          <cell r="E273" t="str">
            <v>PARAPHEUR ELECTRONIQUE</v>
          </cell>
          <cell r="F273" t="str">
            <v>10.250.251.16</v>
          </cell>
          <cell r="G273" t="str">
            <v>Client</v>
          </cell>
          <cell r="H273" t="str">
            <v>Faux Positive</v>
          </cell>
        </row>
        <row r="274">
          <cell r="A274" t="str">
            <v>81.192.11.182/443/ssl-3des-ciphers</v>
          </cell>
          <cell r="B274" t="str">
            <v>Ext-04/20</v>
          </cell>
          <cell r="C274" t="str">
            <v>81.192.11.182</v>
          </cell>
          <cell r="D274" t="str">
            <v>10.9.0.120</v>
          </cell>
          <cell r="E274" t="str">
            <v>PARAPHEUR ELECTRONIQUE</v>
          </cell>
          <cell r="F274" t="str">
            <v>10.250.251.16</v>
          </cell>
          <cell r="G274" t="str">
            <v>Client</v>
          </cell>
          <cell r="H274" t="str">
            <v>In Progress</v>
          </cell>
        </row>
        <row r="275">
          <cell r="A275" t="str">
            <v>81.192.11.182/443/ssl-cve-2016-2183-sweet32</v>
          </cell>
          <cell r="B275" t="str">
            <v>Ext-04/20</v>
          </cell>
          <cell r="C275" t="str">
            <v>81.192.11.182</v>
          </cell>
          <cell r="D275" t="str">
            <v>10.9.0.120</v>
          </cell>
          <cell r="E275" t="str">
            <v>PARAPHEUR ELECTRONIQUE</v>
          </cell>
          <cell r="F275" t="str">
            <v>10.250.251.16</v>
          </cell>
          <cell r="G275" t="str">
            <v>Client</v>
          </cell>
          <cell r="H275" t="str">
            <v>In Progress</v>
          </cell>
        </row>
        <row r="276">
          <cell r="A276" t="str">
            <v>81.192.11.182/443/ssl-static-key-ciphers</v>
          </cell>
          <cell r="B276" t="str">
            <v>Ext-04/20</v>
          </cell>
          <cell r="C276" t="str">
            <v>81.192.11.182</v>
          </cell>
          <cell r="D276" t="str">
            <v>10.9.0.120</v>
          </cell>
          <cell r="E276" t="str">
            <v>PARAPHEUR ELECTRONIQUE</v>
          </cell>
          <cell r="F276" t="str">
            <v>10.250.251.16</v>
          </cell>
          <cell r="G276" t="str">
            <v>Client</v>
          </cell>
          <cell r="H276" t="str">
            <v>In Progress</v>
          </cell>
        </row>
        <row r="277">
          <cell r="A277" t="str">
            <v>81.192.11.182/443/tls-server-cert-to-expire</v>
          </cell>
          <cell r="B277" t="str">
            <v>Ext-08/20</v>
          </cell>
          <cell r="C277" t="str">
            <v>81.192.11.182</v>
          </cell>
          <cell r="D277" t="str">
            <v>10.9.0.120</v>
          </cell>
          <cell r="E277" t="str">
            <v>PARAPHEUR ELECTRONIQUE</v>
          </cell>
          <cell r="F277" t="str">
            <v>10.250.251.16</v>
          </cell>
          <cell r="G277" t="str">
            <v>Client</v>
          </cell>
          <cell r="H277" t="str">
            <v>Fixed</v>
          </cell>
        </row>
        <row r="278">
          <cell r="A278" t="str">
            <v>81.192.11.183/0/generic-tcp-timestamp</v>
          </cell>
          <cell r="B278" t="str">
            <v>Ext-04/20</v>
          </cell>
          <cell r="C278" t="str">
            <v>81.192.11.183</v>
          </cell>
          <cell r="D278" t="str">
            <v>10.9.0.122</v>
          </cell>
          <cell r="E278" t="str">
            <v>Signature (Parapheur)</v>
          </cell>
          <cell r="F278" t="str">
            <v>10.250.251.16</v>
          </cell>
          <cell r="G278" t="str">
            <v>Client</v>
          </cell>
          <cell r="H278" t="str">
            <v>Fixed</v>
          </cell>
        </row>
        <row r="279">
          <cell r="A279" t="str">
            <v>81.192.11.183/443/certificate-common-name-mismatch</v>
          </cell>
          <cell r="B279" t="str">
            <v>Ext-05/20</v>
          </cell>
          <cell r="C279" t="str">
            <v>81.192.11.183</v>
          </cell>
          <cell r="D279" t="str">
            <v>10.9.0.122</v>
          </cell>
          <cell r="E279" t="str">
            <v>Signature (Parapheur)</v>
          </cell>
          <cell r="F279" t="str">
            <v>10.250.251.16</v>
          </cell>
          <cell r="G279" t="str">
            <v>Client</v>
          </cell>
          <cell r="H279" t="str">
            <v>Faux Positive</v>
          </cell>
        </row>
        <row r="280">
          <cell r="A280" t="str">
            <v>81.192.11.183/443/http-generic-browsable-dir</v>
          </cell>
          <cell r="B280" t="str">
            <v>Ext-05/20</v>
          </cell>
          <cell r="C280" t="str">
            <v>81.192.11.183</v>
          </cell>
          <cell r="D280" t="str">
            <v>10.9.0.122</v>
          </cell>
          <cell r="E280" t="str">
            <v>Signature (Parapheur)</v>
          </cell>
          <cell r="F280" t="str">
            <v>10.250.251.16</v>
          </cell>
          <cell r="G280" t="str">
            <v>Client</v>
          </cell>
          <cell r="H280" t="str">
            <v>Not Fixed</v>
          </cell>
        </row>
        <row r="281">
          <cell r="A281" t="str">
            <v>81.192.11.183/443/ssl-3des-ciphers</v>
          </cell>
          <cell r="B281" t="str">
            <v>Ext-04/20</v>
          </cell>
          <cell r="C281" t="str">
            <v>81.192.11.183</v>
          </cell>
          <cell r="D281" t="str">
            <v>10.9.0.122</v>
          </cell>
          <cell r="E281" t="str">
            <v>Signature (Parapheur)</v>
          </cell>
          <cell r="F281" t="str">
            <v>10.250.251.16</v>
          </cell>
          <cell r="G281" t="str">
            <v>Client</v>
          </cell>
          <cell r="H281" t="str">
            <v>In Progress</v>
          </cell>
        </row>
        <row r="282">
          <cell r="A282" t="str">
            <v>81.192.11.183/443/ssl-cve-2016-2183-sweet32</v>
          </cell>
          <cell r="B282" t="str">
            <v>Ext-04/20</v>
          </cell>
          <cell r="C282" t="str">
            <v>81.192.11.183</v>
          </cell>
          <cell r="D282" t="str">
            <v>10.9.0.122</v>
          </cell>
          <cell r="E282" t="str">
            <v>Signature (Parapheur)</v>
          </cell>
          <cell r="F282" t="str">
            <v>10.250.251.16</v>
          </cell>
          <cell r="G282" t="str">
            <v>Client</v>
          </cell>
          <cell r="H282" t="str">
            <v>Not Fixed</v>
          </cell>
        </row>
        <row r="283">
          <cell r="A283" t="str">
            <v>81.192.11.183/443/ssl-static-key-ciphers</v>
          </cell>
          <cell r="B283" t="str">
            <v>Ext-04/20</v>
          </cell>
          <cell r="C283" t="str">
            <v>81.192.11.183</v>
          </cell>
          <cell r="D283" t="str">
            <v>10.9.0.122</v>
          </cell>
          <cell r="E283" t="str">
            <v>Signature (Parapheur)</v>
          </cell>
          <cell r="F283" t="str">
            <v>10.250.251.16</v>
          </cell>
          <cell r="G283" t="str">
            <v>Client</v>
          </cell>
          <cell r="H283" t="str">
            <v>In Progress</v>
          </cell>
        </row>
        <row r="284">
          <cell r="A284" t="str">
            <v>81.192.11.183/443/tls-server-cert-to-expire</v>
          </cell>
          <cell r="B284" t="str">
            <v>Ext-08/20</v>
          </cell>
          <cell r="C284" t="str">
            <v>81.192.11.183</v>
          </cell>
          <cell r="D284" t="str">
            <v>10.9.0.122</v>
          </cell>
          <cell r="E284" t="str">
            <v>Signature (Parapheur)</v>
          </cell>
          <cell r="F284" t="str">
            <v>10.250.251.16</v>
          </cell>
          <cell r="G284" t="str">
            <v>Client</v>
          </cell>
          <cell r="H284" t="str">
            <v>Fixed</v>
          </cell>
        </row>
        <row r="285">
          <cell r="A285" t="str">
            <v>81.192.11.184/0/generic-tcp-timestamp</v>
          </cell>
          <cell r="B285" t="str">
            <v>Ext-04/20</v>
          </cell>
          <cell r="C285" t="str">
            <v>81.192.11.184</v>
          </cell>
          <cell r="D285" t="str">
            <v>10.9.0.21</v>
          </cell>
          <cell r="E285" t="str">
            <v>Bureau d'Ordre Electronique</v>
          </cell>
          <cell r="F285" t="str">
            <v>10.250.251.16</v>
          </cell>
          <cell r="G285" t="str">
            <v>Client</v>
          </cell>
          <cell r="H285" t="str">
            <v>Fixed</v>
          </cell>
        </row>
        <row r="286">
          <cell r="A286" t="str">
            <v>81.192.11.184/443/certificate-common-name-mismatch</v>
          </cell>
          <cell r="B286" t="str">
            <v>Ext-05/20</v>
          </cell>
          <cell r="C286" t="str">
            <v>81.192.11.184</v>
          </cell>
          <cell r="D286" t="str">
            <v>10.9.0.21</v>
          </cell>
          <cell r="E286" t="str">
            <v>Bureau d'Ordre Electronique</v>
          </cell>
          <cell r="F286" t="str">
            <v>10.250.251.16</v>
          </cell>
          <cell r="G286" t="str">
            <v>Client</v>
          </cell>
          <cell r="H286" t="str">
            <v>Faux Positive</v>
          </cell>
        </row>
        <row r="287">
          <cell r="A287" t="str">
            <v>81.192.11.184/443/tls-server-cert-to-expire</v>
          </cell>
          <cell r="B287" t="str">
            <v>Ext-08/20</v>
          </cell>
          <cell r="C287" t="str">
            <v>81.192.11.184</v>
          </cell>
          <cell r="D287" t="str">
            <v>10.9.0.21</v>
          </cell>
          <cell r="E287" t="str">
            <v>Bureau d'Ordre Electronique</v>
          </cell>
          <cell r="F287" t="str">
            <v>10.250.251.16</v>
          </cell>
          <cell r="G287" t="str">
            <v>Client</v>
          </cell>
          <cell r="H287" t="str">
            <v>Fixed</v>
          </cell>
        </row>
        <row r="288">
          <cell r="A288" t="str">
            <v>81.192.11.187/0/generic-tcp-timestamp</v>
          </cell>
          <cell r="B288" t="str">
            <v>Ext-10/20</v>
          </cell>
          <cell r="C288" t="str">
            <v>81.192.11.187</v>
          </cell>
          <cell r="D288" t="str">
            <v>10.8.0.51
10.9.0.61</v>
          </cell>
          <cell r="E288" t="str">
            <v xml:space="preserve">	PCDG-WFOND	</v>
          </cell>
          <cell r="F288" t="str">
            <v>UNIX</v>
          </cell>
          <cell r="G288" t="str">
            <v>NA</v>
          </cell>
          <cell r="H288" t="str">
            <v>Not Fixed</v>
          </cell>
        </row>
        <row r="289">
          <cell r="A289" t="str">
            <v>81.192.11.187/443/certificate-common-name-mismatch</v>
          </cell>
          <cell r="B289" t="str">
            <v>Ext-06/20</v>
          </cell>
          <cell r="C289" t="str">
            <v>81.192.11.187</v>
          </cell>
          <cell r="D289" t="str">
            <v>10.8.0.51
10.9.0.61</v>
          </cell>
          <cell r="E289" t="str">
            <v xml:space="preserve">	PCDG-WFOND	</v>
          </cell>
          <cell r="F289" t="str">
            <v>UNIX</v>
          </cell>
          <cell r="G289" t="str">
            <v>NA</v>
          </cell>
          <cell r="H289" t="str">
            <v>Faux Positive</v>
          </cell>
        </row>
        <row r="290">
          <cell r="A290" t="str">
            <v>81.192.11.187/443/http-options-method-enabled</v>
          </cell>
          <cell r="B290" t="str">
            <v>Ext-06/20</v>
          </cell>
          <cell r="C290" t="str">
            <v>81.192.11.187</v>
          </cell>
          <cell r="D290" t="str">
            <v>10.8.0.51
10.9.0.61</v>
          </cell>
          <cell r="E290" t="str">
            <v xml:space="preserve">	PCDG-WFOND	</v>
          </cell>
          <cell r="F290" t="str">
            <v>UNIX</v>
          </cell>
          <cell r="G290" t="str">
            <v>NA</v>
          </cell>
          <cell r="H290" t="str">
            <v>Not Fixed</v>
          </cell>
        </row>
        <row r="291">
          <cell r="A291" t="str">
            <v>81.192.11.187/443/ssl-3des-ciphers</v>
          </cell>
          <cell r="B291" t="str">
            <v>Ext-06/20</v>
          </cell>
          <cell r="C291" t="str">
            <v>81.192.11.187</v>
          </cell>
          <cell r="D291" t="str">
            <v>10.8.0.51
10.9.0.61</v>
          </cell>
          <cell r="E291" t="str">
            <v xml:space="preserve">	PCDG-WFOND	</v>
          </cell>
          <cell r="F291" t="str">
            <v>UNIX</v>
          </cell>
          <cell r="G291" t="str">
            <v>NA</v>
          </cell>
          <cell r="H291" t="str">
            <v>Fixed</v>
          </cell>
        </row>
        <row r="292">
          <cell r="A292" t="str">
            <v>81.192.11.187/443/ssl-cve-2011-3389-beast</v>
          </cell>
          <cell r="B292" t="str">
            <v>Ext-06/20</v>
          </cell>
          <cell r="C292" t="str">
            <v>81.192.11.187</v>
          </cell>
          <cell r="D292" t="str">
            <v>10.8.0.51
10.9.0.61</v>
          </cell>
          <cell r="E292" t="str">
            <v xml:space="preserve">	PCDG-WFOND	</v>
          </cell>
          <cell r="F292" t="str">
            <v>UNIX</v>
          </cell>
          <cell r="G292" t="str">
            <v>NA</v>
          </cell>
          <cell r="H292" t="str">
            <v>Fixed</v>
          </cell>
        </row>
        <row r="293">
          <cell r="A293" t="str">
            <v>81.192.11.187/443/ssl-cve-2016-2183-sweet32</v>
          </cell>
          <cell r="B293" t="str">
            <v>Ext-06/20</v>
          </cell>
          <cell r="C293" t="str">
            <v>81.192.11.187</v>
          </cell>
          <cell r="D293" t="str">
            <v>10.8.0.51
10.9.0.61</v>
          </cell>
          <cell r="E293" t="str">
            <v xml:space="preserve">	PCDG-WFOND	</v>
          </cell>
          <cell r="F293" t="str">
            <v>UNIX</v>
          </cell>
          <cell r="G293" t="str">
            <v>NA</v>
          </cell>
          <cell r="H293" t="str">
            <v>Fixed</v>
          </cell>
        </row>
        <row r="294">
          <cell r="A294" t="str">
            <v>81.192.11.187/443/ssl-static-key-ciphers</v>
          </cell>
          <cell r="B294" t="str">
            <v>Ext-06/20</v>
          </cell>
          <cell r="C294" t="str">
            <v>81.192.11.187</v>
          </cell>
          <cell r="D294" t="str">
            <v>10.8.0.51
10.9.0.61</v>
          </cell>
          <cell r="E294" t="str">
            <v xml:space="preserve">	PCDG-WFOND	</v>
          </cell>
          <cell r="F294" t="str">
            <v>UNIX</v>
          </cell>
          <cell r="G294" t="str">
            <v>NA</v>
          </cell>
          <cell r="H294" t="str">
            <v>Fixed</v>
          </cell>
        </row>
        <row r="295">
          <cell r="A295" t="str">
            <v>81.192.11.187/443/tls-server-cert-to-expire</v>
          </cell>
          <cell r="B295" t="str">
            <v>Ext-08/20</v>
          </cell>
          <cell r="C295" t="str">
            <v>81.192.11.187</v>
          </cell>
          <cell r="D295" t="str">
            <v>10.8.0.51
10.9.0.61</v>
          </cell>
          <cell r="E295" t="str">
            <v xml:space="preserve">	PCDG-WFOND	</v>
          </cell>
          <cell r="F295" t="str">
            <v>UNIX</v>
          </cell>
          <cell r="G295" t="str">
            <v>Unix</v>
          </cell>
          <cell r="H295" t="str">
            <v>Fixed</v>
          </cell>
        </row>
        <row r="296">
          <cell r="A296" t="str">
            <v>81.192.11.187/443/tlsv1_0-enabled</v>
          </cell>
          <cell r="B296" t="str">
            <v>Ext-06/20</v>
          </cell>
          <cell r="C296" t="str">
            <v>81.192.11.187</v>
          </cell>
          <cell r="D296" t="str">
            <v>10.8.0.51
10.9.0.61</v>
          </cell>
          <cell r="E296" t="str">
            <v xml:space="preserve">	PCDG-WFOND	</v>
          </cell>
          <cell r="F296" t="str">
            <v>UNIX</v>
          </cell>
          <cell r="G296" t="str">
            <v>NA</v>
          </cell>
          <cell r="H296" t="str">
            <v>Fixed</v>
          </cell>
        </row>
        <row r="297">
          <cell r="A297" t="str">
            <v>81.192.11.187/443/tlsv1_1-enabled</v>
          </cell>
          <cell r="B297" t="str">
            <v>Ext-06/20</v>
          </cell>
          <cell r="C297" t="str">
            <v>81.192.11.187</v>
          </cell>
          <cell r="D297" t="str">
            <v>10.8.0.51
10.9.0.61</v>
          </cell>
          <cell r="E297" t="str">
            <v xml:space="preserve">	PCDG-WFOND	</v>
          </cell>
          <cell r="F297" t="str">
            <v>UNIX</v>
          </cell>
          <cell r="G297" t="str">
            <v>NA</v>
          </cell>
          <cell r="H297" t="str">
            <v>Fixed</v>
          </cell>
        </row>
        <row r="298">
          <cell r="A298" t="str">
            <v>81.192.11.162/80/http-generic-script-blind-sql-injection</v>
          </cell>
          <cell r="B298" t="str">
            <v>Ext-11/20</v>
          </cell>
          <cell r="C298" t="str">
            <v>81.192.11.162</v>
          </cell>
          <cell r="D298" t="str">
            <v>10.8.0.72</v>
          </cell>
          <cell r="E298" t="str">
            <v xml:space="preserve"> Site Web CGI</v>
          </cell>
          <cell r="F298" t="str">
            <v>Unix</v>
          </cell>
          <cell r="G298" t="str">
            <v>Unix</v>
          </cell>
          <cell r="H298" t="str">
            <v>New</v>
          </cell>
        </row>
        <row r="299">
          <cell r="A299" t="str">
            <v>81.192.11.154/0/drupal-cve-2020-13671</v>
          </cell>
          <cell r="B299" t="str">
            <v>Ext-11/20</v>
          </cell>
          <cell r="C299" t="str">
            <v>81.192.11.154</v>
          </cell>
          <cell r="D299" t="str">
            <v>10.8.0.51
10.9.0.61</v>
          </cell>
          <cell r="E299" t="str">
            <v xml:space="preserve"> Site Web Fondation</v>
          </cell>
          <cell r="F299" t="str">
            <v>Unix</v>
          </cell>
          <cell r="G299" t="str">
            <v>Unix</v>
          </cell>
          <cell r="H299" t="str">
            <v>New</v>
          </cell>
        </row>
        <row r="300">
          <cell r="A300" t="str">
            <v>81.192.11.151/0/drupal-cve-2020-13671</v>
          </cell>
          <cell r="B300" t="str">
            <v>Ext-11/20</v>
          </cell>
          <cell r="C300" t="str">
            <v>81.192.11.151</v>
          </cell>
          <cell r="D300" t="str">
            <v>10.8.0.54
10.9.0.31</v>
          </cell>
          <cell r="E300" t="str">
            <v xml:space="preserve"> Site web CDG</v>
          </cell>
          <cell r="F300" t="str">
            <v>Unix</v>
          </cell>
          <cell r="G300" t="str">
            <v>Unix</v>
          </cell>
          <cell r="H300" t="str">
            <v>New</v>
          </cell>
        </row>
        <row r="301">
          <cell r="A301" t="str">
            <v>81.192.11.165/443/tls-server-cert-expired</v>
          </cell>
          <cell r="B301" t="str">
            <v>Ext-11/20</v>
          </cell>
          <cell r="C301" t="str">
            <v>81.192.11.165</v>
          </cell>
          <cell r="D301" t="str">
            <v>10.8.0.48
10.9.0.113</v>
          </cell>
          <cell r="E301" t="str">
            <v xml:space="preserve"> FIPAR</v>
          </cell>
          <cell r="F301" t="str">
            <v>Unix</v>
          </cell>
          <cell r="G301" t="str">
            <v>Unix</v>
          </cell>
          <cell r="H301" t="str">
            <v>New</v>
          </cell>
        </row>
        <row r="302">
          <cell r="A302" t="str">
            <v>81.192.11.157/443/tls-server-cert-to-expire</v>
          </cell>
          <cell r="B302" t="str">
            <v>Ext-11/20</v>
          </cell>
          <cell r="C302" t="str">
            <v>81.192.11.157</v>
          </cell>
          <cell r="D302" t="str">
            <v>10.9.0.3-10.250.251.4</v>
          </cell>
          <cell r="E302" t="str">
            <v xml:space="preserve"> E-Hakama </v>
          </cell>
          <cell r="F302" t="str">
            <v>Unix</v>
          </cell>
          <cell r="G302" t="str">
            <v>Unix</v>
          </cell>
          <cell r="H302" t="str">
            <v>New</v>
          </cell>
        </row>
        <row r="303">
          <cell r="A303" t="str">
            <v>81.192.11.174/443/tls-server-cert-to-expire</v>
          </cell>
          <cell r="B303" t="str">
            <v>Ext-11/20</v>
          </cell>
          <cell r="C303" t="str">
            <v>81.192.11.174</v>
          </cell>
          <cell r="D303" t="str">
            <v>10.9.0.11-10.250.251.1</v>
          </cell>
          <cell r="E303" t="str">
            <v xml:space="preserve"> SIPTF Mobile Prod - Ossol</v>
          </cell>
          <cell r="F303" t="str">
            <v>Unix</v>
          </cell>
          <cell r="G303" t="str">
            <v>Unix</v>
          </cell>
          <cell r="H303" t="str">
            <v>New</v>
          </cell>
        </row>
        <row r="304">
          <cell r="A304" t="str">
            <v>81.192.11.140/25/tls-untrusted-ca</v>
          </cell>
          <cell r="B304" t="str">
            <v>Ext-11/20</v>
          </cell>
          <cell r="C304" t="str">
            <v>81.192.11.140</v>
          </cell>
          <cell r="D304" t="str">
            <v>10.8.0.8</v>
          </cell>
          <cell r="E304" t="str">
            <v xml:space="preserve"> Relais DMZ</v>
          </cell>
          <cell r="F304" t="str">
            <v>Wintel</v>
          </cell>
          <cell r="G304" t="str">
            <v>Wintel</v>
          </cell>
          <cell r="H304" t="str">
            <v>New</v>
          </cell>
        </row>
        <row r="305">
          <cell r="A305" t="str">
            <v>81.192.11.165/443/tls-untrusted-ca</v>
          </cell>
          <cell r="B305" t="str">
            <v>Ext-11/20</v>
          </cell>
          <cell r="C305" t="str">
            <v>81.192.11.165</v>
          </cell>
          <cell r="D305" t="str">
            <v>10.8.0.48
10.9.0.113</v>
          </cell>
          <cell r="E305" t="str">
            <v xml:space="preserve"> FIPAR</v>
          </cell>
          <cell r="F305" t="str">
            <v>Unix</v>
          </cell>
          <cell r="G305" t="str">
            <v>Unix</v>
          </cell>
          <cell r="H305" t="str">
            <v>New</v>
          </cell>
        </row>
        <row r="306">
          <cell r="A306" t="str">
            <v>81.192.11.140/25/certificate-common-name-mismatch</v>
          </cell>
          <cell r="B306" t="str">
            <v>Ext-11/20</v>
          </cell>
          <cell r="C306" t="str">
            <v>81.192.11.140</v>
          </cell>
          <cell r="D306" t="str">
            <v>10.8.0.8</v>
          </cell>
          <cell r="E306" t="str">
            <v xml:space="preserve"> Relais DMZ</v>
          </cell>
          <cell r="F306" t="str">
            <v>Wintel</v>
          </cell>
          <cell r="G306" t="str">
            <v>Wintel</v>
          </cell>
          <cell r="H306" t="str">
            <v>New</v>
          </cell>
        </row>
        <row r="307">
          <cell r="A307" t="str">
            <v>81.192.11.140/25/ssl-self-signed-certificate</v>
          </cell>
          <cell r="B307" t="str">
            <v>Ext-11/20</v>
          </cell>
          <cell r="C307" t="str">
            <v>81.192.11.140</v>
          </cell>
          <cell r="D307" t="str">
            <v>10.8.0.8</v>
          </cell>
          <cell r="E307" t="str">
            <v xml:space="preserve"> Relais DMZ</v>
          </cell>
          <cell r="F307" t="str">
            <v>Wintel</v>
          </cell>
          <cell r="G307" t="str">
            <v>Wintel</v>
          </cell>
          <cell r="H307" t="str">
            <v>New</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ternal Scan 02_21"/>
    </sheetNames>
    <sheetDataSet>
      <sheetData sheetId="0" refreshError="1">
        <row r="1">
          <cell r="B1" t="str">
            <v>Date de scan</v>
          </cell>
          <cell r="C1" t="str">
            <v>Asset IP Address</v>
          </cell>
          <cell r="D1" t="str">
            <v>IP Privé</v>
          </cell>
          <cell r="E1" t="str">
            <v>Seveur</v>
          </cell>
          <cell r="F1" t="str">
            <v>Groupe</v>
          </cell>
          <cell r="G1" t="str">
            <v>Owner</v>
          </cell>
          <cell r="H1" t="str">
            <v>Status Fevrier</v>
          </cell>
          <cell r="I1" t="str">
            <v>Status Actuel</v>
          </cell>
          <cell r="J1" t="str">
            <v>Capability</v>
          </cell>
        </row>
        <row r="2">
          <cell r="B2" t="str">
            <v>Ext-02/21</v>
          </cell>
          <cell r="C2" t="str">
            <v>81.192.11.187</v>
          </cell>
          <cell r="D2" t="str">
            <v>10.8.0.51
10.9.0.61</v>
          </cell>
          <cell r="E2" t="str">
            <v xml:space="preserve">	PCDG-WFOND	</v>
          </cell>
          <cell r="F2" t="str">
            <v>UNIX</v>
          </cell>
          <cell r="H2" t="str">
            <v>Faux Positive</v>
          </cell>
          <cell r="I2" t="str">
            <v>Faux Positive</v>
          </cell>
          <cell r="J2" t="str">
            <v>Windows</v>
          </cell>
        </row>
        <row r="3">
          <cell r="B3" t="str">
            <v>Ext-02/21</v>
          </cell>
          <cell r="C3" t="str">
            <v>81.192.11.187</v>
          </cell>
          <cell r="D3" t="str">
            <v>10.8.0.51
10.9.0.61</v>
          </cell>
          <cell r="E3" t="str">
            <v xml:space="preserve">	PCDG-WFOND	</v>
          </cell>
          <cell r="F3" t="str">
            <v>UNIX</v>
          </cell>
          <cell r="H3" t="str">
            <v>Not Fixed</v>
          </cell>
          <cell r="I3" t="str">
            <v>Point remonté au support  microsoft  (TcpTime Stamp)</v>
          </cell>
          <cell r="J3" t="str">
            <v>Windows</v>
          </cell>
        </row>
        <row r="4">
          <cell r="B4" t="str">
            <v>Ext-02/21</v>
          </cell>
          <cell r="C4" t="str">
            <v>81.192.11.184</v>
          </cell>
          <cell r="D4" t="str">
            <v>10.9.0.21</v>
          </cell>
          <cell r="E4" t="str">
            <v>Bureau d'Ordre Electronique</v>
          </cell>
          <cell r="F4" t="str">
            <v>10.250.251.16</v>
          </cell>
          <cell r="G4" t="str">
            <v>Client</v>
          </cell>
          <cell r="H4" t="str">
            <v>Faux Positive</v>
          </cell>
          <cell r="I4" t="str">
            <v>Faux Positive</v>
          </cell>
          <cell r="J4" t="str">
            <v>Windows</v>
          </cell>
        </row>
        <row r="5">
          <cell r="B5" t="str">
            <v>Ext-02/21</v>
          </cell>
          <cell r="C5" t="str">
            <v>81.192.11.183</v>
          </cell>
          <cell r="D5" t="str">
            <v>10.9.0.122</v>
          </cell>
          <cell r="E5" t="str">
            <v>Signature (Parapheur)</v>
          </cell>
          <cell r="F5" t="str">
            <v>10.250.251.16</v>
          </cell>
          <cell r="G5" t="str">
            <v>Client</v>
          </cell>
          <cell r="H5" t="str">
            <v>Not Fixed</v>
          </cell>
          <cell r="I5" t="str">
            <v>Point escaladé à la CDG pour intervention de l'éditeur (Signature parafeur)</v>
          </cell>
          <cell r="J5" t="str">
            <v>Unix</v>
          </cell>
        </row>
        <row r="6">
          <cell r="B6" t="str">
            <v>Ext-02/21</v>
          </cell>
          <cell r="C6" t="str">
            <v>81.192.11.183</v>
          </cell>
          <cell r="D6" t="str">
            <v>10.9.0.122</v>
          </cell>
          <cell r="E6" t="str">
            <v>Signature (Parapheur)</v>
          </cell>
          <cell r="F6" t="str">
            <v>10.250.251.16</v>
          </cell>
          <cell r="G6" t="str">
            <v>Client</v>
          </cell>
          <cell r="H6" t="str">
            <v>Faux Positive</v>
          </cell>
          <cell r="I6" t="str">
            <v>Faux Positive</v>
          </cell>
          <cell r="J6" t="str">
            <v>Unix</v>
          </cell>
        </row>
        <row r="7">
          <cell r="B7" t="str">
            <v>Ext-02/21</v>
          </cell>
          <cell r="C7" t="str">
            <v>81.192.11.182</v>
          </cell>
          <cell r="D7" t="str">
            <v>10.9.0.120</v>
          </cell>
          <cell r="E7" t="str">
            <v>PARAPHEUR ELECTRONIQUE</v>
          </cell>
          <cell r="F7" t="str">
            <v>10.250.251.16</v>
          </cell>
          <cell r="G7" t="str">
            <v>Client</v>
          </cell>
          <cell r="H7" t="str">
            <v>Not Fixed</v>
          </cell>
          <cell r="I7" t="str">
            <v>Point escaladé à La CDG pour intervention de l'éditeur (Parapheur)</v>
          </cell>
          <cell r="J7" t="str">
            <v>Windows</v>
          </cell>
        </row>
        <row r="8">
          <cell r="B8" t="str">
            <v>Ext-02/21</v>
          </cell>
          <cell r="C8" t="str">
            <v>81.192.11.182</v>
          </cell>
          <cell r="D8" t="str">
            <v>10.9.0.120</v>
          </cell>
          <cell r="E8" t="str">
            <v>PARAPHEUR ELECTRONIQUE</v>
          </cell>
          <cell r="F8" t="str">
            <v>10.250.251.16</v>
          </cell>
          <cell r="G8" t="str">
            <v>Client</v>
          </cell>
          <cell r="H8" t="str">
            <v>Not Fixed</v>
          </cell>
          <cell r="I8" t="str">
            <v>Point escaladé à La CDG pour intervention de l'éditeur (Parapheur)</v>
          </cell>
          <cell r="J8" t="str">
            <v>Windows</v>
          </cell>
        </row>
        <row r="9">
          <cell r="B9" t="str">
            <v>Ext-02/21</v>
          </cell>
          <cell r="C9" t="str">
            <v>81.192.11.182</v>
          </cell>
          <cell r="D9" t="str">
            <v>10.9.0.120</v>
          </cell>
          <cell r="E9" t="str">
            <v>PARAPHEUR ELECTRONIQUE</v>
          </cell>
          <cell r="F9" t="str">
            <v>10.250.251.16</v>
          </cell>
          <cell r="G9" t="str">
            <v>Client</v>
          </cell>
          <cell r="H9" t="str">
            <v>Faux Positive</v>
          </cell>
          <cell r="I9" t="str">
            <v>Faux Positive</v>
          </cell>
          <cell r="J9" t="str">
            <v>Windows</v>
          </cell>
        </row>
        <row r="10">
          <cell r="B10" t="str">
            <v>Ext-02/21</v>
          </cell>
          <cell r="C10" t="str">
            <v>81.192.11.179</v>
          </cell>
          <cell r="H10" t="str">
            <v>Not Fixed</v>
          </cell>
          <cell r="I10" t="str">
            <v>New Jan.2022</v>
          </cell>
        </row>
        <row r="11">
          <cell r="B11" t="str">
            <v>Ext-02/21</v>
          </cell>
          <cell r="C11" t="str">
            <v>81.192.11.179</v>
          </cell>
          <cell r="H11" t="str">
            <v>New</v>
          </cell>
          <cell r="I11" t="str">
            <v>New Fevrier 2021</v>
          </cell>
        </row>
        <row r="12">
          <cell r="B12" t="str">
            <v>Ext-02/21</v>
          </cell>
          <cell r="C12" t="str">
            <v>81.192.11.176</v>
          </cell>
          <cell r="D12" t="str">
            <v>172.20.0.90</v>
          </cell>
          <cell r="E12" t="str">
            <v>CDPRW-SHPVALO</v>
          </cell>
          <cell r="H12" t="str">
            <v>Faux Positive</v>
          </cell>
          <cell r="I12" t="str">
            <v>Faux Positive</v>
          </cell>
          <cell r="J12" t="str">
            <v>Windows</v>
          </cell>
        </row>
        <row r="13">
          <cell r="B13" t="str">
            <v>Ext-02/21</v>
          </cell>
          <cell r="C13" t="str">
            <v>81.192.11.175</v>
          </cell>
          <cell r="D13" t="str">
            <v>10.250.255.8</v>
          </cell>
          <cell r="E13" t="str">
            <v>CDPRW-SHPWEB</v>
          </cell>
          <cell r="H13" t="str">
            <v>Faux Positive</v>
          </cell>
          <cell r="I13" t="str">
            <v>Faux Positive</v>
          </cell>
          <cell r="J13" t="str">
            <v>Windows</v>
          </cell>
        </row>
        <row r="14">
          <cell r="B14" t="str">
            <v>Ext-02/21</v>
          </cell>
          <cell r="C14" t="str">
            <v>81.192.11.174</v>
          </cell>
          <cell r="D14" t="str">
            <v>10.9.0.11</v>
          </cell>
          <cell r="E14" t="str">
            <v>SIPTF Mobile Prod - Ossol</v>
          </cell>
          <cell r="F14" t="str">
            <v>UNIX / 10.250.251.1</v>
          </cell>
          <cell r="G14" t="str">
            <v>Unix</v>
          </cell>
          <cell r="H14" t="str">
            <v>Not Fixed</v>
          </cell>
          <cell r="I14" t="str">
            <v>In Progress (Reste Ajustement dans le Waf)</v>
          </cell>
          <cell r="J14" t="str">
            <v>Unix</v>
          </cell>
        </row>
        <row r="15">
          <cell r="B15" t="str">
            <v>Ext-02/21</v>
          </cell>
          <cell r="C15" t="str">
            <v>81.192.11.174</v>
          </cell>
          <cell r="D15" t="str">
            <v>10.9.0.11</v>
          </cell>
          <cell r="E15" t="str">
            <v>SIPTF Mobile Prod - Ossol</v>
          </cell>
          <cell r="F15" t="str">
            <v>UNIX / 10.250.251.1</v>
          </cell>
          <cell r="G15" t="str">
            <v>Unix</v>
          </cell>
          <cell r="H15" t="str">
            <v>Not Fixed</v>
          </cell>
          <cell r="I15" t="str">
            <v>In Progress (Reste Ajustement dans le Waf)</v>
          </cell>
          <cell r="J15" t="str">
            <v>Unix</v>
          </cell>
        </row>
        <row r="16">
          <cell r="B16" t="str">
            <v>Ext-02/21</v>
          </cell>
          <cell r="C16" t="str">
            <v>81.192.11.174</v>
          </cell>
          <cell r="D16" t="str">
            <v>10.9.0.11</v>
          </cell>
          <cell r="E16" t="str">
            <v>SIPTF Mobile Prod - Ossol</v>
          </cell>
          <cell r="F16" t="str">
            <v>UNIX / 10.250.251.1</v>
          </cell>
          <cell r="G16" t="str">
            <v>Unix</v>
          </cell>
          <cell r="H16" t="str">
            <v>Not Fixed</v>
          </cell>
          <cell r="I16" t="str">
            <v>réapparu dans le Scan de Novembre (Reste Ajustement dans le Waf)</v>
          </cell>
          <cell r="J16" t="str">
            <v>Unix</v>
          </cell>
        </row>
        <row r="17">
          <cell r="B17" t="str">
            <v>Ext-02/21</v>
          </cell>
          <cell r="C17" t="str">
            <v>81.192.11.174</v>
          </cell>
          <cell r="D17" t="str">
            <v>10.9.0.11</v>
          </cell>
          <cell r="E17" t="str">
            <v>SIPTF Mobile Prod - Ossol</v>
          </cell>
          <cell r="F17" t="str">
            <v>UNIX / 10.250.251.1</v>
          </cell>
          <cell r="G17" t="str">
            <v>Unix</v>
          </cell>
          <cell r="H17" t="str">
            <v>Not Fixed</v>
          </cell>
          <cell r="I17" t="str">
            <v>réapparu dans le Scan de Novembre (Reste Ajustement dans le Waf)</v>
          </cell>
          <cell r="J17" t="str">
            <v>Unix</v>
          </cell>
        </row>
        <row r="18">
          <cell r="B18" t="str">
            <v>Ext-02/21</v>
          </cell>
          <cell r="C18" t="str">
            <v>81.192.11.174</v>
          </cell>
          <cell r="D18" t="str">
            <v>10.9.0.11</v>
          </cell>
          <cell r="E18" t="str">
            <v>SIPTF Mobile Prod - Ossol</v>
          </cell>
          <cell r="F18" t="str">
            <v>UNIX / 10.250.251.1</v>
          </cell>
          <cell r="G18" t="str">
            <v>Unix</v>
          </cell>
          <cell r="H18" t="str">
            <v>Not Fixed</v>
          </cell>
          <cell r="I18" t="str">
            <v>In Progress (Reste Ajustement dans le Waf)</v>
          </cell>
          <cell r="J18" t="str">
            <v>Unix</v>
          </cell>
        </row>
        <row r="19">
          <cell r="B19" t="str">
            <v>Ext-02/21</v>
          </cell>
          <cell r="C19" t="str">
            <v>81.192.11.174</v>
          </cell>
          <cell r="D19" t="str">
            <v>10.9.0.11</v>
          </cell>
          <cell r="E19" t="str">
            <v>SIPTF Mobile Prod - Ossol</v>
          </cell>
          <cell r="F19" t="str">
            <v>UNIX / 10.250.251.1</v>
          </cell>
          <cell r="G19" t="str">
            <v>Unix</v>
          </cell>
          <cell r="H19" t="str">
            <v>Not Fixed</v>
          </cell>
          <cell r="I19" t="str">
            <v>In Progress (Reste Ajustement dans le Waf)</v>
          </cell>
          <cell r="J19" t="str">
            <v>Unix</v>
          </cell>
        </row>
        <row r="20">
          <cell r="B20" t="str">
            <v>Ext-02/21</v>
          </cell>
          <cell r="C20" t="str">
            <v>81.192.11.174</v>
          </cell>
          <cell r="D20" t="str">
            <v>10.9.0.11</v>
          </cell>
          <cell r="E20" t="str">
            <v>SIPTF Mobile Prod - Ossol</v>
          </cell>
          <cell r="F20" t="str">
            <v>UNIX / 10.250.251.1</v>
          </cell>
          <cell r="G20" t="str">
            <v>Unix</v>
          </cell>
          <cell r="H20" t="str">
            <v>Not Fixed</v>
          </cell>
          <cell r="I20" t="str">
            <v>réapparu dans le Scan de Novembre</v>
          </cell>
          <cell r="J20" t="str">
            <v>Unix</v>
          </cell>
        </row>
        <row r="21">
          <cell r="B21" t="str">
            <v>Ext-02/21</v>
          </cell>
          <cell r="C21" t="str">
            <v>81.192.11.172</v>
          </cell>
          <cell r="D21" t="str">
            <v>10.8.0.22</v>
          </cell>
          <cell r="F21" t="str">
            <v>UNIX</v>
          </cell>
          <cell r="G21" t="str">
            <v>Network</v>
          </cell>
          <cell r="H21" t="str">
            <v>Not Fixed</v>
          </cell>
          <cell r="I21" t="str">
            <v>Point escaladé à la CDG pour intervention de l'éditeur (ExpressWay)</v>
          </cell>
          <cell r="J21" t="str">
            <v>Network</v>
          </cell>
        </row>
        <row r="22">
          <cell r="B22" t="str">
            <v>Ext-02/21</v>
          </cell>
          <cell r="C22" t="str">
            <v>81.192.11.172</v>
          </cell>
          <cell r="D22" t="str">
            <v>10.8.0.22</v>
          </cell>
          <cell r="F22" t="str">
            <v>UNIX</v>
          </cell>
          <cell r="G22" t="str">
            <v>Network</v>
          </cell>
          <cell r="H22" t="str">
            <v>Not Fixed</v>
          </cell>
          <cell r="I22" t="str">
            <v>Point escaladé à la CDG pour intervention de l'éditeur (ExpressWay)</v>
          </cell>
          <cell r="J22" t="str">
            <v>Network</v>
          </cell>
        </row>
        <row r="23">
          <cell r="B23" t="str">
            <v>Ext-02/21</v>
          </cell>
          <cell r="C23" t="str">
            <v>81.192.11.172</v>
          </cell>
          <cell r="D23" t="str">
            <v>10.8.0.22</v>
          </cell>
          <cell r="F23" t="str">
            <v>UNIX</v>
          </cell>
          <cell r="G23" t="str">
            <v>Network</v>
          </cell>
          <cell r="H23" t="str">
            <v>Faux Positive</v>
          </cell>
          <cell r="I23" t="str">
            <v>Faux Positive</v>
          </cell>
          <cell r="J23" t="str">
            <v>Network</v>
          </cell>
        </row>
        <row r="24">
          <cell r="B24" t="str">
            <v>Ext-02/21</v>
          </cell>
          <cell r="C24" t="str">
            <v>81.192.11.172</v>
          </cell>
          <cell r="D24" t="str">
            <v>10.8.0.22</v>
          </cell>
          <cell r="F24" t="str">
            <v>UNIX</v>
          </cell>
          <cell r="G24" t="str">
            <v>Network</v>
          </cell>
          <cell r="H24" t="str">
            <v>Not Fixed</v>
          </cell>
          <cell r="I24" t="str">
            <v>Point escaladé à la CDG pour intervention de l'éditeur (ExpressWay)</v>
          </cell>
          <cell r="J24" t="str">
            <v>Network</v>
          </cell>
        </row>
        <row r="25">
          <cell r="B25" t="str">
            <v>Ext-02/21</v>
          </cell>
          <cell r="C25" t="str">
            <v>81.192.11.172</v>
          </cell>
          <cell r="D25" t="str">
            <v>10.8.0.22</v>
          </cell>
          <cell r="F25" t="str">
            <v>UNIX</v>
          </cell>
          <cell r="G25" t="str">
            <v>Network</v>
          </cell>
          <cell r="H25" t="str">
            <v>Not Fixed</v>
          </cell>
          <cell r="I25" t="str">
            <v>Point escaladé à la CDG pour intervention de l'éditeur (ExpressWay)</v>
          </cell>
          <cell r="J25" t="str">
            <v>Network</v>
          </cell>
        </row>
        <row r="26">
          <cell r="B26" t="str">
            <v>Ext-02/21</v>
          </cell>
          <cell r="C26" t="str">
            <v>81.192.11.172</v>
          </cell>
          <cell r="D26" t="str">
            <v>10.8.0.22</v>
          </cell>
          <cell r="F26" t="str">
            <v>UNIX</v>
          </cell>
          <cell r="G26" t="str">
            <v>Network</v>
          </cell>
          <cell r="H26" t="str">
            <v>Not Fixed</v>
          </cell>
          <cell r="I26" t="str">
            <v>Point escaladé à la CDG pour intervention de l'éditeur (ExpressWay)</v>
          </cell>
          <cell r="J26" t="str">
            <v>Network</v>
          </cell>
        </row>
        <row r="27">
          <cell r="B27" t="str">
            <v>Ext-02/21</v>
          </cell>
          <cell r="C27" t="str">
            <v>81.192.11.172</v>
          </cell>
          <cell r="D27" t="str">
            <v>10.8.0.22</v>
          </cell>
          <cell r="F27" t="str">
            <v>UNIX</v>
          </cell>
          <cell r="G27" t="str">
            <v>Network</v>
          </cell>
          <cell r="H27" t="str">
            <v>Not Fixed</v>
          </cell>
          <cell r="I27" t="str">
            <v>Point escaladé à la CDG pour intervention de l'éditeur (ExpressWay)</v>
          </cell>
          <cell r="J27" t="str">
            <v>Network</v>
          </cell>
        </row>
        <row r="28">
          <cell r="B28" t="str">
            <v>Ext-02/21</v>
          </cell>
          <cell r="C28" t="str">
            <v>81.192.11.172</v>
          </cell>
          <cell r="D28" t="str">
            <v>10.8.0.22</v>
          </cell>
          <cell r="F28" t="str">
            <v>UNIX</v>
          </cell>
          <cell r="G28" t="str">
            <v>Network</v>
          </cell>
          <cell r="H28" t="str">
            <v>Not Fixed</v>
          </cell>
          <cell r="I28" t="str">
            <v>Point escaladé à la CDG pour intervention de l'éditeur (ExpressWay)</v>
          </cell>
          <cell r="J28" t="str">
            <v>Network</v>
          </cell>
        </row>
        <row r="29">
          <cell r="B29" t="str">
            <v>Ext-02/21</v>
          </cell>
          <cell r="C29" t="str">
            <v>81.192.11.172</v>
          </cell>
          <cell r="D29" t="str">
            <v>10.8.0.22</v>
          </cell>
          <cell r="F29" t="str">
            <v>UNIX</v>
          </cell>
          <cell r="G29" t="str">
            <v>Network</v>
          </cell>
          <cell r="H29" t="str">
            <v>Not Fixed</v>
          </cell>
          <cell r="I29" t="str">
            <v>Point escaladé à la CDG pour intervention de l'éditeur (ExpressWay)</v>
          </cell>
          <cell r="J29" t="str">
            <v>Network</v>
          </cell>
        </row>
        <row r="30">
          <cell r="B30" t="str">
            <v>Ext-02/21</v>
          </cell>
          <cell r="C30" t="str">
            <v>81.192.11.172</v>
          </cell>
          <cell r="D30" t="str">
            <v>10.8.0.22</v>
          </cell>
          <cell r="F30" t="str">
            <v>UNIX</v>
          </cell>
          <cell r="G30" t="str">
            <v>Network</v>
          </cell>
          <cell r="H30" t="str">
            <v>Not Fixed</v>
          </cell>
          <cell r="I30" t="str">
            <v>Point escaladé à la CDG pour intervention de l'éditeur (ExpressWay)</v>
          </cell>
          <cell r="J30" t="str">
            <v>Network</v>
          </cell>
        </row>
        <row r="31">
          <cell r="B31" t="str">
            <v>Ext-02/21</v>
          </cell>
          <cell r="C31" t="str">
            <v>81.192.11.172</v>
          </cell>
          <cell r="D31" t="str">
            <v>10.8.0.22</v>
          </cell>
          <cell r="F31" t="str">
            <v>UNIX</v>
          </cell>
          <cell r="G31" t="str">
            <v>Network</v>
          </cell>
          <cell r="H31" t="str">
            <v>Faux Positive</v>
          </cell>
          <cell r="I31" t="str">
            <v>Faux Positive</v>
          </cell>
          <cell r="J31" t="str">
            <v>Network</v>
          </cell>
        </row>
        <row r="32">
          <cell r="B32" t="str">
            <v>Ext-02/21</v>
          </cell>
          <cell r="C32" t="str">
            <v>81.192.11.172</v>
          </cell>
          <cell r="D32" t="str">
            <v>10.8.0.22</v>
          </cell>
          <cell r="F32" t="str">
            <v>UNIX</v>
          </cell>
          <cell r="G32" t="str">
            <v>Network</v>
          </cell>
          <cell r="H32" t="str">
            <v>Not Fixed</v>
          </cell>
          <cell r="I32" t="str">
            <v>Point escaladé à la CDG pour intervention de l'éditeur (ExpressWay)</v>
          </cell>
          <cell r="J32" t="str">
            <v>Network</v>
          </cell>
        </row>
        <row r="33">
          <cell r="B33" t="str">
            <v>Ext-02/21</v>
          </cell>
          <cell r="C33" t="str">
            <v>81.192.11.172</v>
          </cell>
          <cell r="D33" t="str">
            <v>10.8.0.22</v>
          </cell>
          <cell r="F33" t="str">
            <v>UNIX</v>
          </cell>
          <cell r="G33" t="str">
            <v>Network</v>
          </cell>
          <cell r="H33" t="str">
            <v>Not Fixed</v>
          </cell>
          <cell r="I33" t="str">
            <v>Point escaladé à la CDG pour intervention de l'éditeur (ExpressWay)</v>
          </cell>
          <cell r="J33" t="str">
            <v>Network</v>
          </cell>
        </row>
        <row r="34">
          <cell r="B34" t="str">
            <v>Ext-02/21</v>
          </cell>
          <cell r="C34" t="str">
            <v>81.192.11.172</v>
          </cell>
          <cell r="D34" t="str">
            <v>10.8.0.22</v>
          </cell>
          <cell r="F34" t="str">
            <v>UNIX</v>
          </cell>
          <cell r="G34" t="str">
            <v>Network</v>
          </cell>
          <cell r="H34" t="str">
            <v>Faux Positive</v>
          </cell>
          <cell r="I34" t="str">
            <v>Faux Positive</v>
          </cell>
          <cell r="J34" t="str">
            <v>Network</v>
          </cell>
        </row>
        <row r="35">
          <cell r="B35" t="str">
            <v>Ext-02/21</v>
          </cell>
          <cell r="C35" t="str">
            <v>81.192.11.172</v>
          </cell>
          <cell r="D35" t="str">
            <v>10.8.0.22</v>
          </cell>
          <cell r="F35" t="str">
            <v>UNIX</v>
          </cell>
          <cell r="G35" t="str">
            <v>Unix</v>
          </cell>
          <cell r="H35" t="str">
            <v>Not Fixed</v>
          </cell>
          <cell r="I35" t="str">
            <v>Point escaladé à la CDG pour intervention de l'éditeur (ExpressWay)</v>
          </cell>
          <cell r="J35" t="str">
            <v>Network</v>
          </cell>
        </row>
        <row r="36">
          <cell r="B36" t="str">
            <v>Ext-02/21</v>
          </cell>
          <cell r="C36" t="str">
            <v>81.192.11.172</v>
          </cell>
          <cell r="D36" t="str">
            <v>10.8.0.22</v>
          </cell>
          <cell r="F36" t="str">
            <v>UNIX</v>
          </cell>
          <cell r="G36" t="str">
            <v>Unix</v>
          </cell>
          <cell r="H36" t="str">
            <v>Not Fixed</v>
          </cell>
          <cell r="I36" t="str">
            <v>Point escaladé à la CDG pour intervention de l'éditeur (ExpressWay)</v>
          </cell>
          <cell r="J36" t="str">
            <v>Network</v>
          </cell>
        </row>
        <row r="37">
          <cell r="B37" t="str">
            <v>Ext-02/21</v>
          </cell>
          <cell r="C37" t="str">
            <v>81.192.11.172</v>
          </cell>
          <cell r="D37" t="str">
            <v>10.8.0.22</v>
          </cell>
          <cell r="F37" t="str">
            <v>UNIX</v>
          </cell>
          <cell r="G37" t="str">
            <v>Unix</v>
          </cell>
          <cell r="H37" t="str">
            <v>Not Fixed</v>
          </cell>
          <cell r="I37" t="str">
            <v>Point escaladé à la CDG pour intervention de l'éditeur (ExpressWay)</v>
          </cell>
          <cell r="J37" t="str">
            <v>Network</v>
          </cell>
        </row>
        <row r="38">
          <cell r="B38" t="str">
            <v>Ext-02/21</v>
          </cell>
          <cell r="C38" t="str">
            <v>81.192.11.164</v>
          </cell>
          <cell r="D38" t="str">
            <v>10.8.0.71
10.9.0.8</v>
          </cell>
          <cell r="E38" t="str">
            <v>CGI</v>
          </cell>
          <cell r="F38" t="str">
            <v>UNIX</v>
          </cell>
          <cell r="G38" t="str">
            <v>Unix</v>
          </cell>
          <cell r="H38" t="str">
            <v>Not Fixed</v>
          </cell>
          <cell r="I38" t="str">
            <v>Point escaldé à La CDG ( Web site CGI)</v>
          </cell>
        </row>
        <row r="39">
          <cell r="B39" t="str">
            <v>Ext-02/21</v>
          </cell>
          <cell r="C39" t="str">
            <v>81.192.11.164</v>
          </cell>
          <cell r="D39" t="str">
            <v>10.8.0.71
10.9.0.8</v>
          </cell>
          <cell r="E39" t="str">
            <v>CGI</v>
          </cell>
          <cell r="F39" t="str">
            <v>UNIX</v>
          </cell>
          <cell r="G39" t="str">
            <v>Unix</v>
          </cell>
          <cell r="H39" t="str">
            <v>Not Fixed</v>
          </cell>
          <cell r="I39" t="str">
            <v>Point escaldé à La CDG ( Web site CGI)</v>
          </cell>
        </row>
        <row r="40">
          <cell r="B40" t="str">
            <v>Ext-02/21</v>
          </cell>
          <cell r="C40" t="str">
            <v>81.192.11.162</v>
          </cell>
          <cell r="D40" t="str">
            <v>10.8.0.72</v>
          </cell>
          <cell r="E40" t="str">
            <v>CGI</v>
          </cell>
          <cell r="F40" t="str">
            <v>UNIX</v>
          </cell>
          <cell r="G40" t="str">
            <v>Unix</v>
          </cell>
          <cell r="H40" t="str">
            <v>Not Fixed</v>
          </cell>
          <cell r="I40" t="str">
            <v>Point escaldé à La CDG ( Web site CGI)</v>
          </cell>
        </row>
        <row r="41">
          <cell r="B41" t="str">
            <v>Ext-02/21</v>
          </cell>
          <cell r="C41" t="str">
            <v>81.192.11.162</v>
          </cell>
          <cell r="D41" t="str">
            <v>10.8.0.72</v>
          </cell>
          <cell r="E41" t="str">
            <v>CGI</v>
          </cell>
          <cell r="F41" t="str">
            <v>UNIX</v>
          </cell>
          <cell r="G41" t="str">
            <v>Unix</v>
          </cell>
          <cell r="H41" t="str">
            <v>Not Fixed</v>
          </cell>
          <cell r="I41" t="str">
            <v>Point escaldé à La CDG ( Web site CGI)</v>
          </cell>
        </row>
        <row r="42">
          <cell r="B42" t="str">
            <v>Ext-02/21</v>
          </cell>
          <cell r="C42" t="str">
            <v>81.192.11.162</v>
          </cell>
          <cell r="D42" t="str">
            <v>10.8.0.72</v>
          </cell>
          <cell r="E42" t="str">
            <v>CGI</v>
          </cell>
          <cell r="F42" t="str">
            <v>UNIX</v>
          </cell>
          <cell r="G42" t="str">
            <v>Unix</v>
          </cell>
          <cell r="H42" t="str">
            <v>Not Fixed</v>
          </cell>
          <cell r="I42" t="str">
            <v>Point escaldé à La CDG ( Web site CGI)</v>
          </cell>
        </row>
        <row r="43">
          <cell r="B43" t="str">
            <v>Ext-02/21</v>
          </cell>
          <cell r="C43" t="str">
            <v>81.192.11.162</v>
          </cell>
          <cell r="D43" t="str">
            <v>10.8.0.72</v>
          </cell>
          <cell r="E43" t="str">
            <v>CGI</v>
          </cell>
          <cell r="F43" t="str">
            <v>UNIX</v>
          </cell>
          <cell r="G43" t="str">
            <v>Unix</v>
          </cell>
          <cell r="H43" t="str">
            <v>Not Fixed</v>
          </cell>
          <cell r="I43" t="str">
            <v>Point escaldé à La CDG ( Web site CGI)</v>
          </cell>
        </row>
        <row r="44">
          <cell r="B44" t="str">
            <v>Ext-02/21</v>
          </cell>
          <cell r="C44" t="str">
            <v>81.192.11.162</v>
          </cell>
          <cell r="D44" t="str">
            <v>10.8.0.72</v>
          </cell>
          <cell r="E44" t="str">
            <v>CGI</v>
          </cell>
          <cell r="F44" t="str">
            <v>UNIX</v>
          </cell>
          <cell r="G44" t="str">
            <v>Unix</v>
          </cell>
          <cell r="H44" t="str">
            <v>Not Fixed</v>
          </cell>
          <cell r="I44" t="str">
            <v>Point escaldé à La CDG ( Web site CGI)</v>
          </cell>
        </row>
        <row r="45">
          <cell r="B45" t="str">
            <v>Ext-02/21</v>
          </cell>
          <cell r="C45" t="str">
            <v>81.192.11.161</v>
          </cell>
          <cell r="D45" t="str">
            <v>10.8.0.46</v>
          </cell>
          <cell r="E45" t="str">
            <v>PCDG-WebWif</v>
          </cell>
          <cell r="F45" t="str">
            <v>UNIX</v>
          </cell>
          <cell r="G45" t="str">
            <v>Unix</v>
          </cell>
          <cell r="H45" t="str">
            <v>Not Fixed</v>
          </cell>
          <cell r="I45" t="str">
            <v>SI à arrêter (web site Wifak)</v>
          </cell>
        </row>
        <row r="46">
          <cell r="B46" t="str">
            <v>Ext-02/21</v>
          </cell>
          <cell r="C46" t="str">
            <v>81.192.11.161</v>
          </cell>
          <cell r="D46" t="str">
            <v>10.8.0.46</v>
          </cell>
          <cell r="E46" t="str">
            <v>PCDG-WebWif</v>
          </cell>
          <cell r="F46" t="str">
            <v>UNIX</v>
          </cell>
          <cell r="G46" t="str">
            <v>Unix</v>
          </cell>
          <cell r="H46" t="str">
            <v>Not Fixed</v>
          </cell>
          <cell r="I46" t="str">
            <v>SI à arrêter (web site Wifak)</v>
          </cell>
        </row>
        <row r="47">
          <cell r="B47" t="str">
            <v>Ext-02/21</v>
          </cell>
          <cell r="C47" t="str">
            <v>81.192.11.161</v>
          </cell>
          <cell r="D47" t="str">
            <v>10.8.0.46</v>
          </cell>
          <cell r="E47" t="str">
            <v>PCDG-WebWif</v>
          </cell>
          <cell r="F47" t="str">
            <v>UNIX</v>
          </cell>
          <cell r="G47" t="str">
            <v>Unix</v>
          </cell>
          <cell r="H47" t="str">
            <v>Not Fixed</v>
          </cell>
          <cell r="I47" t="str">
            <v>SI à arrêter (web site Wifak)</v>
          </cell>
        </row>
        <row r="48">
          <cell r="B48" t="str">
            <v>Ext-02/21</v>
          </cell>
          <cell r="C48" t="str">
            <v>81.192.11.161</v>
          </cell>
          <cell r="D48" t="str">
            <v>10.8.0.46</v>
          </cell>
          <cell r="E48" t="str">
            <v>PCDG-WebWif</v>
          </cell>
          <cell r="F48" t="str">
            <v>UNIX</v>
          </cell>
          <cell r="G48" t="str">
            <v>Unix</v>
          </cell>
          <cell r="H48" t="str">
            <v>Not Fixed</v>
          </cell>
          <cell r="I48" t="str">
            <v>SI à arrêter (web site Wifak)</v>
          </cell>
        </row>
        <row r="49">
          <cell r="B49" t="str">
            <v>Ext-02/21</v>
          </cell>
          <cell r="C49" t="str">
            <v>81.192.11.161</v>
          </cell>
          <cell r="D49" t="str">
            <v>10.8.0.46</v>
          </cell>
          <cell r="E49" t="str">
            <v>PCDG-WebWif</v>
          </cell>
          <cell r="F49" t="str">
            <v>UNIX</v>
          </cell>
          <cell r="G49" t="str">
            <v>Unix</v>
          </cell>
          <cell r="H49" t="str">
            <v>Not Fixed</v>
          </cell>
          <cell r="I49" t="str">
            <v>SI à arrêter (web site Wifak)</v>
          </cell>
        </row>
        <row r="50">
          <cell r="B50" t="str">
            <v>Ext-02/21</v>
          </cell>
          <cell r="C50" t="str">
            <v>81.192.11.161</v>
          </cell>
          <cell r="D50" t="str">
            <v>10.8.0.46</v>
          </cell>
          <cell r="E50" t="str">
            <v>PCDG-WebWif</v>
          </cell>
          <cell r="F50" t="str">
            <v>UNIX</v>
          </cell>
          <cell r="G50" t="str">
            <v>Unix</v>
          </cell>
          <cell r="H50" t="str">
            <v>Not Fixed</v>
          </cell>
          <cell r="I50" t="str">
            <v>SI à arrêter (web site Wifak)</v>
          </cell>
        </row>
        <row r="51">
          <cell r="B51" t="str">
            <v>Ext-02/21</v>
          </cell>
          <cell r="C51" t="str">
            <v>81.192.11.161</v>
          </cell>
          <cell r="D51" t="str">
            <v>10.8.0.46</v>
          </cell>
          <cell r="E51" t="str">
            <v>PCDG-WebWif</v>
          </cell>
          <cell r="F51" t="str">
            <v>UNIX</v>
          </cell>
          <cell r="G51" t="str">
            <v>Unix</v>
          </cell>
          <cell r="H51" t="str">
            <v>Not Fixed</v>
          </cell>
          <cell r="I51" t="str">
            <v>SI à arrêter (web site Wifak)</v>
          </cell>
        </row>
        <row r="52">
          <cell r="B52" t="str">
            <v>Ext-02/21</v>
          </cell>
          <cell r="C52" t="str">
            <v>81.192.11.158</v>
          </cell>
          <cell r="D52" t="str">
            <v>10.8.0.51
10.9.0.61</v>
          </cell>
          <cell r="E52" t="str">
            <v xml:space="preserve">	PCDG-WFOND	</v>
          </cell>
          <cell r="F52" t="str">
            <v>UNIX</v>
          </cell>
          <cell r="G52" t="str">
            <v>Unix</v>
          </cell>
          <cell r="H52" t="str">
            <v>Not Fixed</v>
          </cell>
          <cell r="I52" t="str">
            <v xml:space="preserve">Not Fixed New </v>
          </cell>
        </row>
        <row r="53">
          <cell r="B53" t="str">
            <v>Ext-02/21</v>
          </cell>
          <cell r="C53" t="str">
            <v>81.192.11.155</v>
          </cell>
          <cell r="D53" t="str">
            <v>10.8.0.53 
10.9.0.67</v>
          </cell>
          <cell r="E53" t="str">
            <v>PCDG-WebInst</v>
          </cell>
          <cell r="F53" t="str">
            <v>UNIX</v>
          </cell>
          <cell r="G53" t="str">
            <v>Unix</v>
          </cell>
          <cell r="H53" t="str">
            <v>Not Fixed</v>
          </cell>
          <cell r="I53" t="str">
            <v>Serveur  à décommisioner (Site Web Institut CDG)</v>
          </cell>
        </row>
        <row r="54">
          <cell r="B54" t="str">
            <v>Ext-02/21</v>
          </cell>
          <cell r="C54" t="str">
            <v>81.192.11.155</v>
          </cell>
          <cell r="D54" t="str">
            <v>10.8.0.53 
10.9.0.67</v>
          </cell>
          <cell r="E54" t="str">
            <v>PCDG-WebInst</v>
          </cell>
          <cell r="F54" t="str">
            <v>UNIX</v>
          </cell>
          <cell r="G54" t="str">
            <v>Unix</v>
          </cell>
          <cell r="H54" t="str">
            <v>Not Fixed</v>
          </cell>
          <cell r="I54" t="str">
            <v>Serveur  à décommisioner (Site Web Institut CDG)</v>
          </cell>
          <cell r="J54" t="str">
            <v>Unix</v>
          </cell>
        </row>
        <row r="55">
          <cell r="B55" t="str">
            <v>Ext-02/21</v>
          </cell>
          <cell r="C55" t="str">
            <v>81.192.11.155</v>
          </cell>
          <cell r="D55" t="str">
            <v>10.8.0.53 
10.9.0.67</v>
          </cell>
          <cell r="E55" t="str">
            <v>PCDG-WebInst</v>
          </cell>
          <cell r="F55" t="str">
            <v>UNIX</v>
          </cell>
          <cell r="G55" t="str">
            <v>Unix</v>
          </cell>
          <cell r="H55" t="str">
            <v>Faux Positive</v>
          </cell>
          <cell r="I55" t="str">
            <v>Serveur  à décommisioner (Site Web Institut CDG)</v>
          </cell>
        </row>
        <row r="56">
          <cell r="B56" t="str">
            <v>Ext-02/21</v>
          </cell>
          <cell r="C56" t="str">
            <v>81.192.11.154</v>
          </cell>
          <cell r="D56" t="str">
            <v>10.8.0.51
10.9.0.61</v>
          </cell>
          <cell r="E56" t="str">
            <v xml:space="preserve">	PCDG-WFOND	</v>
          </cell>
          <cell r="F56" t="str">
            <v>UNIX</v>
          </cell>
          <cell r="G56" t="str">
            <v>Unix</v>
          </cell>
          <cell r="H56" t="str">
            <v>Not Fixed</v>
          </cell>
          <cell r="I56" t="str">
            <v>Point escaladé à la CDG (Site Web - Fondation)</v>
          </cell>
        </row>
        <row r="57">
          <cell r="B57" t="str">
            <v>Ext-02/21</v>
          </cell>
          <cell r="C57" t="str">
            <v>81.192.11.154</v>
          </cell>
          <cell r="D57" t="str">
            <v>10.8.0.51
10.9.0.61</v>
          </cell>
          <cell r="E57" t="str">
            <v xml:space="preserve">	PCDG-WFOND	</v>
          </cell>
          <cell r="F57" t="str">
            <v>UNIX</v>
          </cell>
          <cell r="G57" t="str">
            <v>Unix</v>
          </cell>
          <cell r="H57" t="str">
            <v>Not Fixed</v>
          </cell>
          <cell r="I57" t="str">
            <v>Point escaladé à la CDG (Site Web - Fondation)</v>
          </cell>
        </row>
        <row r="58">
          <cell r="B58" t="str">
            <v>Ext-02/21</v>
          </cell>
          <cell r="C58" t="str">
            <v>81.192.11.154</v>
          </cell>
          <cell r="D58" t="str">
            <v>10.8.0.51
10.9.0.61</v>
          </cell>
          <cell r="E58" t="str">
            <v xml:space="preserve">	PCDG-WFOND	</v>
          </cell>
          <cell r="F58" t="str">
            <v>UNIX</v>
          </cell>
          <cell r="G58" t="str">
            <v>Unix</v>
          </cell>
          <cell r="H58" t="str">
            <v>Not Fixed</v>
          </cell>
          <cell r="I58" t="str">
            <v>Point escaladé à la CDG (Site Web - Fondation)</v>
          </cell>
        </row>
        <row r="59">
          <cell r="B59" t="str">
            <v>Ext-02/21</v>
          </cell>
          <cell r="C59" t="str">
            <v>81.192.11.154</v>
          </cell>
          <cell r="D59" t="str">
            <v>10.8.0.51
10.9.0.61</v>
          </cell>
          <cell r="E59" t="str">
            <v xml:space="preserve">	PCDG-WFOND	</v>
          </cell>
          <cell r="F59" t="str">
            <v>UNIX</v>
          </cell>
          <cell r="G59" t="str">
            <v>Unix</v>
          </cell>
          <cell r="H59" t="str">
            <v>Not Fixed</v>
          </cell>
          <cell r="I59" t="str">
            <v>Point escaladé à la CDG (Site Web - Fondation)</v>
          </cell>
        </row>
        <row r="60">
          <cell r="B60" t="str">
            <v>Ext-02/21</v>
          </cell>
          <cell r="C60" t="str">
            <v>81.192.11.154</v>
          </cell>
          <cell r="D60" t="str">
            <v>10.8.0.51
10.9.0.61</v>
          </cell>
          <cell r="E60" t="str">
            <v xml:space="preserve">	PCDG-WFOND	</v>
          </cell>
          <cell r="F60" t="str">
            <v>UNIX</v>
          </cell>
          <cell r="G60" t="str">
            <v>Unix</v>
          </cell>
          <cell r="H60" t="str">
            <v>Not Fixed</v>
          </cell>
          <cell r="I60" t="str">
            <v>Point escaladé à la CDG (Site Web - Fondation)</v>
          </cell>
        </row>
        <row r="61">
          <cell r="B61" t="str">
            <v>Ext-02/21</v>
          </cell>
          <cell r="C61" t="str">
            <v>81.192.11.154</v>
          </cell>
          <cell r="D61" t="str">
            <v>10.8.0.51
10.9.0.61</v>
          </cell>
          <cell r="E61" t="str">
            <v xml:space="preserve">	PCDG-WFOND	</v>
          </cell>
          <cell r="F61" t="str">
            <v>UNIX</v>
          </cell>
          <cell r="G61" t="str">
            <v>Unix</v>
          </cell>
          <cell r="H61" t="str">
            <v>Not Fixed</v>
          </cell>
          <cell r="I61" t="str">
            <v>Point escaladé à la CDG (Site Web - Fondation)</v>
          </cell>
        </row>
        <row r="62">
          <cell r="B62" t="str">
            <v>Ext-02/21</v>
          </cell>
          <cell r="C62" t="str">
            <v>81.192.11.154</v>
          </cell>
          <cell r="D62" t="str">
            <v>10.8.0.51
10.9.0.61</v>
          </cell>
          <cell r="E62" t="str">
            <v xml:space="preserve">	PCDG-WFOND	</v>
          </cell>
          <cell r="F62" t="str">
            <v>UNIX</v>
          </cell>
          <cell r="G62" t="str">
            <v>Unix</v>
          </cell>
          <cell r="H62" t="str">
            <v>Not Fixed</v>
          </cell>
          <cell r="I62" t="str">
            <v>Point escaladé à la CDG (Site Web - Fondation)</v>
          </cell>
        </row>
        <row r="63">
          <cell r="B63" t="str">
            <v>Ext-02/21</v>
          </cell>
          <cell r="C63" t="str">
            <v>81.192.11.151</v>
          </cell>
          <cell r="D63" t="str">
            <v>10.8.0.54
10.9.0.31</v>
          </cell>
          <cell r="E63" t="str">
            <v>PCDG-WebCDG</v>
          </cell>
          <cell r="H63" t="str">
            <v>Faux Positive</v>
          </cell>
          <cell r="I63" t="str">
            <v>Faux Positive</v>
          </cell>
        </row>
        <row r="64">
          <cell r="B64" t="str">
            <v>Ext-02/21</v>
          </cell>
          <cell r="C64" t="str">
            <v>81.192.11.151</v>
          </cell>
          <cell r="D64" t="str">
            <v>10.8.0.54
10.9.0.31</v>
          </cell>
          <cell r="E64" t="str">
            <v>PCDG-WebCDG</v>
          </cell>
          <cell r="H64" t="str">
            <v>New</v>
          </cell>
          <cell r="I64" t="str">
            <v>New Fevrier 2021</v>
          </cell>
        </row>
        <row r="65">
          <cell r="B65" t="str">
            <v>Ext-02/21</v>
          </cell>
          <cell r="C65" t="str">
            <v>81.192.11.151</v>
          </cell>
          <cell r="D65" t="str">
            <v>10.8.0.54
10.9.0.31</v>
          </cell>
          <cell r="E65" t="str">
            <v>PCDG-WebCDG</v>
          </cell>
          <cell r="F65" t="str">
            <v>UNIX</v>
          </cell>
          <cell r="G65" t="str">
            <v>Unix</v>
          </cell>
          <cell r="H65" t="str">
            <v>Not Fixed</v>
          </cell>
          <cell r="I65" t="str">
            <v>Refonte encours (website CDG)</v>
          </cell>
        </row>
        <row r="66">
          <cell r="B66" t="str">
            <v>Ext-02/21</v>
          </cell>
          <cell r="C66" t="str">
            <v>81.192.11.151</v>
          </cell>
          <cell r="D66" t="str">
            <v>10.8.0.54
10.9.0.31</v>
          </cell>
          <cell r="E66" t="str">
            <v>PCDG-WebCDG</v>
          </cell>
          <cell r="F66" t="str">
            <v>UNIX</v>
          </cell>
          <cell r="G66" t="str">
            <v>Unix</v>
          </cell>
          <cell r="H66" t="str">
            <v>Not Fixed</v>
          </cell>
          <cell r="I66" t="str">
            <v>Refonte encours (website CDG)</v>
          </cell>
        </row>
        <row r="67">
          <cell r="B67" t="str">
            <v>Ext-02/21</v>
          </cell>
          <cell r="C67" t="str">
            <v>81.192.11.151</v>
          </cell>
          <cell r="D67" t="str">
            <v>10.8.0.54
10.9.0.31</v>
          </cell>
          <cell r="E67" t="str">
            <v>PCDG-WebCDG</v>
          </cell>
          <cell r="F67" t="str">
            <v>Unix</v>
          </cell>
          <cell r="G67" t="str">
            <v>Unix</v>
          </cell>
          <cell r="H67" t="str">
            <v>Not Fixed</v>
          </cell>
          <cell r="I67" t="str">
            <v>Point escaldé à La CDG ( Web site CGI)</v>
          </cell>
        </row>
        <row r="68">
          <cell r="B68" t="str">
            <v>Ext-02/21</v>
          </cell>
          <cell r="C68" t="str">
            <v>81.192.11.151</v>
          </cell>
          <cell r="D68" t="str">
            <v>10.8.0.54
10.9.0.31</v>
          </cell>
          <cell r="E68" t="str">
            <v>PCDG-WebCDG</v>
          </cell>
          <cell r="F68" t="str">
            <v>UNIX</v>
          </cell>
          <cell r="G68" t="str">
            <v>Unix</v>
          </cell>
          <cell r="H68" t="str">
            <v>Not Fixed</v>
          </cell>
          <cell r="I68" t="str">
            <v>Refonte encours (website CDG)</v>
          </cell>
        </row>
        <row r="69">
          <cell r="B69" t="str">
            <v>Ext-02/21</v>
          </cell>
          <cell r="C69" t="str">
            <v>81.192.11.151</v>
          </cell>
          <cell r="D69" t="str">
            <v>10.8.0.54
10.9.0.31</v>
          </cell>
          <cell r="E69" t="str">
            <v>PCDG-WebCDG</v>
          </cell>
          <cell r="F69" t="str">
            <v>UNIX</v>
          </cell>
          <cell r="G69" t="str">
            <v>Unix</v>
          </cell>
          <cell r="H69" t="str">
            <v>Not Fixed</v>
          </cell>
          <cell r="I69" t="str">
            <v>Refonte encours (website CDG)</v>
          </cell>
        </row>
        <row r="70">
          <cell r="B70" t="str">
            <v>Ext-02/21</v>
          </cell>
          <cell r="C70" t="str">
            <v>81.192.11.151</v>
          </cell>
          <cell r="D70" t="str">
            <v>10.8.0.54
10.9.0.31</v>
          </cell>
          <cell r="E70" t="str">
            <v>PCDG-WebCDG</v>
          </cell>
          <cell r="F70" t="str">
            <v>UNIX</v>
          </cell>
          <cell r="G70" t="str">
            <v>Unix</v>
          </cell>
          <cell r="H70" t="str">
            <v>Not Fixed</v>
          </cell>
          <cell r="I70" t="str">
            <v>Refonte encours (website CDG)</v>
          </cell>
        </row>
        <row r="71">
          <cell r="B71" t="str">
            <v>Ext-02/21</v>
          </cell>
          <cell r="C71" t="str">
            <v>81.192.11.151</v>
          </cell>
          <cell r="D71" t="str">
            <v>10.8.0.54
10.9.0.31</v>
          </cell>
          <cell r="E71" t="str">
            <v>PCDG-WebCDG</v>
          </cell>
          <cell r="F71" t="str">
            <v>UNIX</v>
          </cell>
          <cell r="G71" t="str">
            <v>Unix</v>
          </cell>
          <cell r="H71" t="str">
            <v>Not Fixed</v>
          </cell>
          <cell r="I71" t="str">
            <v>Refonte encours (website CDG)</v>
          </cell>
        </row>
        <row r="72">
          <cell r="B72" t="str">
            <v>Ext-02/21</v>
          </cell>
          <cell r="C72" t="str">
            <v>81.192.11.148</v>
          </cell>
          <cell r="D72" t="str">
            <v>172.20.60.251</v>
          </cell>
          <cell r="E72" t="str">
            <v>HFM V11</v>
          </cell>
          <cell r="F72" t="str">
            <v>Windows / 172.20.60.251</v>
          </cell>
          <cell r="G72" t="str">
            <v>Client</v>
          </cell>
          <cell r="H72" t="str">
            <v>Not Fixed</v>
          </cell>
          <cell r="I72" t="str">
            <v>Point escaladé à La CDG pour intervention de l'éditeur (HFM)</v>
          </cell>
          <cell r="J72" t="str">
            <v>Windows</v>
          </cell>
        </row>
        <row r="73">
          <cell r="B73" t="str">
            <v>Ext-02/21</v>
          </cell>
          <cell r="C73" t="str">
            <v>81.192.11.148</v>
          </cell>
          <cell r="D73" t="str">
            <v>172.20.60.251</v>
          </cell>
          <cell r="E73" t="str">
            <v>HFM V11</v>
          </cell>
          <cell r="F73" t="str">
            <v>Windows / 172.20.60.251</v>
          </cell>
          <cell r="G73" t="str">
            <v>Client</v>
          </cell>
          <cell r="H73" t="str">
            <v>Not Fixed</v>
          </cell>
          <cell r="I73" t="str">
            <v>Point escaladé à La CDG pour intervention de l'éditeur (HFM)</v>
          </cell>
          <cell r="J73" t="str">
            <v>Windows</v>
          </cell>
        </row>
        <row r="74">
          <cell r="B74" t="str">
            <v>Ext-02/21</v>
          </cell>
          <cell r="C74" t="str">
            <v>81.192.11.148</v>
          </cell>
          <cell r="D74" t="str">
            <v>172.20.60.251</v>
          </cell>
          <cell r="E74" t="str">
            <v>HFM V11</v>
          </cell>
          <cell r="F74" t="str">
            <v>Windows / 172.20.60.251</v>
          </cell>
          <cell r="G74" t="str">
            <v>Client</v>
          </cell>
          <cell r="H74" t="str">
            <v>Not Fixed</v>
          </cell>
          <cell r="I74" t="str">
            <v>Point escaladé à La CDG pour intervention de l'éditeur (HFM)</v>
          </cell>
          <cell r="J74" t="str">
            <v>Windows</v>
          </cell>
        </row>
        <row r="75">
          <cell r="B75" t="str">
            <v>Ext-02/21</v>
          </cell>
          <cell r="C75" t="str">
            <v>81.192.11.148</v>
          </cell>
          <cell r="D75" t="str">
            <v>172.20.60.251</v>
          </cell>
          <cell r="E75" t="str">
            <v>HFM V11</v>
          </cell>
          <cell r="F75" t="str">
            <v>Windows / 172.20.60.251</v>
          </cell>
          <cell r="G75" t="str">
            <v>Client</v>
          </cell>
          <cell r="H75" t="str">
            <v>Faux Positive</v>
          </cell>
          <cell r="I75" t="str">
            <v>Faux Positive</v>
          </cell>
          <cell r="J75" t="str">
            <v>Windows</v>
          </cell>
        </row>
        <row r="76">
          <cell r="B76" t="str">
            <v>Ext-02/21</v>
          </cell>
          <cell r="C76" t="str">
            <v>81.192.11.146</v>
          </cell>
          <cell r="D76" t="str">
            <v>10.9.0.25</v>
          </cell>
          <cell r="E76" t="str">
            <v>Dématérialisation Des Marchés</v>
          </cell>
          <cell r="H76" t="str">
            <v>New</v>
          </cell>
          <cell r="I76" t="str">
            <v>New Fevrier 2021</v>
          </cell>
        </row>
        <row r="77">
          <cell r="B77" t="str">
            <v>Ext-02/21</v>
          </cell>
          <cell r="C77" t="str">
            <v>81.192.11.146</v>
          </cell>
          <cell r="D77" t="str">
            <v>10.9.0.25</v>
          </cell>
          <cell r="E77" t="str">
            <v>Dématérialisation Des Marchés</v>
          </cell>
          <cell r="H77" t="str">
            <v>New</v>
          </cell>
          <cell r="I77" t="str">
            <v>New Fevrier 2021</v>
          </cell>
        </row>
        <row r="78">
          <cell r="B78" t="str">
            <v>Ext-02/21</v>
          </cell>
          <cell r="C78" t="str">
            <v>81.192.11.146</v>
          </cell>
          <cell r="D78" t="str">
            <v>10.9.0.25</v>
          </cell>
          <cell r="E78" t="str">
            <v>Dématérialisation Des Marchés</v>
          </cell>
          <cell r="H78" t="str">
            <v>New</v>
          </cell>
          <cell r="I78" t="str">
            <v>New Fevrier 2021</v>
          </cell>
        </row>
        <row r="79">
          <cell r="B79" t="str">
            <v>Ext-02/21</v>
          </cell>
          <cell r="C79" t="str">
            <v>81.192.11.146</v>
          </cell>
          <cell r="D79" t="str">
            <v>10.9.0.25</v>
          </cell>
          <cell r="E79" t="str">
            <v>Dématérialisation Des Marchés</v>
          </cell>
          <cell r="H79" t="str">
            <v>New</v>
          </cell>
          <cell r="I79" t="str">
            <v>New Fevrier 2021</v>
          </cell>
        </row>
        <row r="80">
          <cell r="B80" t="str">
            <v>Ext-02/21</v>
          </cell>
          <cell r="C80" t="str">
            <v>81.192.11.146</v>
          </cell>
          <cell r="D80" t="str">
            <v>10.9.0.25</v>
          </cell>
          <cell r="E80" t="str">
            <v>Dématérialisation Des Marchés</v>
          </cell>
          <cell r="F80" t="str">
            <v>UNIX / 10.250.252.16</v>
          </cell>
          <cell r="G80" t="str">
            <v>Client</v>
          </cell>
          <cell r="H80" t="str">
            <v>Faux Positive</v>
          </cell>
          <cell r="I80" t="str">
            <v>Faux Positive</v>
          </cell>
          <cell r="J80" t="str">
            <v>Unix</v>
          </cell>
        </row>
        <row r="81">
          <cell r="B81" t="str">
            <v>Ext-02/21</v>
          </cell>
          <cell r="C81" t="str">
            <v>81.192.11.143</v>
          </cell>
          <cell r="D81" t="str">
            <v>10.8.0.36</v>
          </cell>
          <cell r="E81" t="str">
            <v>DCDG-VOID</v>
          </cell>
          <cell r="F81" t="str">
            <v>UNIX</v>
          </cell>
          <cell r="G81" t="str">
            <v>Unix</v>
          </cell>
          <cell r="H81" t="str">
            <v>Not Fixed</v>
          </cell>
          <cell r="I81" t="str">
            <v>SI à arrêter (Webvoid)</v>
          </cell>
        </row>
        <row r="82">
          <cell r="B82" t="str">
            <v>Ext-02/21</v>
          </cell>
          <cell r="C82" t="str">
            <v>81.192.11.143</v>
          </cell>
          <cell r="D82" t="str">
            <v>10.8.0.36</v>
          </cell>
          <cell r="E82" t="str">
            <v>DCDG-VOID</v>
          </cell>
          <cell r="H82" t="str">
            <v>New</v>
          </cell>
          <cell r="I82" t="str">
            <v>New Fevrier 2021</v>
          </cell>
        </row>
        <row r="83">
          <cell r="B83" t="str">
            <v>Ext-02/21</v>
          </cell>
          <cell r="C83" t="str">
            <v>81.192.11.140</v>
          </cell>
          <cell r="D83" t="str">
            <v>10.8.0.8</v>
          </cell>
          <cell r="E83" t="str">
            <v>PCDG-WebFond</v>
          </cell>
          <cell r="F83" t="str">
            <v>UNIX</v>
          </cell>
          <cell r="G83" t="str">
            <v>Unix</v>
          </cell>
          <cell r="H83" t="str">
            <v>Not Fixed</v>
          </cell>
          <cell r="I83" t="str">
            <v>Point escaladé à La CDG pour intervention de l'éditeur (Relais Mail)</v>
          </cell>
          <cell r="J83" t="str">
            <v>Windows</v>
          </cell>
        </row>
        <row r="84">
          <cell r="B84" t="str">
            <v>Ext-02/21</v>
          </cell>
          <cell r="C84" t="str">
            <v>81.192.11.140</v>
          </cell>
          <cell r="D84" t="str">
            <v>10.8.0.8</v>
          </cell>
          <cell r="E84" t="str">
            <v>PCDG-WebFond</v>
          </cell>
          <cell r="F84" t="str">
            <v>UNIX</v>
          </cell>
          <cell r="G84" t="str">
            <v>Unix</v>
          </cell>
          <cell r="H84" t="str">
            <v>Not Fixed</v>
          </cell>
          <cell r="I84" t="str">
            <v>Point escaladé à La CDG pour intervention de l'éditeur (Relais Mail)</v>
          </cell>
          <cell r="J84" t="str">
            <v>Windows</v>
          </cell>
        </row>
        <row r="85">
          <cell r="B85" t="str">
            <v>Ext-02/21</v>
          </cell>
          <cell r="C85" t="str">
            <v>81.192.11.140</v>
          </cell>
          <cell r="D85" t="str">
            <v>10.8.0.8</v>
          </cell>
          <cell r="E85" t="str">
            <v>PCDG-WebFond</v>
          </cell>
          <cell r="F85" t="str">
            <v>Wintel</v>
          </cell>
          <cell r="G85" t="str">
            <v>Wintel</v>
          </cell>
          <cell r="H85" t="str">
            <v>Not Fixed</v>
          </cell>
          <cell r="I85" t="str">
            <v xml:space="preserve">Not Fixed New </v>
          </cell>
          <cell r="J85" t="str">
            <v>Windows</v>
          </cell>
        </row>
        <row r="86">
          <cell r="B86" t="str">
            <v>Ext-02/21</v>
          </cell>
          <cell r="C86" t="str">
            <v>81.192.11.140</v>
          </cell>
          <cell r="D86" t="str">
            <v>10.8.0.8</v>
          </cell>
          <cell r="E86" t="str">
            <v>PCDG-WebFond</v>
          </cell>
          <cell r="F86" t="str">
            <v>Wintel</v>
          </cell>
          <cell r="G86" t="str">
            <v>Wintel</v>
          </cell>
          <cell r="H86" t="str">
            <v>Not Fixed</v>
          </cell>
          <cell r="I86" t="str">
            <v xml:space="preserve">Not Fixed New </v>
          </cell>
          <cell r="J86" t="str">
            <v>Windows</v>
          </cell>
        </row>
        <row r="87">
          <cell r="B87" t="str">
            <v>Ext-02/21</v>
          </cell>
          <cell r="C87" t="str">
            <v>81.192.11.140</v>
          </cell>
          <cell r="D87" t="str">
            <v>10.8.0.8</v>
          </cell>
          <cell r="E87" t="str">
            <v>PCDG-WebFond</v>
          </cell>
          <cell r="F87" t="str">
            <v>Wintel</v>
          </cell>
          <cell r="G87" t="str">
            <v>Wintel</v>
          </cell>
          <cell r="H87" t="str">
            <v>Faux Positive</v>
          </cell>
          <cell r="I87" t="str">
            <v xml:space="preserve">Not Fixed New </v>
          </cell>
          <cell r="J87" t="str">
            <v>Windows</v>
          </cell>
        </row>
        <row r="88">
          <cell r="B88" t="str">
            <v>Ext-02/21</v>
          </cell>
          <cell r="C88" t="str">
            <v>81.192.11.137</v>
          </cell>
          <cell r="D88" t="str">
            <v>NAT 10.9.0.10
172.20.0.5</v>
          </cell>
          <cell r="E88" t="str">
            <v>EXPROD01</v>
          </cell>
          <cell r="F88" t="str">
            <v>Windows</v>
          </cell>
          <cell r="G88" t="str">
            <v>Client</v>
          </cell>
          <cell r="H88" t="str">
            <v>Not Fixed</v>
          </cell>
          <cell r="I88" t="str">
            <v>Nécessite la création d'un change majeur (OWA)</v>
          </cell>
          <cell r="J88" t="str">
            <v>Windows</v>
          </cell>
        </row>
        <row r="89">
          <cell r="B89" t="str">
            <v>Ext-02/21</v>
          </cell>
          <cell r="C89" t="str">
            <v>81.192.11.137</v>
          </cell>
          <cell r="D89" t="str">
            <v>NAT 10.9.0.10
172.20.0.5</v>
          </cell>
          <cell r="E89" t="str">
            <v>EXPROD01</v>
          </cell>
          <cell r="F89" t="str">
            <v>Windows</v>
          </cell>
          <cell r="G89" t="str">
            <v>Client</v>
          </cell>
          <cell r="H89" t="str">
            <v>Faux Positive</v>
          </cell>
          <cell r="I89" t="str">
            <v>Faux Positive</v>
          </cell>
          <cell r="J89" t="str">
            <v>Windows</v>
          </cell>
        </row>
        <row r="90">
          <cell r="B90" t="str">
            <v>Ext-02/21</v>
          </cell>
          <cell r="C90" t="str">
            <v>81.192.11.133</v>
          </cell>
          <cell r="D90" t="str">
            <v>172.20.0.31
10.9.0.14</v>
          </cell>
          <cell r="E90" t="str">
            <v>CDPRW-SIRHAPP</v>
          </cell>
          <cell r="F90" t="str">
            <v>Windows</v>
          </cell>
          <cell r="G90" t="str">
            <v>Wintel</v>
          </cell>
          <cell r="H90" t="str">
            <v>Not Fixed</v>
          </cell>
          <cell r="I90" t="str">
            <v>point escaladé à la CDG pour intevention de l'editeur  (SIRHAPP)
(Reste Ajustement dans le Waf)</v>
          </cell>
          <cell r="J90" t="str">
            <v>Windows</v>
          </cell>
        </row>
        <row r="91">
          <cell r="B91" t="str">
            <v>Ext-02/21</v>
          </cell>
          <cell r="C91" t="str">
            <v>81.192.11.133</v>
          </cell>
          <cell r="D91" t="str">
            <v>172.20.0.31
10.9.0.14</v>
          </cell>
          <cell r="E91" t="str">
            <v>CDPRW-SIRHAPP</v>
          </cell>
          <cell r="F91" t="str">
            <v>Windows</v>
          </cell>
          <cell r="G91" t="str">
            <v>Wintel</v>
          </cell>
          <cell r="H91" t="str">
            <v>Not Fixed</v>
          </cell>
          <cell r="I91" t="str">
            <v>point escaladé à la CDG pour intevention de l'editeur  (SIRHAPP)
(Reste Ajustement dans le Waf)</v>
          </cell>
          <cell r="J91" t="str">
            <v>Windows</v>
          </cell>
        </row>
        <row r="92">
          <cell r="B92" t="str">
            <v>Ext-02/21</v>
          </cell>
          <cell r="C92" t="str">
            <v>81.192.11.133</v>
          </cell>
          <cell r="D92" t="str">
            <v>172.20.0.31
10.9.0.14</v>
          </cell>
          <cell r="E92" t="str">
            <v>CDPRW-SIRHAPP</v>
          </cell>
          <cell r="F92" t="str">
            <v>Windows</v>
          </cell>
          <cell r="G92" t="str">
            <v>Wintel</v>
          </cell>
          <cell r="H92" t="str">
            <v>Not Fixed</v>
          </cell>
          <cell r="I92" t="str">
            <v>point escaladé à la CDG pour intevention de l'editeur  (SIRHAPP)
(Reste Ajustement dans le Waf)</v>
          </cell>
          <cell r="J92" t="str">
            <v>Windows</v>
          </cell>
        </row>
        <row r="93">
          <cell r="B93" t="str">
            <v>Ext-02/21</v>
          </cell>
          <cell r="C93" t="str">
            <v>81.192.11.133</v>
          </cell>
          <cell r="D93" t="str">
            <v>172.20.0.31
10.9.0.14</v>
          </cell>
          <cell r="E93" t="str">
            <v>CDPRW-SIRHAPP</v>
          </cell>
          <cell r="F93" t="str">
            <v>Windows</v>
          </cell>
          <cell r="G93" t="str">
            <v>Wintel</v>
          </cell>
          <cell r="H93" t="str">
            <v>Not Fixed</v>
          </cell>
          <cell r="I93" t="str">
            <v>point escaladé à la CDG pour intevention de l'editeur  (SIRHAPP)
(Reste Ajustement dans le Waf)</v>
          </cell>
          <cell r="J93" t="str">
            <v>Windows</v>
          </cell>
        </row>
        <row r="94">
          <cell r="B94" t="str">
            <v>Ext-02/21</v>
          </cell>
          <cell r="C94" t="str">
            <v>81.192.11.133</v>
          </cell>
          <cell r="D94" t="str">
            <v>172.20.0.31
10.9.0.14</v>
          </cell>
          <cell r="E94" t="str">
            <v>CDPRW-SIRHAPP</v>
          </cell>
          <cell r="F94" t="str">
            <v>Windows</v>
          </cell>
          <cell r="G94" t="str">
            <v>Wintel</v>
          </cell>
          <cell r="H94" t="str">
            <v>Not Fixed</v>
          </cell>
          <cell r="I94" t="str">
            <v>point escaladé à la CDG pour intevention de l'editeur  (SIRHAPP)
(Reste Ajustement dans le Waf)</v>
          </cell>
          <cell r="J94" t="str">
            <v>Windows</v>
          </cell>
        </row>
        <row r="95">
          <cell r="B95" t="str">
            <v>Ext-02/21</v>
          </cell>
          <cell r="C95" t="str">
            <v>81.192.11.133</v>
          </cell>
          <cell r="D95" t="str">
            <v>172.20.0.31
10.9.0.14</v>
          </cell>
          <cell r="E95" t="str">
            <v>CDPRW-SIRHAPP</v>
          </cell>
          <cell r="F95" t="str">
            <v>Windows</v>
          </cell>
          <cell r="G95" t="str">
            <v>Wintel</v>
          </cell>
          <cell r="H95" t="str">
            <v>Not Fixed</v>
          </cell>
          <cell r="I95" t="str">
            <v>point escaladé à la CDG pour intevention de l'editeur  (SIRHAPP)
(Reste Ajustement dans le Waf)</v>
          </cell>
          <cell r="J95" t="str">
            <v>Windows</v>
          </cell>
        </row>
        <row r="96">
          <cell r="B96" t="str">
            <v>Ext-02/21</v>
          </cell>
          <cell r="C96" t="str">
            <v>81.192.11.133</v>
          </cell>
          <cell r="D96" t="str">
            <v>172.20.0.31
10.9.0.14</v>
          </cell>
          <cell r="E96" t="str">
            <v>CDPRW-SIRHAPP</v>
          </cell>
          <cell r="F96" t="str">
            <v>Windows</v>
          </cell>
          <cell r="G96" t="str">
            <v>Wintel</v>
          </cell>
          <cell r="H96" t="str">
            <v>Not Fixed</v>
          </cell>
          <cell r="I96" t="str">
            <v>point escaladé à la CDG pour intevention de l'editeur  (SIRHAPP)</v>
          </cell>
          <cell r="J96" t="str">
            <v>Windows</v>
          </cell>
        </row>
        <row r="97">
          <cell r="B97" t="str">
            <v>Ext-02/21</v>
          </cell>
          <cell r="C97" t="str">
            <v>81.192.11.133</v>
          </cell>
          <cell r="D97" t="str">
            <v>172.20.0.31
10.9.0.14</v>
          </cell>
          <cell r="E97" t="str">
            <v>CDPRW-SIRHAPP</v>
          </cell>
          <cell r="F97" t="str">
            <v>Windows</v>
          </cell>
          <cell r="G97" t="str">
            <v>Wintel</v>
          </cell>
          <cell r="H97" t="str">
            <v>Faux Positive</v>
          </cell>
          <cell r="I97" t="str">
            <v>Faux Positive</v>
          </cell>
          <cell r="J97" t="str">
            <v>Windows</v>
          </cell>
        </row>
        <row r="98">
          <cell r="B98" t="str">
            <v>Ext-02/21</v>
          </cell>
          <cell r="C98" t="str">
            <v>81.192.11.131</v>
          </cell>
          <cell r="H98" t="str">
            <v>Not Fixed</v>
          </cell>
          <cell r="I98" t="str">
            <v>New Jan.2022</v>
          </cell>
        </row>
        <row r="99">
          <cell r="B99" t="str">
            <v>Ext-02/21</v>
          </cell>
          <cell r="C99" t="str">
            <v>81.192.11.131</v>
          </cell>
          <cell r="H99" t="str">
            <v>Not Fixed</v>
          </cell>
          <cell r="I99" t="str">
            <v>New Jan.2022</v>
          </cell>
        </row>
        <row r="100">
          <cell r="B100" t="str">
            <v>Ext-02/21</v>
          </cell>
          <cell r="C100" t="str">
            <v>81.192.11.131</v>
          </cell>
          <cell r="H100" t="str">
            <v>Not Fixed</v>
          </cell>
          <cell r="I100" t="str">
            <v>New Jan.2022</v>
          </cell>
        </row>
        <row r="101">
          <cell r="B101" t="str">
            <v>Ext-02/21</v>
          </cell>
          <cell r="C101" t="str">
            <v>81.192.11.131</v>
          </cell>
          <cell r="H101" t="str">
            <v>Not Fixed</v>
          </cell>
          <cell r="I101" t="str">
            <v>New Jan.2022</v>
          </cell>
        </row>
        <row r="102">
          <cell r="B102" t="str">
            <v>Ext-02/21</v>
          </cell>
          <cell r="C102" t="str">
            <v>81.192.11.130</v>
          </cell>
          <cell r="D102" t="str">
            <v>10.8.0.51
10.9.0.61</v>
          </cell>
          <cell r="E102" t="str">
            <v xml:space="preserve">	PCDG-WFOND	</v>
          </cell>
          <cell r="F102" t="str">
            <v>UNIX</v>
          </cell>
          <cell r="H102" t="str">
            <v>Not Fixed</v>
          </cell>
          <cell r="I102" t="str">
            <v>Point escaladé à la CDG (Site Web - Fondation)</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rkaoui Dekkaki, Mohammed" refreshedDate="44363.874189351853" createdVersion="6" refreshedVersion="6" minRefreshableVersion="3" recordCount="700" xr:uid="{5AC7F5C0-C5B7-4375-9D04-5652D2D86A59}">
  <cacheSource type="worksheet">
    <worksheetSource ref="A1:AT1048576" sheet="Rpt ext Octobre"/>
  </cacheSource>
  <cacheFields count="48">
    <cacheField name="C" numFmtId="0">
      <sharedItems containsBlank="1"/>
    </cacheField>
    <cacheField name="Asset" numFmtId="0">
      <sharedItems containsBlank="1"/>
    </cacheField>
    <cacheField name="Asset IP Address" numFmtId="0">
      <sharedItems containsBlank="1" count="32">
        <s v="81.192.11.129 / Ancien Site Web Institut CDG"/>
        <s v="81.192.11.130 / _x0009_PCDG-WFOND_x0009_ / UNIX"/>
        <s v="81.192.11.131\Peplink"/>
        <s v="81.192.11.133 / CDPRW-SIRHAPP /Wintel"/>
        <s v="81.192.11.137 / OWA / Wintel"/>
        <s v="81.192.11.140 / RelayMail / Wintel"/>
        <s v="81.192.11.141 / PCDG-SFTPDMZ / Unix"/>
        <s v="81.192.11.143 / WEB VOID/Test / Unix"/>
        <s v="81.192.11.146 / SAFAKAT / Unix"/>
        <s v="81.192.11.148 / HFM -- Wintel"/>
        <s v="81.192.11.151 / Site web CDG"/>
        <s v="81.192.11.154 / Site Web Fondation"/>
        <s v="81.192.11.129 / New Site Web Institut CDG"/>
        <s v="81.192.11.157 / E-Hakama / Unix"/>
        <s v="81.192.11.160 / Olyweb / unix"/>
        <s v="81.192.11.161 / Club Wifak"/>
        <s v="81.192.11.162 / Site Web CGI -- Email to Ayoub"/>
        <s v="81.192.11.164 / CGI -- Email to Ayoub"/>
        <s v="81.192.11.165 / FIPAR -- Email to Ayoub"/>
        <s v="81.192.11.166 / Ancienne Amanti Preprod / Unix"/>
        <s v="81.192.11.172 / ExpressWay / Network"/>
        <s v="81.192.11.174 SIPTF Mobile Prod - Ossol / Unix"/>
        <s v="81.192.11.175 / MyOneCDG / Wintel"/>
        <s v="81.192.11.176 / CDPRW-SHPVALO / Wintel"/>
        <s v="81.192.11.179/Amanti"/>
        <s v="81.192.11.181 / MyOneCDG / Wintel"/>
        <s v="PARAPHEUR ELECTRONIQUE"/>
        <s v="81.192.11.184 / Bureau d'Ordre Electronique"/>
        <s v="81.192.11.187 / Sophos MDM / Wintel"/>
        <s v="81.192.11.189 / DTP"/>
        <s v="E-Digiproc-CDGDEV "/>
        <m/>
      </sharedItems>
    </cacheField>
    <cacheField name="Private IP" numFmtId="0">
      <sharedItems containsBlank="1"/>
    </cacheField>
    <cacheField name="Status" numFmtId="0">
      <sharedItems containsBlank="1"/>
    </cacheField>
    <cacheField name="Commentaire" numFmtId="0">
      <sharedItems containsDate="1" containsBlank="1" containsMixedTypes="1" minDate="2020-11-10T00:00:00" maxDate="2020-11-11T00:00:00"/>
    </cacheField>
    <cacheField name="Asset Names" numFmtId="0">
      <sharedItems containsBlank="1"/>
    </cacheField>
    <cacheField name="Asset OS Name" numFmtId="0">
      <sharedItems containsBlank="1"/>
    </cacheField>
    <cacheField name="Asset OS Version" numFmtId="0">
      <sharedItems containsBlank="1"/>
    </cacheField>
    <cacheField name="Service Port" numFmtId="0">
      <sharedItems containsBlank="1" containsMixedTypes="1" containsNumber="1" containsInteger="1" minValue="0" maxValue="8443"/>
    </cacheField>
    <cacheField name="Service Name" numFmtId="0">
      <sharedItems containsBlank="1"/>
    </cacheField>
    <cacheField name="Service Product" numFmtId="0">
      <sharedItems containsBlank="1"/>
    </cacheField>
    <cacheField name="Vulnerability Severity Level" numFmtId="0">
      <sharedItems containsBlank="1" containsMixedTypes="1" containsNumber="1" containsInteger="1" minValue="1" maxValue="10"/>
    </cacheField>
    <cacheField name="Sev LVL" numFmtId="0">
      <sharedItems containsBlank="1" count="6">
        <s v="Faible"/>
        <s v="Moyen"/>
        <s v="Elvée"/>
        <s v="Critique"/>
        <m/>
        <s v="Elevée" u="1"/>
      </sharedItems>
    </cacheField>
    <cacheField name="Vulnerability ID" numFmtId="0">
      <sharedItems containsBlank="1"/>
    </cacheField>
    <cacheField name="Vulnerability Title" numFmtId="0">
      <sharedItems containsBlank="1"/>
    </cacheField>
    <cacheField name="Vulnerability Description" numFmtId="0">
      <sharedItems containsBlank="1" longText="1"/>
    </cacheField>
    <cacheField name="Vulnerability Solution" numFmtId="0">
      <sharedItems containsBlank="1" longText="1"/>
    </cacheField>
    <cacheField name="Vulnerability Proof" numFmtId="0">
      <sharedItems containsBlank="1" longText="1"/>
    </cacheField>
    <cacheField name="Vulnerability Additional URLs" numFmtId="0">
      <sharedItems containsBlank="1" longText="1"/>
    </cacheField>
    <cacheField name="Vulnerability CVE IDs" numFmtId="0">
      <sharedItems containsBlank="1"/>
    </cacheField>
    <cacheField name="Vulnerability CVE URLs" numFmtId="0">
      <sharedItems containsBlank="1" longText="1"/>
    </cacheField>
    <cacheField name="Vulnerability Published Date" numFmtId="0">
      <sharedItems containsDate="1" containsBlank="1" containsMixedTypes="1" minDate="1995-01-01T00:00:00" maxDate="2016-08-25T00:00:00"/>
    </cacheField>
    <cacheField name="Vulnerability Test Result Code" numFmtId="0">
      <sharedItems containsBlank="1"/>
    </cacheField>
    <cacheField name="Exploit Count" numFmtId="0">
      <sharedItems containsBlank="1" containsMixedTypes="1" containsNumber="1" containsInteger="1" minValue="0" maxValue="3"/>
    </cacheField>
    <cacheField name="Exploit Minimum Skill" numFmtId="0">
      <sharedItems containsBlank="1"/>
    </cacheField>
    <cacheField name="Exploit URLs" numFmtId="0">
      <sharedItems containsBlank="1"/>
    </cacheField>
    <cacheField name="Vulnerability Age" numFmtId="0">
      <sharedItems containsBlank="1" containsMixedTypes="1" containsNumber="1" containsInteger="1" minValue="10" maxValue="10"/>
    </cacheField>
    <cacheField name="Action à Performer " numFmtId="0">
      <sharedItems containsNonDate="0" containsString="0" containsBlank="1"/>
    </cacheField>
    <cacheField name="Commentaire " numFmtId="0">
      <sharedItems containsBlank="1"/>
    </cacheField>
    <cacheField name="Status Actuel " numFmtId="0">
      <sharedItems containsBlank="1"/>
    </cacheField>
    <cacheField name="Date execution du change " numFmtId="0">
      <sharedItems containsNonDate="0" containsDate="1" containsString="0" containsBlank="1" minDate="2020-11-05T00:00:00" maxDate="2021-03-01T00:00:00" count="17">
        <d v="2020-11-15T00:00:00"/>
        <m/>
        <d v="2021-02-28T00:00:00"/>
        <d v="2021-02-13T00:00:00"/>
        <d v="2020-12-26T00:00:00"/>
        <d v="2020-11-07T00:00:00"/>
        <d v="2021-01-28T00:00:00"/>
        <d v="2020-11-11T00:00:00"/>
        <d v="2021-01-19T00:00:00"/>
        <d v="2021-01-12T00:00:00"/>
        <d v="2020-11-18T00:00:00"/>
        <d v="2020-12-31T00:00:00"/>
        <d v="2021-01-14T00:00:00"/>
        <d v="2020-12-25T00:00:00"/>
        <d v="2021-01-21T00:00:00"/>
        <d v="2020-11-10T00:00:00"/>
        <d v="2020-11-05T00:00:00"/>
      </sharedItems>
      <fieldGroup par="47" base="31">
        <rangePr groupBy="months" startDate="2020-11-05T00:00:00" endDate="2021-03-01T00:00:00"/>
        <groupItems count="14">
          <s v="(blank)"/>
          <s v="Jan"/>
          <s v="Feb"/>
          <s v="Mar"/>
          <s v="Apr"/>
          <s v="May"/>
          <s v="Jun"/>
          <s v="Jul"/>
          <s v="Aug"/>
          <s v="Sep"/>
          <s v="Oct"/>
          <s v="Nov"/>
          <s v="Dec"/>
          <s v="&gt;3/1/2021"/>
        </groupItems>
      </fieldGroup>
    </cacheField>
    <cacheField name="Date Clos " numFmtId="14">
      <sharedItems containsDate="1" containsBlank="1" containsMixedTypes="1" minDate="2020-11-05T00:00:00" maxDate="2021-12-07T00:00:00"/>
    </cacheField>
    <cacheField name="Date prévisionelle Planifié Pour Traitement  " numFmtId="0">
      <sharedItems containsDate="1" containsBlank="1" containsMixedTypes="1" minDate="2020-11-07T00:00:00" maxDate="2020-11-19T00:00:00"/>
    </cacheField>
    <cacheField name="Date Scan" numFmtId="164">
      <sharedItems containsDate="1" containsBlank="1" containsMixedTypes="1" minDate="2020-10-20T00:00:00" maxDate="2021-03-21T00:00:00" count="113">
        <d v="2020-10-20T00:00:00"/>
        <d v="2020-11-20T00:00:00"/>
        <d v="2021-01-01T00:00:00"/>
        <d v="2020-12-20T00:00:00"/>
        <d v="2021-02-20T00:00:00"/>
        <d v="2021-03-20T00:00:00"/>
        <s v="22/04/2021"/>
        <m/>
        <s v="22/04/2052" u="1"/>
        <s v="22/04/2023" u="1"/>
        <s v="22/04/2095" u="1"/>
        <s v="22/04/2066" u="1"/>
        <s v="22/04/2037" u="1"/>
        <s v="22/04/2112" u="1"/>
        <s v="22/04/2082" u="1"/>
        <s v="22/04/2126" u="1"/>
        <s v="22/04/2053" u="1"/>
        <s v="22/04/2024" u="1"/>
        <s v="22/04/2067" u="1"/>
        <s v="22/04/2038" u="1"/>
        <s v="22/04/2113" u="1"/>
        <s v="22/04/2040" u="1"/>
        <s v="22/04/2083" u="1"/>
        <s v="22/04/2127" u="1"/>
        <s v="22/04/2054" u="1"/>
        <s v="22/04/2025" u="1"/>
        <s v="22/04/2068" u="1"/>
        <s v="22/04/2039" u="1"/>
        <s v="22/04/2070" u="1"/>
        <s v="22/04/2114" u="1"/>
        <s v="22/04/2041" u="1"/>
        <s v="22/04/2084" u="1"/>
        <s v="22/04/2128" u="1"/>
        <s v="22/04/2055" u="1"/>
        <s v="22/04/2130" u="1"/>
        <s v="22/04/2026" u="1"/>
        <s v="22/04/2069" u="1"/>
        <s v="22/04/2071" u="1"/>
        <s v="22/04/2115" u="1"/>
        <s v="22/04/2042" u="1"/>
        <s v="22/04/2085" u="1"/>
        <s v="22/04/2129" u="1"/>
        <s v="22/04/2056" u="1"/>
        <s v="22/04/2131" u="1"/>
        <s v="22/04/2027" u="1"/>
        <s v="22/04/2099" u="1"/>
        <s v="22/04/2072" u="1"/>
        <s v="22/04/2116" u="1"/>
        <s v="22/04/2043" u="1"/>
        <s v="22/04/2086" u="1"/>
        <s v="22/04/2057" u="1"/>
        <s v="22/04/2132" u="1"/>
        <s v="22/04/2028" u="1"/>
        <s v="22/04/2103" u="1"/>
        <s v="22/04/2030" u="1"/>
        <s v="22/04/2073" u="1"/>
        <s v="22/04/2117" u="1"/>
        <s v="22/04/2044" u="1"/>
        <s v="22/04/2087" u="1"/>
        <s v="22/04/2058" u="1"/>
        <s v="22/04/2133" u="1"/>
        <s v="22/04/2029" u="1"/>
        <s v="22/04/2060" u="1"/>
        <s v="22/04/2031" u="1"/>
        <s v="22/04/2074" u="1"/>
        <s v="22/04/2118" u="1"/>
        <s v="22/04/2045" u="1"/>
        <s v="22/04/2120" u="1"/>
        <s v="22/04/2088" u="1"/>
        <s v="22/04/2059" u="1"/>
        <s v="22/04/2090" u="1"/>
        <s v="22/04/2134" u="1"/>
        <s v="22/04/2061" u="1"/>
        <s v="22/04/2032" u="1"/>
        <s v="22/04/2075" u="1"/>
        <s v="22/04/2119" u="1"/>
        <s v="22/04/2046" u="1"/>
        <s v="22/04/2121" u="1"/>
        <s v="22/04/2089" u="1"/>
        <s v="22/04/2091" u="1"/>
        <s v="22/04/2135" u="1"/>
        <s v="22/04/2062" u="1"/>
        <s v="22/04/2106" u="1"/>
        <s v="22/04/2033" u="1"/>
        <s v="22/04/2076" u="1"/>
        <s v="22/04/2047" u="1"/>
        <s v="22/04/2122" u="1"/>
        <s v="22/04/2092" u="1"/>
        <s v="22/04/2136" u="1"/>
        <s v="22/04/2063" u="1"/>
        <s v="22/04/2034" u="1"/>
        <s v="22/04/2077" u="1"/>
        <s v="22/04/2048" u="1"/>
        <s v="22/04/2123" u="1"/>
        <s v="22/04/2050" u="1"/>
        <s v="22/04/2093" u="1"/>
        <s v="22/04/2137" u="1"/>
        <s v="22/04/2064" u="1"/>
        <s v="22/04/2035" u="1"/>
        <s v="22/04/2078" u="1"/>
        <s v="22/04/2049" u="1"/>
        <s v="22/04/2080" u="1"/>
        <s v="22/04/2124" u="1"/>
        <s v="22/04/2051" u="1"/>
        <s v="22/04/2022" u="1"/>
        <s v="22/04/2094" u="1"/>
        <s v="22/04/2138" u="1"/>
        <s v="22/04/2065" u="1"/>
        <s v="22/04/2036" u="1"/>
        <s v="22/04/2111" u="1"/>
        <s v="22/04/2079" u="1"/>
        <s v="22/04/2081" u="1"/>
        <s v="22/04/2125" u="1"/>
      </sharedItems>
    </cacheField>
    <cacheField name="Capabilité" numFmtId="0">
      <sharedItems containsBlank="1"/>
    </cacheField>
    <cacheField name="Checkpoint" numFmtId="0">
      <sharedItems containsBlank="1"/>
    </cacheField>
    <cacheField name="Owner" numFmtId="0">
      <sharedItems containsBlank="1"/>
    </cacheField>
    <cacheField name="Checkpoint2" numFmtId="0">
      <sharedItems containsBlank="1"/>
    </cacheField>
    <cacheField name="Owner2" numFmtId="0">
      <sharedItems containsBlank="1"/>
    </cacheField>
    <cacheField name="Date Scan2" numFmtId="16">
      <sharedItems containsDate="1" containsBlank="1" containsMixedTypes="1" minDate="2020-10-20T00:00:00" maxDate="2021-03-21T00:00:00"/>
    </cacheField>
    <cacheField name="Check fev" numFmtId="0">
      <sharedItems containsBlank="1"/>
    </cacheField>
    <cacheField name="CHK" numFmtId="0">
      <sharedItems containsBlank="1"/>
    </cacheField>
    <cacheField name="Figure dans Le PA Obso" numFmtId="0">
      <sharedItems containsBlank="1" count="2">
        <s v="Yes"/>
        <m/>
      </sharedItems>
    </cacheField>
    <cacheField name="Statut Actuel 2" numFmtId="0">
      <sharedItems containsBlank="1" count="44">
        <s v="Fixed"/>
        <s v="Faux Positive"/>
        <s v="(SIRHAPP)"/>
        <s v="Not Fixed en cours d'investigation / Planification"/>
        <s v="(Relais Mail)"/>
        <s v="(Dématérialisation Des Marchés) Safakat"/>
        <s v="(HFM)"/>
        <s v="SI arrêté planification de l intervetion de l'éditeur encours (ExpressWay)"/>
        <s v="(Signature parafeur)"/>
        <s v="DTP intervention de l'éditeur nécessaire"/>
        <m/>
        <s v="SI arréte (Site Web - Fondation)  Change de décom intitié •_x0009_192761 " u="1"/>
        <s v="SI Arrété (Site Web - Fondation)  Change de décom intitié •_x0009_192761 " u="1"/>
        <s v="SI arrêté (Site Web - Fondation)  Change de décom intitié •_x0009_192761 " u="1"/>
        <s v="Transféré pour traitement par l'éditeur (Signature parafeur)" u="1"/>
        <s v="SI arrêté (Webvoid)  Change de décom intitié •_x0009_193131 " u="1"/>
        <s v="SI arrêté (FIPAR) Change de décom intitié •_x0009_193130 " u="1"/>
        <s v="le traitement des Vulns nécissite le contrat de support  (HFM)" u="1"/>
        <s v="Not Fixed 'Encours d'investigation) " u="1"/>
        <s v="SI  arrêté (WiFAQ) Change de décom intitié  193124 " u="1"/>
        <s v="SI  à arrêter (FIPAR) Change de décom intitié •_x0009_193130 " u="1"/>
        <s v="Not Fixed en cours d'investigation" u="1"/>
        <s v="SI à arréte (FIPAR) Change de décom intitié •_x0009_193130 " u="1"/>
        <s v="SI  arrêté (Site Web CDG) Change de décom intitié •_x0009_193129 " u="1"/>
        <s v="encours de confirmation de la résoltion par Un rescan  (SIRHAPP)" u="1"/>
        <s v="Not Fixed (Encours de Plannification ) " u="1"/>
        <s v="SI à arrêter (FIPAR) Change de décom intitié •_x0009_193130 " u="1"/>
        <s v="SI  arrêté (Webvoid)  Change de décom intitié •_x0009_193131 " u="1"/>
        <s v="Si arréte (Site Web Institut CDG) Change de décom intitié •_x0009_193043 " u="1"/>
        <s v="Si Arrété (Site Web Institut CDG) Change de décom intitié •_x0009_193043 " u="1"/>
        <s v="Si arrêté (Site Web Institut CDG) Change de décom intitié •_x0009_193043 " u="1"/>
        <s v="SI en arrét planification de l intervetion de l'éditeur encours (ExpressWay)" u="1"/>
        <s v="Planification d'un point avec l'éditeur  encours  (Relais Mail)" u="1"/>
        <s v="SI arrêté ( Web site CGI) Change de décom intitié •_x0009_C2020-031 " u="1"/>
        <s v="Le SI est arrété planification de l intervetion de l'éditeur encours (ExpressWay)" u="1"/>
        <s v="SI arrêté (WiFAQ) Change de décom intitié  193124 " u="1"/>
        <s v="(Dématérialisation Des Marchés)" u="1"/>
        <s v="Not Fixed (Encours de vérification ) " u="1"/>
        <s v="SI  arrêté ( Web site CGI) Change de décom intitié •_x0009_C2020-031 " u="1"/>
        <s v="(Dématérialisation Des Marchés) Vulnérabilités transférés à l'éditeur" u="1"/>
        <s v="SI arrêté (Site Web CDG) Change de décom intitié •_x0009_193129 " u="1"/>
        <s v="Peplink Vulnérabilités transférés à Orange pour prise en charge" u="1"/>
        <s v="Peplink Vulnérabilité transférés à Orange" u="1"/>
        <s v="(Peplink) transféré à Orange " u="1"/>
      </sharedItems>
    </cacheField>
    <cacheField name="Check " numFmtId="0">
      <sharedItems containsBlank="1" count="3">
        <e v="#N/A"/>
        <s v="Yes"/>
        <m/>
      </sharedItems>
    </cacheField>
    <cacheField name="Quarters2" numFmtId="0" databaseField="0">
      <fieldGroup base="31">
        <rangePr groupBy="quarters" startDate="2020-11-05T00:00:00" endDate="2021-03-01T00:00:00"/>
        <groupItems count="6">
          <s v="&lt;11/5/2020"/>
          <s v="Qtr1"/>
          <s v="Qtr2"/>
          <s v="Qtr3"/>
          <s v="Qtr4"/>
          <s v="&gt;3/1/2021"/>
        </groupItems>
      </fieldGroup>
    </cacheField>
    <cacheField name="Years2" numFmtId="0" databaseField="0">
      <fieldGroup base="31">
        <rangePr groupBy="years" startDate="2020-11-05T00:00:00" endDate="2021-03-01T00:00:00"/>
        <groupItems count="4">
          <s v="&lt;11/5/2020"/>
          <s v="2020"/>
          <s v="2021"/>
          <s v="&gt;3/1/202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81.192.11.129/0/generic-tcp-timestamp"/>
    <s v="81.192.11.129"/>
    <x v="0"/>
    <s v="10.8.0.47_x000a_10.8.0.63"/>
    <s v="N/A"/>
    <s v="SI en arrêt, serveur doit être décommissionner"/>
    <s v="ll81-2-129-11-192-81.ll81-2.iam.net.ma"/>
    <s v="Linux"/>
    <s v="4.0"/>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m/>
    <s v="Fixed"/>
    <x v="0"/>
    <d v="2020-11-15T00:00:00"/>
    <m/>
    <x v="0"/>
    <s v="NA"/>
    <s v="Fixed"/>
    <s v="Unix"/>
    <s v="Fixed"/>
    <s v="Unix"/>
    <d v="2020-10-20T00:00:00"/>
    <e v="#N/A"/>
    <s v="Fixed"/>
    <x v="0"/>
    <x v="0"/>
    <x v="0"/>
  </r>
  <r>
    <s v="81.192.11.129/22/ssh-3des-ciphers"/>
    <s v="81.192.11.129"/>
    <x v="0"/>
    <s v="10.8.0.47_x000a_10.8.0.63"/>
    <s v="N/A"/>
    <s v="SI en arrêt, serveur doit être décommissionner"/>
    <s v="ll81-2-129-11-192-81.ll81-2.iam.net.ma"/>
    <s v="Linux"/>
    <s v="4.0"/>
    <n v="22"/>
    <s v="SSH"/>
    <s v="OpenSSH 5.3"/>
    <n v="1"/>
    <x v="0"/>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s v=""/>
    <s v=""/>
    <d v="2009-02-01T00:00:00"/>
    <s v="vv"/>
    <n v="0"/>
    <s v=""/>
    <s v=""/>
    <s v="168 Days"/>
    <m/>
    <m/>
    <s v="Fixed"/>
    <x v="1"/>
    <d v="2021-03-01T00:00:00"/>
    <m/>
    <x v="0"/>
    <s v="NA"/>
    <s v="Fixed"/>
    <s v="Unix"/>
    <s v="Fixed"/>
    <s v="Unix"/>
    <d v="2020-10-20T00:00:00"/>
    <e v="#N/A"/>
    <s v="Serveur  à décommisioner (Site Web Institut CDG)"/>
    <x v="0"/>
    <x v="0"/>
    <x v="0"/>
  </r>
  <r>
    <s v="81.192.11.129/22/ssh-cbc-ciphers"/>
    <s v="81.192.11.129"/>
    <x v="0"/>
    <s v="10.8.0.47_x000a_10.8.0.63"/>
    <s v="N/A"/>
    <s v="SI en arrêt, serveur doit être décommissionner"/>
    <s v="ll81-2-129-11-192-81.ll81-2.iam.net.ma"/>
    <s v="Linux"/>
    <s v="4.0"/>
    <n v="22"/>
    <s v="SSH"/>
    <s v="OpenSSH 5.3"/>
    <n v="3"/>
    <x v="0"/>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28-cbc,3des-cbc,blowfish-cbc,cast128-cbc,aes192-cbc,aes256-cbc"/>
    <s v="https://www.kb.cert.org/vuls/id/958563"/>
    <s v=""/>
    <s v=""/>
    <d v="2013-02-08T00:00:00"/>
    <s v="vv"/>
    <n v="0"/>
    <s v=""/>
    <s v=""/>
    <s v="168 Days"/>
    <m/>
    <m/>
    <s v="Fixed"/>
    <x v="1"/>
    <d v="2021-03-01T00:00:00"/>
    <m/>
    <x v="0"/>
    <s v="NA"/>
    <s v="Fixed"/>
    <s v="Unix"/>
    <s v="Fixed"/>
    <s v="Unix"/>
    <d v="2020-10-20T00:00:00"/>
    <e v="#N/A"/>
    <s v="Serveur  à décommisioner (Site Web Institut CDG)"/>
    <x v="0"/>
    <x v="0"/>
    <x v="0"/>
  </r>
  <r>
    <s v="81.192.11.129/22/ssh-cve-2015-4000"/>
    <s v="81.192.11.129"/>
    <x v="0"/>
    <s v="10.8.0.47_x000a_10.8.0.63"/>
    <s v="N/A"/>
    <s v="SI en arrêt, serveur doit être décommissionner"/>
    <s v="ll81-2-129-11-192-81.ll81-2.iam.net.ma"/>
    <s v="Linux"/>
    <s v="4.0"/>
    <n v="22"/>
    <s v="SSH"/>
    <s v="OpenSSH 5.3"/>
    <n v="4"/>
    <x v="1"/>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s v="http://nvd.nist.gov/vuln/detail/CVE-2015-4000"/>
    <d v="2015-05-20T00:00:00"/>
    <s v="vv"/>
    <n v="0"/>
    <s v=""/>
    <s v=""/>
    <s v="168 Days"/>
    <m/>
    <m/>
    <s v="Fixed"/>
    <x v="1"/>
    <d v="2021-03-01T00:00:00"/>
    <m/>
    <x v="0"/>
    <s v="NA"/>
    <s v="Fixed"/>
    <s v="Unix"/>
    <s v="Fixed"/>
    <s v="Unix"/>
    <d v="2020-10-20T00:00:00"/>
    <e v="#N/A"/>
    <s v="Serveur  à décommisioner (Site Web Institut CDG)"/>
    <x v="0"/>
    <x v="0"/>
    <x v="0"/>
  </r>
  <r>
    <s v="81.192.11.129/22/ssh-cve-2016-2183-sweet32"/>
    <s v="81.192.11.129"/>
    <x v="0"/>
    <s v="10.8.0.47_x000a_10.8.0.63"/>
    <s v="N/A"/>
    <s v="SI en arrêt, serveur doit être décommissionner"/>
    <s v="ll81-2-129-11-192-81.ll81-2.iam.net.ma"/>
    <s v="Linux"/>
    <s v="4.0"/>
    <n v="22"/>
    <s v="SSH"/>
    <s v="OpenSSH 5.3"/>
    <n v="5"/>
    <x v="1"/>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s v="http://nvd.nist.gov/vuln/detail/CVE-2016-2183"/>
    <d v="2016-08-24T00:00:00"/>
    <s v="vv"/>
    <n v="1"/>
    <s v="Expert"/>
    <s v="http://www.exploit-db.com/exploits/42091"/>
    <s v="168 Days"/>
    <m/>
    <m/>
    <s v="Fixed"/>
    <x v="1"/>
    <d v="2021-03-01T00:00:00"/>
    <m/>
    <x v="0"/>
    <s v="NA"/>
    <s v="Fixed"/>
    <s v="Unix"/>
    <s v="Fixed"/>
    <s v="Unix"/>
    <d v="2020-10-20T00:00:00"/>
    <e v="#N/A"/>
    <s v="Serveur  à décommisioner (Site Web Institut CDG)"/>
    <x v="0"/>
    <x v="0"/>
    <x v="0"/>
  </r>
  <r>
    <s v="81.192.11.129/22/ssh-rc4-ciphers"/>
    <s v="81.192.11.129"/>
    <x v="0"/>
    <s v="10.8.0.47_x000a_10.8.0.63"/>
    <s v="N/A"/>
    <s v="SI en arrêt, serveur doit être décommissionner"/>
    <s v="ll81-2-129-11-192-81.ll81-2.iam.net.ma"/>
    <s v="Linux"/>
    <s v="4.0"/>
    <n v="22"/>
    <s v="SSH"/>
    <s v="OpenSSH 5.3"/>
    <n v="4"/>
    <x v="1"/>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256,arcfour128,arcfour"/>
    <s v="http://www.openssh.com/txt/release-6.7"/>
    <s v=""/>
    <s v=""/>
    <d v="2013-03-12T00:00:00"/>
    <s v="vv"/>
    <n v="0"/>
    <s v=""/>
    <s v=""/>
    <s v="168 Days"/>
    <m/>
    <m/>
    <s v="Fixed"/>
    <x v="1"/>
    <d v="2021-03-01T00:00:00"/>
    <m/>
    <x v="0"/>
    <s v="NA"/>
    <s v="Fixed"/>
    <s v="Unix"/>
    <s v="Fixed"/>
    <s v="Unix"/>
    <d v="2020-10-20T00:00:00"/>
    <e v="#N/A"/>
    <s v="Serveur  à décommisioner (Site Web Institut CDG)"/>
    <x v="0"/>
    <x v="0"/>
    <x v="0"/>
  </r>
  <r>
    <s v="81.192.11.129/22/ssh-weak-kex-algorithms"/>
    <s v="81.192.11.129"/>
    <x v="0"/>
    <s v="10.8.0.47_x000a_10.8.0.63"/>
    <s v="N/A"/>
    <s v="SI en arrêt, serveur doit être décommissionner"/>
    <s v="ll81-2-129-11-192-81.ll81-2.iam.net.ma"/>
    <s v="Linux"/>
    <s v="4.0"/>
    <n v="22"/>
    <s v="SSH"/>
    <s v="OpenSSH 5.3"/>
    <n v="4"/>
    <x v="1"/>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s v=""/>
    <s v=""/>
    <d v="2017-07-13T00:00:00"/>
    <s v="vv"/>
    <n v="0"/>
    <s v=""/>
    <s v=""/>
    <s v="168 Days"/>
    <m/>
    <m/>
    <s v="Fixed"/>
    <x v="1"/>
    <d v="2021-03-01T00:00:00"/>
    <m/>
    <x v="0"/>
    <s v="NA"/>
    <s v="Fixed"/>
    <s v="Unix"/>
    <s v="Fixed"/>
    <s v="Unix"/>
    <d v="2020-10-20T00:00:00"/>
    <e v="#N/A"/>
    <s v="Serveur  à décommisioner (Site Web Institut CDG)"/>
    <x v="0"/>
    <x v="0"/>
    <x v="0"/>
  </r>
  <r>
    <s v="81.192.11.129/22/ssh-weak-message-authentication-code-algorithms"/>
    <s v="81.192.11.129"/>
    <x v="0"/>
    <s v="10.8.0.47_x000a_10.8.0.63"/>
    <s v="N/A"/>
    <s v="SI en arrêt, serveur doit être décommissionner"/>
    <s v="ll81-2-129-11-192-81.ll81-2.iam.net.ma"/>
    <s v="Linux"/>
    <s v="4.0"/>
    <n v="22"/>
    <s v="SSH"/>
    <s v="OpenSSH 5.3"/>
    <n v="4"/>
    <x v="1"/>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hmac-sha1-96,hmac-md5-96"/>
    <s v="http://csrc.nist.gov/archive/ipsec/papers/rfc2403-hmacmd5.txt"/>
    <s v=""/>
    <s v=""/>
    <d v="2014-01-06T00:00:00"/>
    <s v="vv"/>
    <n v="0"/>
    <s v=""/>
    <s v=""/>
    <s v="168 Days"/>
    <m/>
    <m/>
    <s v="Fixed"/>
    <x v="1"/>
    <d v="2021-03-01T00:00:00"/>
    <m/>
    <x v="0"/>
    <s v="NA"/>
    <s v="Fixed"/>
    <s v="Unix"/>
    <s v="Fixed"/>
    <s v="Unix"/>
    <d v="2020-10-20T00:00:00"/>
    <e v="#N/A"/>
    <s v="Serveur  à décommisioner (Site Web Institut CDG)"/>
    <x v="0"/>
    <x v="0"/>
    <x v="0"/>
  </r>
  <r>
    <s v="81.192.11.129/80/http-basic-auth-cleartext"/>
    <s v="81.192.11.129"/>
    <x v="0"/>
    <s v="10.8.0.47_x000a_10.8.0.63"/>
    <s v="N/A"/>
    <s v="SI en arrêt, serveur doit être décommissionner"/>
    <s v="ll81-2-129-11-192-81.ll81-2.iam.net.ma"/>
    <s v="Linux"/>
    <s v="4.0"/>
    <n v="80"/>
    <s v="HTTP"/>
    <s v="HTTPD"/>
    <n v="7"/>
    <x v="2"/>
    <s v="http-basic-auth-cleartext"/>
    <s v="HTTP Basic Authentication Enabled"/>
    <s v="The HTTP Basic Authentication scheme is not considered to be a secure method of user authentication (unless used in conjunction with some external secure system such as TLS/SSL), as the user name and password are passed over the network as cleartext."/>
    <s v="* Use Basic Authentication over TLS/SSL (HTTPS)_x000d__x000a_      _x000d__x000a_       Enable HTTPS on the Web server. The TLS/SSL protocol will protect cleartext Basic Authentication credentials. _x000d__x000a__x000d__x000a__x000d__x000a__x000d__x000a_ * Use Digest Authentication_x000d__x000a_      _x000d__x000a_       Replace Basic Authentication with the alternative Digest Authentication scheme. By modern cryptographic standards Digest Authentication is weak. But for a large range of purposes it is valuable as a replacement for Basic Authentication. It remedies some, but not all, weaknesses of Basic Authentication. See RFC 2617, section  4. Security Considerations (http://tools.ietf.org/html/rfc2617#section-4)  for more information."/>
    <s v="* Running HTTP service_x000d__x000a__x000d__x000a__x000d__x000a__x000d__x000a__x000d__x000a_HTTP GET request to  http://81.192.11.129/ _x000d__x000a_HTTP response code was an expected 401_x000d__x000a_1: Basic realm=&quot;CDG INSTITUT&quot;_x000d__x000a__x000d__x000a_HTTP header 'WWW-Authenticate' was present and matched expectation"/>
    <s v="http://tools.ietf.org/html/rfc2617"/>
    <s v=""/>
    <s v=""/>
    <d v="1997-01-01T00:00:00"/>
    <s v="ve"/>
    <n v="0"/>
    <s v=""/>
    <s v=""/>
    <s v="168 Days"/>
    <m/>
    <m/>
    <s v="Fixed"/>
    <x v="1"/>
    <d v="2021-03-01T00:00:00"/>
    <m/>
    <x v="0"/>
    <s v="NA"/>
    <s v="Fixed"/>
    <s v="Unix"/>
    <s v="Fixed"/>
    <s v="Unix"/>
    <d v="2020-10-20T00:00:00"/>
    <e v="#N/A"/>
    <s v="Serveur  à décommisioner (Site Web Institut CDG)"/>
    <x v="0"/>
    <x v="0"/>
    <x v="0"/>
  </r>
  <r>
    <s v="81.192.11.129/80/http-generic-browsable-dir"/>
    <s v="81.192.11.129"/>
    <x v="0"/>
    <s v="10.8.0.47_x000a_10.8.0.63"/>
    <s v="N/A"/>
    <s v="SI en arrêt, serveur doit être décommissionner"/>
    <s v="ll81-2-129-11-192-81.ll81-2.iam.net.ma"/>
    <s v="Linux"/>
    <s v="4.0"/>
    <n v="80"/>
    <s v="HTTP"/>
    <s v="HTTPD"/>
    <n v="5"/>
    <x v="1"/>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81.192.11.129/icons/small/?P=+ADw-script+AD4-alert(42)+ADw-/script+AD4- _x000d__x000a_HTTP response code was an expected 200_x000d__x000a_5: &lt;/head&gt; 6: &lt;body&gt; 7: &lt;h1&gt;Index of /icons/small&lt;/h1&gt; 8: &lt;table&gt;&lt;tr&gt;&lt;th&gt;&lt;img src=&quot;/icons/blank.gif&quot; alt=&quot;[ICO]&quot;&gt;&lt;/th&gt;&lt;th&gt;&lt;a ... 9: ...IR]&quot;&gt;&lt;/td&gt;&lt;td&gt;&lt;a href=&quot;/icons/&quot;&gt;Parent Directory&lt;/a&gt;&lt;/td&gt;&lt;td&gt;&amp;nbsp;..."/>
    <s v=""/>
    <s v=""/>
    <s v=""/>
    <d v="2001-01-01T00:00:00"/>
    <s v="ve"/>
    <n v="0"/>
    <s v=""/>
    <s v=""/>
    <s v="168 Days"/>
    <m/>
    <m/>
    <s v="Fixed"/>
    <x v="1"/>
    <d v="2021-03-01T00:00:00"/>
    <m/>
    <x v="0"/>
    <s v="NA"/>
    <s v="Fixed"/>
    <s v="Unix"/>
    <s v="Fixed"/>
    <s v="Unix"/>
    <d v="2020-10-20T00:00:00"/>
    <e v="#N/A"/>
    <s v="Serveur  à décommisioner (Site Web Institut CDG)"/>
    <x v="0"/>
    <x v="0"/>
    <x v="0"/>
  </r>
  <r>
    <s v="81.192.11.129/80/http-generic-click-jacking"/>
    <s v="81.192.11.129"/>
    <x v="0"/>
    <s v="10.8.0.47_x000a_10.8.0.63"/>
    <s v="N/A"/>
    <s v="SI en arrêt, serveur doit être décommissionner"/>
    <s v="ll81-2-129-11-192-81.ll81-2.iam.net.ma"/>
    <s v="Linux"/>
    <s v="4.0"/>
    <n v="80"/>
    <s v="HTTP"/>
    <s v="HTTPD"/>
    <n v="4"/>
    <x v="1"/>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81.192.11.129/icons/small/?P=+ADw-script+AD4-alert(42)+ADw-/script+AD4-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s v="Fixed"/>
    <x v="1"/>
    <d v="2021-03-01T00:00:00"/>
    <m/>
    <x v="0"/>
    <s v="NA"/>
    <s v="Fixed"/>
    <s v="Unix"/>
    <s v="Fixed"/>
    <s v="Unix"/>
    <d v="2020-10-20T00:00:00"/>
    <e v="#N/A"/>
    <s v="Serveur  à décommisioner (Site Web Institut CDG)"/>
    <x v="0"/>
    <x v="0"/>
    <x v="0"/>
  </r>
  <r>
    <s v="81.192.11.129/80/http-trace-method-enabled"/>
    <s v="81.192.11.129"/>
    <x v="0"/>
    <s v="10.8.0.47_x000a_10.8.0.63"/>
    <s v="N/A"/>
    <s v="SI en arrêt, serveur doit être décommissionner"/>
    <s v="ll81-2-129-11-192-81.ll81-2.iam.net.ma"/>
    <s v="Linux"/>
    <s v="4.0"/>
    <n v="80"/>
    <s v="HTTP"/>
    <s v="HTTPD"/>
    <n v="6"/>
    <x v="1"/>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 Apache Tomcat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 service_x000d__x000a__x000d__x000a__x000d__x000a__x000d__x000a__x000d__x000a_HTTP TRACE request to  http://81.192.11.129/ _x000d__x000a__x000d__x000a_1: TRACE / HTTP/1.1 2: Host: 81.192.11.129 3: Cookie: vulnerable=yes"/>
    <s v="http://www.apacheweek.com/issues/03-01-24#news,http://www.kb.cert.org/vuls/id/867593"/>
    <s v="CVE-2010-0386,CVE-2009-2823,CVE-2008-7253,CVE-2007-3008,CVE-2006-4683,CVE-2005-3398,CVE-2004-2763,CVE-2004-2320"/>
    <s v="http://nvd.nist.gov/vuln/detail/CVE-2010-0386,http://nvd.nist.gov/vuln/detail/CVE-2009-2823,http://nvd.nist.gov/vuln/detail/CVE-2008-7253,http://nvd.nist.gov/vuln/detail/CVE-2007-3008,http://nvd.nist.gov/vuln/detail/CVE-2006-4683,http://nvd.nist.gov/vuln/detail/CVE-2005-3398,http://nvd.nist.gov/vuln/detail/CVE-2004-2763,http://nvd.nist.gov/vuln/detail/CVE-2004-2320"/>
    <d v="2004-11-01T00:00:00"/>
    <s v="ve"/>
    <n v="2"/>
    <s v="Intermediate"/>
    <s v="http://www.rapid7.com/db/modules/auxiliary/scanner/http/options,http://www.rapid7.com/db/modules/auxiliary/scanner/http/trace"/>
    <s v="168 Days"/>
    <m/>
    <m/>
    <s v="Fixed"/>
    <x v="1"/>
    <d v="2021-03-01T00:00:00"/>
    <m/>
    <x v="0"/>
    <s v="NA"/>
    <s v="Fixed"/>
    <s v="Unix"/>
    <s v="Fixed"/>
    <s v="Unix"/>
    <d v="2020-10-20T00:00:00"/>
    <e v="#N/A"/>
    <s v="Serveur  à décommisioner (Site Web Institut CDG)"/>
    <x v="0"/>
    <x v="0"/>
    <x v="0"/>
  </r>
  <r>
    <s v="81.192.11.130/0/generic-tcp-timestamp"/>
    <s v="81.192.11.130"/>
    <x v="1"/>
    <s v="10.8.0.51_x000a_10.9.0.61"/>
    <s v="New"/>
    <s v="UNIX"/>
    <s v="ll81-2-130-11-192-81.ll81-2.iam.net.ma"/>
    <s v=""/>
    <s v=""/>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n v="35643"/>
    <s v="ve"/>
    <n v="0"/>
    <s v=""/>
    <s v=""/>
    <s v="95 Days"/>
    <m/>
    <m/>
    <s v="Fixed"/>
    <x v="1"/>
    <m/>
    <m/>
    <x v="1"/>
    <s v="NA"/>
    <s v="New"/>
    <s v="NA"/>
    <m/>
    <m/>
    <d v="2020-11-20T00:00:00"/>
    <e v="#N/A"/>
    <s v="Point escaladé à la CDG (Site Web - Fondation)"/>
    <x v="0"/>
    <x v="0"/>
    <x v="1"/>
  </r>
  <r>
    <s v="81.192.11.131/0/generic-tcp-timestamp"/>
    <s v="81.192.11.131"/>
    <x v="2"/>
    <m/>
    <s v="Not Fixed"/>
    <m/>
    <m/>
    <s v="Linux"/>
    <s v="2.6.32"/>
    <s v="0"/>
    <s v="System"/>
    <s v=""/>
    <n v="1"/>
    <x v="0"/>
    <s v="generic-tcp-timestamp"/>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1997-08-01"/>
    <m/>
    <m/>
    <m/>
    <m/>
    <s v="38 Days"/>
    <m/>
    <m/>
    <s v="Fixed"/>
    <x v="1"/>
    <d v="2021-12-06T00:00:00"/>
    <m/>
    <x v="2"/>
    <m/>
    <s v="Network"/>
    <m/>
    <m/>
    <m/>
    <m/>
    <e v="#N/A"/>
    <e v="#N/A"/>
    <x v="1"/>
    <x v="0"/>
    <x v="1"/>
  </r>
  <r>
    <s v="81.192.11.131/443/certificate-common-name-mismatch"/>
    <s v="81.192.11.131"/>
    <x v="2"/>
    <m/>
    <s v="Not Fixed"/>
    <m/>
    <m/>
    <s v="Linux"/>
    <s v="2.6.32"/>
    <s v="443"/>
    <s v="HTTPS"/>
    <s v="nginx"/>
    <n v="7"/>
    <x v="2"/>
    <s v="certificate-common-name-mismatch"/>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aptive-portal.peplink.com does not match target name specified in the site._x000d__x000a__x000d__x000a_ * Subject CN captive-portal.peplink.com does not match DNS name specified in the site._x000d__x000a__x000d__x000a_ * Subject CN captive-portal.peplink.com could not be resolved to an IP address via DNS lookup_x000d__x000a__x000d__x000a_ * Subject Alternative Name captive-portal.peplink.com does not match target name specified in the site._x000d__x000a__x000d__x000a_ * Subject Alternative Name www.captive-portal.peplink.com does not match target name specified in the site._x000d__x000a__x000d__x000a_ * Subject Alternative Name captive-portal.peplink.com does not match DNS name specified in the site._x000d__x000a__x000d__x000a_ * Subject Alternative Name www.captive-portal.peplink.com does not match DNS name specified in the site."/>
    <s v=""/>
    <s v=""/>
    <s v="2007-08-03"/>
    <m/>
    <m/>
    <m/>
    <m/>
    <s v="38 Days"/>
    <m/>
    <m/>
    <s v="Fixed"/>
    <x v="1"/>
    <d v="2021-12-06T00:00:00"/>
    <m/>
    <x v="2"/>
    <m/>
    <s v="Network"/>
    <m/>
    <m/>
    <m/>
    <m/>
    <e v="#N/A"/>
    <e v="#N/A"/>
    <x v="1"/>
    <x v="0"/>
    <x v="1"/>
  </r>
  <r>
    <s v="81.192.11.131/443/http-cookie-http-only-flag"/>
    <s v="81.192.11.131"/>
    <x v="2"/>
    <m/>
    <s v="Not Fixed"/>
    <m/>
    <m/>
    <s v="Linux"/>
    <s v="2.6.32"/>
    <s v="443"/>
    <s v="HTTPS"/>
    <s v="nginx"/>
    <s v="5"/>
    <x v="1"/>
    <s v="http-cookie-http-only-flag"/>
    <s v="http-cookie-http-only-flag"/>
    <s v="Missing HttpOnly Flag From Cookie"/>
    <s v="HttpOnly is an additional flag included in a Set-Cookie HTTP response header. If supported by the browser, using the HttpOnly flag when generating a cookie helps mitigate the risk of client side script accessing the protected cookie. If a browser that supports HttpOnly detects a cookie containing the HttpOnly flag, and client side script code attempts to read the cookie, the browser returns an empty string as the result. This causes the attack to fail by preventing the malicious (usually XSS) code from sending the data to an attacker's website."/>
    <s v="Add the HttpOnly to all cookies_x000d__x000a__x000d__x000a__x000d__x000a_For each cookie generated by your web-site, add the &quot;HttpOnly&quot; flag to the cookie. For example:_x000d__x000a__x000d__x000a__x000d__x000a_ Set-Cookie: &lt;name&gt;=&lt;value&gt;[; &lt;Max-Age&gt;=&lt;age&gt;] [; expires=&lt;date&gt;][; domain=&lt;domain_name&gt;] [; path=&lt;some_path&gt;][; secure][; HttpOnly]"/>
    <s v="Cookie is not marked as HttpOnly: 'SameSite=Lax; path=/cgi-bin/MANGA; domain=81.192.11.131'_x000d__x000a__x000d__x000a_URL:  https://81.192.11.131/cgi-bin/MANGA/index.cgi"/>
    <s v="http://msdn.microsoft.com/en-us/library/ms533046.aspx,https://www.owasp.org/index.php/HttpOnly"/>
    <s v=""/>
    <s v="2011-05-31"/>
    <m/>
    <m/>
    <m/>
    <m/>
    <s v="38 Days"/>
    <m/>
    <m/>
    <s v="Fixed"/>
    <x v="1"/>
    <d v="2021-12-06T00:00:00"/>
    <m/>
    <x v="2"/>
    <m/>
    <s v="Network"/>
    <m/>
    <m/>
    <m/>
    <m/>
    <e v="#N/A"/>
    <e v="#N/A"/>
    <x v="1"/>
    <x v="0"/>
    <x v="1"/>
  </r>
  <r>
    <s v="81.192.11.131/443/http-cookie-secure-flag"/>
    <s v="81.192.11.131"/>
    <x v="2"/>
    <m/>
    <s v="Not Fixed"/>
    <m/>
    <m/>
    <s v="Linux"/>
    <s v="2.6.32"/>
    <s v="443"/>
    <s v="HTTPS"/>
    <s v="nginx"/>
    <s v="5"/>
    <x v="1"/>
    <s v="http-cookie-secure-flag"/>
    <s v="http-cookie-secure-flag"/>
    <s v="Missing Secure Flag From SSL Cookie"/>
    <s v="The Secure attribute tells the browser to only send the cookie if the request is being sent over a secure channel such as HTTPS. This will help protect the cookie from being passed over unencrypted requests. If the application can be accessed over both HTTP and HTTPS, then there is the potential that the cookie can be sent in clear text."/>
    <s v="Add the Secure flag to cookies sent over SSL_x000d__x000a__x000d__x000a__x000d__x000a_For each cookie sent over SSL in your web-site, add the &quot;Secure&quot; flag to the cookie. For example:_x000d__x000a__x000d__x000a__x000d__x000a_Set-Cookie: &lt;name&gt;=&lt;value&gt;[; &lt;Max-Age&gt;=&lt;age&gt;] [; expires=&lt;date&gt;][; domain=&lt;domain_name&gt;] [; path=&lt;some_path&gt;][; secure][; HttpOnly]"/>
    <s v="Cookie is not marked as secure: 'SameSite=Lax; path=/cgi-bin/MANGA; domain=81.192.11.131'_x000d__x000a__x000d__x000a_URL:  https://81.192.11.131/cgi-bin/MANGA/index.cgi"/>
    <s v="http://www.ietf.org/rfc/rfc2965.txt,https://www.owasp.org/index.php/Testing_for_cookies_attributes_%28OWASP-SM-002%29"/>
    <s v=""/>
    <s v="2011-05-31"/>
    <m/>
    <m/>
    <m/>
    <m/>
    <s v="38 Days"/>
    <m/>
    <m/>
    <s v="Fixed"/>
    <x v="1"/>
    <d v="2021-12-06T00:00:00"/>
    <m/>
    <x v="2"/>
    <m/>
    <s v="Network"/>
    <m/>
    <m/>
    <m/>
    <m/>
    <e v="#N/A"/>
    <e v="#N/A"/>
    <x v="1"/>
    <x v="0"/>
    <x v="1"/>
  </r>
  <r>
    <s v="81.192.11.133/0/generic-tcp-timestamp"/>
    <s v="81.192.11.133"/>
    <x v="3"/>
    <s v="172.20.0.31_x000a_10.9.0.14"/>
    <s v="Open"/>
    <s v="Créer demande de support auprés de Microsoft "/>
    <s v="ll81-2-133-11-192-81.ll81-2.iam.net.ma"/>
    <s v="Linux"/>
    <s v="4.0"/>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a_      Disable TCP timestamp responses on Cisco_x000a__x000a_      _x000a_       Run the following command to disable TCP timestamps: _x000a__x000a_       no ip tcp timestamp _x000a__x000a__x000a__x000a_ * FreeBSD_x000a_      Disable TCP timestamp responses on Free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Linux_x000a_      Disable TCP timestamp responses on Linux_x000a__x000a_      _x000a_       Set the value of net.ipv4.tcp_timestamps to 0 by running the following command: _x000a__x000a_       sysctl -w net.ipv4.tcp_timestamps=0 _x000a__x000a_       Additionally, put the following value in the default sysctl configuration file, generally sysctl.conf: _x000a__x000a_       net.ipv4.tcp_timestamps=0 _x000a__x000a__x000a__x000a_ * OpenBSD_x000a_      Disable TCP timestamp responses on Open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a_      Disable TCP timestamp responses on Windows versions before Vista_x000a__x000a_      _x000a_       Set the Tcp1323Opts value in the following key to 1: _x000a__x000a_       HKEY_LOCAL_MACHINE\System\CurrentControlSet\Services\Tcpip\Parameters _x000a__x000a__x000a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a_      Disable TCP timestamp responses on Windows versions since Vista_x000a__x000a_      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s v="Vulnérabilité cloturé après retour de l'editeur voir Mail de Khalid smila du 28/01/21"/>
    <s v="Fixed"/>
    <x v="2"/>
    <d v="2021-02-28T00:00:00"/>
    <m/>
    <x v="0"/>
    <s v="Windows"/>
    <s v="Fixed"/>
    <s v="Wintel"/>
    <s v="Fixed"/>
    <s v="Wintel"/>
    <d v="2020-10-20T00:00:00"/>
    <e v="#N/A"/>
    <s v="Fixed"/>
    <x v="0"/>
    <x v="0"/>
    <x v="1"/>
  </r>
  <r>
    <s v="81.192.11.133/443/certificate-common-name-mismatch"/>
    <s v="81.192.11.133"/>
    <x v="3"/>
    <s v="172.20.0.31_x000a_10.9.0.14"/>
    <s v="Faux Positive"/>
    <s v="Faux Positive  il faut lancer le scan par le Hostname "/>
    <s v="ll81-2-133-11-192-81.ll81-2.iam.net.ma"/>
    <s v="Linux"/>
    <s v="4.0"/>
    <n v="443"/>
    <s v="HTTPS"/>
    <s v="CDGWS"/>
    <n v="7"/>
    <x v="2"/>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168 Days"/>
    <m/>
    <m/>
    <s v="Faux Positive"/>
    <x v="1"/>
    <m/>
    <m/>
    <x v="0"/>
    <s v="Windows"/>
    <s v="Faux Positive"/>
    <s v="Wintel"/>
    <s v="Faux Positive"/>
    <s v="Wintel"/>
    <d v="2020-10-20T00:00:00"/>
    <e v="#N/A"/>
    <s v="Faux Positive"/>
    <x v="0"/>
    <x v="1"/>
    <x v="1"/>
  </r>
  <r>
    <s v="81.192.11.133/443/http-generic-click-jacking"/>
    <s v="81.192.11.133"/>
    <x v="3"/>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n v="4"/>
    <x v="1"/>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33/&lt;script&gt;xss&lt;/script&gt;.shtml/&lt;script&gt;xss&lt;/script&gt;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s v="point escaladé à la CDG pour intevention de l'editeur  (SIRHAPP)"/>
    <x v="3"/>
    <d v="2021-02-13T00:00:00"/>
    <m/>
    <x v="0"/>
    <s v="Windows"/>
    <s v="Not Fixed"/>
    <s v="Wintel"/>
    <s v="Not Fixed"/>
    <s v="Wintel"/>
    <d v="2020-10-20T00:00:00"/>
    <e v="#N/A"/>
    <s v="Fixed"/>
    <x v="0"/>
    <x v="2"/>
    <x v="1"/>
  </r>
  <r>
    <s v="81.192.11.133/443/ssl-3des-ciphers"/>
    <s v="81.192.11.133"/>
    <x v="3"/>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n v="1"/>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68 Days"/>
    <m/>
    <m/>
    <s v="point escaladé à la CDG pour intevention de l'editeur  (SIRHAPP)"/>
    <x v="1"/>
    <m/>
    <s v="Date à difinir avec l'éditeur"/>
    <x v="0"/>
    <s v="Windows"/>
    <s v="Not Fixed"/>
    <s v="Wintel"/>
    <s v="Not Fixed"/>
    <s v="Wintel"/>
    <d v="2020-10-20T00:00:00"/>
    <e v="#N/A"/>
    <s v="point escaladé à la CDG pour intevention de l'editeur  (SIRHAPP)"/>
    <x v="0"/>
    <x v="2"/>
    <x v="1"/>
  </r>
  <r>
    <s v="81.192.11.133/443/ssl-cve-2011-3389-beast"/>
    <s v="81.192.11.133"/>
    <x v="3"/>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n v="4"/>
    <x v="1"/>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ECDHE_RSA_WITH_3DES_EDE_CBC_SHA_x000d__x000a__x000d__x000a_       * TLS_ECDHE_RSA_WITH_AES_128_CBC_SHA_x000d__x000a__x000d__x000a_       * TLS_ECDHE_RSA_WITH_AES_256_CBC_SHA_x000d__x000a__x000d__x000a_       * TLS_RSA_WITH_AES_128_CBC_SHA_x000d__x000a__x000d__x000a_       * TLS_RSA_WITH_AES_256_CBC_SHA"/>
    <s v="http://vnhacker.blogspot.co.uk/2011/09/beast.html"/>
    <s v="CVE-2011-3389"/>
    <s v="http://nvd.nist.gov/vuln/detail/CVE-2011-3389"/>
    <d v="2011-09-06T00:00:00"/>
    <s v="ve"/>
    <n v="0"/>
    <s v=""/>
    <s v=""/>
    <s v="168 Days"/>
    <m/>
    <m/>
    <s v="point escaladé à la CDG pour intevention de l'editeur  (SIRHAPP)"/>
    <x v="1"/>
    <m/>
    <m/>
    <x v="0"/>
    <s v="Windows"/>
    <s v="Not Fixed"/>
    <s v="Wintel"/>
    <s v="Not Fixed"/>
    <s v="Wintel"/>
    <d v="2020-10-20T00:00:00"/>
    <e v="#N/A"/>
    <s v="point escaladé à la CDG pour intevention de l'editeur  (SIRHAPP)"/>
    <x v="0"/>
    <x v="2"/>
    <x v="1"/>
  </r>
  <r>
    <s v="81.192.11.133/443/ssl-cve-2016-2183-sweet32"/>
    <s v="81.192.11.133"/>
    <x v="3"/>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n v="5"/>
    <x v="1"/>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s://sweet32.info/,https://www.openssl.org/blog/blog/2016/08/24/sweet32,https://access.redhat.com/articles/2548661"/>
    <s v="CVE-2016-2183"/>
    <s v="http://nvd.nist.gov/vuln/detail/CVE-2016-2183"/>
    <d v="2016-08-24T00:00:00"/>
    <s v="ve"/>
    <n v="1"/>
    <s v="Expert"/>
    <s v="http://www.exploit-db.com/exploits/42091"/>
    <s v="168 Days"/>
    <m/>
    <m/>
    <s v="point escaladé à la CDG pour intevention de l'editeur  (SIRHAPP)"/>
    <x v="1"/>
    <m/>
    <m/>
    <x v="0"/>
    <s v="Windows"/>
    <s v="Not Fixed"/>
    <s v="Wintel"/>
    <s v="Not Fixed"/>
    <s v="Wintel"/>
    <d v="2020-10-20T00:00:00"/>
    <e v="#N/A"/>
    <s v="point escaladé à la CDG pour intevention de l'editeur  (SIRHAPP)"/>
    <x v="0"/>
    <x v="2"/>
    <x v="1"/>
  </r>
  <r>
    <s v="81.192.11.133/443/ssl-static-key-ciphers"/>
    <s v="81.192.11.133"/>
    <x v="3"/>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68 Days"/>
    <m/>
    <m/>
    <s v="point escaladé à la CDG pour intevention de l'editeur  (SIRHAPP)"/>
    <x v="1"/>
    <m/>
    <m/>
    <x v="0"/>
    <s v="Windows"/>
    <s v="Not Fixed"/>
    <s v="Wintel"/>
    <s v="Not Fixed"/>
    <s v="Wintel"/>
    <d v="2020-10-20T00:00:00"/>
    <e v="#N/A"/>
    <s v="point escaladé à la CDG pour intevention de l'editeur  (SIRHAPP)"/>
    <x v="0"/>
    <x v="2"/>
    <x v="1"/>
  </r>
  <r>
    <s v="81.192.11.133/443/tlsv1_0-enabled"/>
    <s v="81.192.11.133"/>
    <x v="3"/>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n v="4"/>
    <x v="1"/>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168 Days"/>
    <m/>
    <m/>
    <s v="point escaladé à la CDG pour intevention de l'editeur  (SIRHAPP)"/>
    <x v="1"/>
    <m/>
    <m/>
    <x v="0"/>
    <s v="Windows"/>
    <s v="Not Fixed"/>
    <s v="Wintel"/>
    <s v="Not Fixed"/>
    <s v="Wintel"/>
    <d v="2020-10-20T00:00:00"/>
    <e v="#N/A"/>
    <s v="point escaladé à la CDG pour intevention de l'editeur  (SIRHAPP)"/>
    <x v="0"/>
    <x v="2"/>
    <x v="1"/>
  </r>
  <r>
    <s v="81.192.11.133/443/tlsv1_1-enabled"/>
    <s v="81.192.11.133"/>
    <x v="3"/>
    <s v="172.20.0.31_x000a_10.9.0.14"/>
    <s v="On hold "/>
    <s v="Change N°: C2019-176: Disable SSL V2,3_x000a_Env. Test non concluant, rollaback effectué_x000a_DB hors scope du DXC_x000a_Prevoir une intervention de l'editeur - à plannifier par le client "/>
    <s v="ll81-2-133-11-192-81.ll81-2.iam.net.ma"/>
    <s v="Linux"/>
    <s v="4.0"/>
    <n v="443"/>
    <s v="HTTPS"/>
    <s v="CDGWS"/>
    <n v="3"/>
    <x v="0"/>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168 Days"/>
    <m/>
    <m/>
    <s v="point escaladé à la CDG pour intevention de l'editeur  (SIRHAPP)"/>
    <x v="1"/>
    <m/>
    <m/>
    <x v="0"/>
    <s v="Windows"/>
    <s v="Not Fixed"/>
    <s v="Wintel"/>
    <s v="Not Fixed"/>
    <s v="Wintel"/>
    <d v="2020-10-20T00:00:00"/>
    <e v="#N/A"/>
    <s v="point escaladé à la CDG pour intevention de l'editeur  (SIRHAPP)"/>
    <x v="0"/>
    <x v="2"/>
    <x v="1"/>
  </r>
  <r>
    <s v="81.192.11.137/0/generic-tcp-timestamp"/>
    <s v="81.192.11.137"/>
    <x v="4"/>
    <s v="NAT 10.9.0.10_x000a_172.20.0.5"/>
    <s v="Open"/>
    <s v="Relance envoyé à khalid pour contacter le prestataire "/>
    <s v="ll81-2-137-11-192-81.ll81-2.iam.net.ma"/>
    <s v="Linux"/>
    <s v="4.0"/>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s v="Vulnérabilité cloturé après retour de l'editeur voir Mail de Khalid smila du 28/01/21"/>
    <s v="Fixed"/>
    <x v="2"/>
    <d v="2021-02-28T00:00:00"/>
    <m/>
    <x v="0"/>
    <s v="Windows"/>
    <s v="Fixed"/>
    <s v="Client"/>
    <s v="Fixed"/>
    <s v="Client"/>
    <d v="2020-10-20T00:00:00"/>
    <e v="#N/A"/>
    <s v="Fixed"/>
    <x v="1"/>
    <x v="0"/>
    <x v="1"/>
  </r>
  <r>
    <s v="81.192.11.137/443/certificate-common-name-mismatch"/>
    <s v="81.192.11.137"/>
    <x v="4"/>
    <s v="NAT 10.9.0.10_x000a_172.20.0.5"/>
    <s v="Faux Positive"/>
    <m/>
    <s v="ll81-2-137-11-192-81.ll81-2.iam.net.ma"/>
    <s v="Linux"/>
    <s v="4.0"/>
    <n v="443"/>
    <s v="HTTPS"/>
    <s v=""/>
    <n v="7"/>
    <x v="2"/>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168 Days"/>
    <m/>
    <m/>
    <s v="Faux Positive"/>
    <x v="1"/>
    <m/>
    <m/>
    <x v="0"/>
    <s v="Windows"/>
    <s v="Faux Positive"/>
    <s v="Client"/>
    <s v="Faux Positive"/>
    <s v="Client"/>
    <d v="2020-10-20T00:00:00"/>
    <e v="#N/A"/>
    <s v="Faux Positive"/>
    <x v="1"/>
    <x v="1"/>
    <x v="1"/>
  </r>
  <r>
    <s v="81.192.11.137/443/http-generic-click-jacking"/>
    <s v="81.192.11.137"/>
    <x v="4"/>
    <s v="NAT 10.9.0.10_x000a_172.20.0.5"/>
    <s v="Open"/>
    <s v="change ouvert  impact important à planifier lors d'un week end n bécessité d'avoir les Arl dans la planif "/>
    <s v="ll81-2-137-11-192-81.ll81-2.iam.net.ma"/>
    <s v="Linux"/>
    <s v="4.0"/>
    <n v="443"/>
    <s v="HTTPS"/>
    <s v=""/>
    <n v="4"/>
    <x v="1"/>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37/login.jsp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47 Days"/>
    <m/>
    <m/>
    <s v="Not Fixed 'Encours d'investigation) "/>
    <x v="2"/>
    <d v="2021-02-28T00:00:00"/>
    <m/>
    <x v="0"/>
    <s v="Windows"/>
    <s v="Not Fixed"/>
    <s v="Client"/>
    <s v="Not Fixed"/>
    <s v="Client"/>
    <d v="2020-10-20T00:00:00"/>
    <e v="#N/A"/>
    <s v="Fixed"/>
    <x v="1"/>
    <x v="3"/>
    <x v="1"/>
  </r>
  <r>
    <s v="81.192.11.137/443/ssl-3des-ciphers"/>
    <s v="81.192.11.137"/>
    <x v="4"/>
    <s v="NAT 10.9.0.10_x000a_172.20.0.5"/>
    <s v="Open"/>
    <s v="Relance envoyé à khalid pour contacter le prestataire "/>
    <s v="ll81-2-137-11-192-81.ll81-2.iam.net.ma"/>
    <s v="Linux"/>
    <s v="4.0"/>
    <n v="443"/>
    <s v="HTTPS"/>
    <s v=""/>
    <n v="1"/>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68 Days"/>
    <m/>
    <m/>
    <s v="Fixed"/>
    <x v="2"/>
    <d v="2021-02-28T00:00:00"/>
    <m/>
    <x v="0"/>
    <s v="Windows"/>
    <s v="Not Fixed"/>
    <s v="Client"/>
    <s v="Not Fixed"/>
    <s v="Client"/>
    <d v="2020-10-20T00:00:00"/>
    <e v="#N/A"/>
    <s v="Fixed"/>
    <x v="1"/>
    <x v="0"/>
    <x v="0"/>
  </r>
  <r>
    <s v="81.192.11.137/443/ssl-cve-2011-3389-beast"/>
    <s v="81.192.11.137"/>
    <x v="4"/>
    <s v="NAT 10.9.0.10_x000a_172.20.0.5"/>
    <s v="Open"/>
    <s v="change ouvert  impact important à planifier lors d'un week end n bécessité d'avoir les Arl dans la planif "/>
    <s v="ll81-2-137-11-192-81.ll81-2.iam.net.ma"/>
    <s v="Linux"/>
    <s v="4.0"/>
    <n v="443"/>
    <s v="HTTPS"/>
    <s v=""/>
    <n v="4"/>
    <x v="1"/>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ECDHE_RSA_WITH_3DES_EDE_CBC_SHA_x000d__x000a__x000d__x000a_       * TLS_ECDHE_RSA_WITH_AES_128_CBC_SHA_x000d__x000a__x000d__x000a_       * TLS_ECDHE_RSA_WITH_AES_256_CBC_SHA_x000d__x000a__x000d__x000a_       * TLS_RSA_WITH_AES_128_CBC_SHA_x000d__x000a__x000d__x000a_       * TLS_RSA_WITH_AES_256_CBC_SHA"/>
    <s v="http://vnhacker.blogspot.co.uk/2011/09/beast.html"/>
    <s v="CVE-2011-3389"/>
    <s v="http://nvd.nist.gov/vuln/detail/CVE-2011-3389"/>
    <d v="2011-09-06T00:00:00"/>
    <s v="ve"/>
    <n v="0"/>
    <s v=""/>
    <s v=""/>
    <s v="168 Days"/>
    <m/>
    <m/>
    <s v="Fixed"/>
    <x v="2"/>
    <d v="2021-02-28T00:00:00"/>
    <m/>
    <x v="0"/>
    <s v="Windows"/>
    <s v="Not Fixed"/>
    <s v="Client"/>
    <s v="Not Fixed"/>
    <s v="Client"/>
    <d v="2020-10-20T00:00:00"/>
    <e v="#N/A"/>
    <s v="Fixed"/>
    <x v="1"/>
    <x v="0"/>
    <x v="0"/>
  </r>
  <r>
    <s v="81.192.11.137/443/ssl-cve-2016-2183-sweet32"/>
    <s v="81.192.11.137"/>
    <x v="4"/>
    <s v="NAT 10.9.0.10_x000a_172.20.0.5"/>
    <s v="Open"/>
    <s v="change ouvert  impact important à planifier lors d'un week end n bécessité d'avoir les Arl dans la planif "/>
    <s v="ll81-2-137-11-192-81.ll81-2.iam.net.ma"/>
    <s v="Linux"/>
    <s v="4.0"/>
    <n v="443"/>
    <s v="HTTPS"/>
    <s v=""/>
    <n v="5"/>
    <x v="1"/>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s://sweet32.info/,https://www.openssl.org/blog/blog/2016/08/24/sweet32,https://access.redhat.com/articles/2548661"/>
    <s v="CVE-2016-2183"/>
    <s v="http://nvd.nist.gov/vuln/detail/CVE-2016-2183"/>
    <d v="2016-08-24T00:00:00"/>
    <s v="ve"/>
    <n v="1"/>
    <s v="Expert"/>
    <s v="http://www.exploit-db.com/exploits/42091"/>
    <s v="168 Days"/>
    <m/>
    <m/>
    <s v="Fixed"/>
    <x v="2"/>
    <d v="2021-02-28T00:00:00"/>
    <m/>
    <x v="0"/>
    <s v="Windows"/>
    <s v="Not Fixed"/>
    <s v="Client"/>
    <s v="Not Fixed"/>
    <s v="Client"/>
    <d v="2020-10-20T00:00:00"/>
    <e v="#N/A"/>
    <s v="Fixed"/>
    <x v="1"/>
    <x v="0"/>
    <x v="0"/>
  </r>
  <r>
    <s v="81.192.11.137/443/ssl-static-key-ciphers"/>
    <s v="81.192.11.137"/>
    <x v="4"/>
    <s v="NAT 10.9.0.10_x000a_172.20.0.5"/>
    <s v="Open"/>
    <s v="Relance envoyé à khalid pour contacter le prestataire "/>
    <s v="ll81-2-137-11-192-81.ll81-2.iam.net.ma"/>
    <s v="Linux"/>
    <s v="4.0"/>
    <n v="443"/>
    <s v="HTTPS"/>
    <s v=""/>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68 Days"/>
    <m/>
    <m/>
    <s v="Fixed"/>
    <x v="2"/>
    <d v="2021-02-28T00:00:00"/>
    <m/>
    <x v="0"/>
    <s v="Windows"/>
    <s v="Not Fixed"/>
    <s v="Client"/>
    <s v="Not Fixed"/>
    <s v="Client"/>
    <d v="2020-10-20T00:00:00"/>
    <e v="#N/A"/>
    <s v="Fixed"/>
    <x v="1"/>
    <x v="0"/>
    <x v="0"/>
  </r>
  <r>
    <s v="81.192.11.137/443/tlsv1_0-enabled"/>
    <s v="81.192.11.137"/>
    <x v="4"/>
    <s v="NAT 10.9.0.10_x000a_172.20.0.5"/>
    <s v="Open"/>
    <s v="change ouvert  impact important à planifier lors d'un week end n bécessité d'avoir les Arl dans la planif "/>
    <s v="ll81-2-137-11-192-81.ll81-2.iam.net.ma"/>
    <s v="Linux"/>
    <s v="4.0"/>
    <n v="443"/>
    <s v="HTTPS"/>
    <s v=""/>
    <n v="4"/>
    <x v="1"/>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168 Days"/>
    <m/>
    <m/>
    <s v="Fixed"/>
    <x v="2"/>
    <d v="2021-02-28T00:00:00"/>
    <m/>
    <x v="0"/>
    <s v="Windows"/>
    <s v="Not Fixed"/>
    <s v="Client"/>
    <s v="Not Fixed"/>
    <s v="Client"/>
    <d v="2020-10-20T00:00:00"/>
    <e v="#N/A"/>
    <s v="Fixed"/>
    <x v="1"/>
    <x v="0"/>
    <x v="0"/>
  </r>
  <r>
    <s v="81.192.11.137/443/tlsv1_1-enabled"/>
    <s v="81.192.11.137"/>
    <x v="4"/>
    <s v="NAT 10.9.0.10_x000a_172.20.0.5"/>
    <s v="Open"/>
    <s v="Relance envoyé à khalid pour contacter le prestataire "/>
    <s v="ll81-2-137-11-192-81.ll81-2.iam.net.ma"/>
    <s v="Linux"/>
    <s v="4.0"/>
    <n v="443"/>
    <s v="HTTPS"/>
    <s v=""/>
    <n v="3"/>
    <x v="0"/>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168 Days"/>
    <m/>
    <m/>
    <s v="Fixed"/>
    <x v="2"/>
    <d v="2021-02-28T00:00:00"/>
    <m/>
    <x v="0"/>
    <s v="Windows"/>
    <s v="Not Fixed"/>
    <s v="Client"/>
    <s v="Not Fixed"/>
    <s v="Client"/>
    <d v="2020-10-20T00:00:00"/>
    <e v="#N/A"/>
    <s v="Fixed"/>
    <x v="1"/>
    <x v="0"/>
    <x v="0"/>
  </r>
  <r>
    <s v="81.192.11.140/0/generic-tcp-timestamp"/>
    <s v="81.192.11.140"/>
    <x v="5"/>
    <s v="10.8.0.8"/>
    <s v="Open"/>
    <s v="Relance envoyé à khalid pour contacter le prestataire "/>
    <s v="cdgmail.cdgcapital.ma,cdgmail.medz.ma,mail.cdgnet.ma"/>
    <s v="Linux"/>
    <s v="4.0"/>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a_      Disable TCP timestamp responses on Cisco_x000a__x000a_      _x000a_       Run the following command to disable TCP timestamps: _x000a__x000a_       no ip tcp timestamp _x000a__x000a__x000a__x000a_ * FreeBSD_x000a_      Disable TCP timestamp responses on Free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Linux_x000a_      Disable TCP timestamp responses on Linux_x000a__x000a_      _x000a_       Set the value of net.ipv4.tcp_timestamps to 0 by running the following command: _x000a__x000a_       sysctl -w net.ipv4.tcp_timestamps=0 _x000a__x000a_       Additionally, put the following value in the default sysctl configuration file, generally sysctl.conf: _x000a__x000a_       net.ipv4.tcp_timestamps=0 _x000a__x000a__x000a__x000a_ * OpenBSD_x000a_      Disable TCP timestamp responses on Open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a_      Disable TCP timestamp responses on Windows versions before Vista_x000a__x000a_      _x000a_       Set the Tcp1323Opts value in the following key to 1: _x000a__x000a_       HKEY_LOCAL_MACHINE\System\CurrentControlSet\Services\Tcpip\Parameters _x000a__x000a__x000a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a_      Disable TCP timestamp responses on Windows versions since Vista_x000a__x000a_      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s v="Vulnérabilité cloturé après retour de l'editeur voir Mail de Khalid smila du 28/01/21"/>
    <s v="Fixed"/>
    <x v="1"/>
    <m/>
    <m/>
    <x v="0"/>
    <s v="Windows"/>
    <s v="Not Fixed"/>
    <s v="Unix"/>
    <s v="Not Fixed"/>
    <s v="Unix"/>
    <d v="2020-10-20T00:00:00"/>
    <e v="#N/A"/>
    <s v="Fixed"/>
    <x v="1"/>
    <x v="0"/>
    <x v="1"/>
  </r>
  <r>
    <s v="81.192.11.140/25/certificate-common-name-mismatch"/>
    <s v="81.192.11.140"/>
    <x v="5"/>
    <s v="10.8.0.8"/>
    <s v="New"/>
    <s v="Wintel"/>
    <s v="cdgmail.cdgcapital.ma,cdgmail.medz.ma,mail.cdgnet.ma"/>
    <s v="Linux"/>
    <s v="4.0"/>
    <n v="25"/>
    <s v="SMTP"/>
    <s v=""/>
    <n v="7"/>
    <x v="2"/>
    <s v="certificate-common-name-mismatch"/>
    <s v="X.509 Certificate Subject CN Does Not Match the Entity Name"/>
    <s v="The subject common name (CN) field in the X.509 certificate does not match the name of the entity presenting the certificate._x000a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a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a__x000a_A CN mismatch most often occurs due to a configuration error, though it can also indicate that a man-in-the-middle attack is being conducted. _x000a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a_ * Subject CN Email does not match target name specified in the site._x000a__x000a_ * Subject CN Email does not match DNS name specified in the site._x000a__x000a_ * Subject CN Email does not match DNS name specified in the site._x000a__x000a_ * Subject CN Email does not match DNS name specified in the site._x000a__x000a_ * Subject CN Email could not be resolved to an IP address via DNS lookup"/>
    <s v=""/>
    <s v=""/>
    <s v=""/>
    <d v="2007-08-03T00:00:00"/>
    <s v="ve"/>
    <n v="0"/>
    <s v=""/>
    <s v=""/>
    <s v="3 Days"/>
    <m/>
    <m/>
    <s v="Fixed"/>
    <x v="1"/>
    <d v="2021-11-05T00:00:00"/>
    <m/>
    <x v="1"/>
    <s v="Windows"/>
    <s v="New"/>
    <s v="Wintel"/>
    <m/>
    <m/>
    <d v="2020-11-20T00:00:00"/>
    <e v="#N/A"/>
    <s v="Not Fixed New "/>
    <x v="1"/>
    <x v="0"/>
    <x v="1"/>
  </r>
  <r>
    <s v="81.192.11.140/25/ssl-self-signed-certificate"/>
    <s v="81.192.11.140"/>
    <x v="5"/>
    <s v="10.8.0.8"/>
    <s v="New"/>
    <s v="Wintel"/>
    <s v="cdgmail.cdgcapital.ma,cdgmail.medz.ma,mail.cdgnet.ma"/>
    <s v="Linux"/>
    <s v="4.0"/>
    <n v="25"/>
    <s v="SMTP"/>
    <s v=""/>
    <n v="4"/>
    <x v="1"/>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s v=""/>
    <s v=""/>
    <d v="1995-01-01T00:00:00"/>
    <s v="ve"/>
    <n v="0"/>
    <s v=""/>
    <s v=""/>
    <s v="3 Days"/>
    <m/>
    <m/>
    <s v="Point escaladé à La CDG pour intervention de l'éditeur (Relais Mail)"/>
    <x v="1"/>
    <d v="2021-11-05T00:00:00"/>
    <m/>
    <x v="1"/>
    <s v="Windows"/>
    <s v="New"/>
    <s v="Wintel"/>
    <m/>
    <m/>
    <d v="2020-11-20T00:00:00"/>
    <e v="#N/A"/>
    <s v="Not Fixed New "/>
    <x v="1"/>
    <x v="4"/>
    <x v="1"/>
  </r>
  <r>
    <s v="81.192.11.140/25/tls-untrusted-ca"/>
    <s v="81.192.11.140"/>
    <x v="5"/>
    <s v="10.8.0.8"/>
    <s v="New"/>
    <s v="Wintel"/>
    <s v="cdgmail.cdgcapital.ma,cdgmail.medz.ma,mail.cdgnet.ma"/>
    <s v="Linux"/>
    <s v="4.0"/>
    <n v="25"/>
    <s v="SMTP"/>
    <s v=""/>
    <n v="6"/>
    <x v="1"/>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EMAILADDRESS=support@forcepoint.com, CN=Email, O=Forcepoint, L=Austin, ST=TX, C=US -- [Path does not chain with any of the trust anchors]."/>
    <s v="http://httpd.apache.org/docs/2.2/mod/mod_ssl.html,http://nginx.org/en/docs/http/configuring_https_servers.html,https://support.microsoft.com/en-us/kb/954755"/>
    <s v=""/>
    <s v=""/>
    <d v="1995-01-01T00:00:00"/>
    <s v="ve"/>
    <n v="0"/>
    <s v=""/>
    <s v=""/>
    <s v="3 Days"/>
    <m/>
    <m/>
    <s v="Fixed"/>
    <x v="1"/>
    <d v="2021-11-05T00:00:00"/>
    <m/>
    <x v="1"/>
    <s v="Windows"/>
    <s v="New"/>
    <s v="Wintel"/>
    <m/>
    <m/>
    <d v="2020-11-20T00:00:00"/>
    <e v="#N/A"/>
    <s v="Not Fixed New "/>
    <x v="1"/>
    <x v="0"/>
    <x v="1"/>
  </r>
  <r>
    <s v="81.192.11.140/25/tlsv1_0-enabled"/>
    <s v="81.192.11.140"/>
    <x v="5"/>
    <s v="10.8.0.6"/>
    <s v="Open"/>
    <s v="Relance envoyé à khalid pour contacter le prestataire "/>
    <s v="cdgmail.cdgcapital.ma,cdgmail.medz.ma,mail.cdgnet.ma"/>
    <s v="Linux"/>
    <s v="4.0"/>
    <n v="25"/>
    <s v="SMTP"/>
    <s v=""/>
    <n v="4"/>
    <x v="1"/>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168 Days"/>
    <m/>
    <m/>
    <s v="Point escaladé à La CDG pour intervention de l'éditeur (Relais Mail)"/>
    <x v="1"/>
    <m/>
    <m/>
    <x v="0"/>
    <s v="Windows"/>
    <s v="Not Fixed"/>
    <s v="Unix"/>
    <s v="Not Fixed"/>
    <s v="Unix"/>
    <d v="2020-10-20T00:00:00"/>
    <e v="#N/A"/>
    <s v="Point escaladé à La CDG pour intervention de l'éditeur (Relais Mail)"/>
    <x v="1"/>
    <x v="4"/>
    <x v="1"/>
  </r>
  <r>
    <s v="81.192.11.140/25/tlsv1_1-enabled"/>
    <s v="81.192.11.140"/>
    <x v="5"/>
    <s v="10.8.0.7"/>
    <s v="Open"/>
    <s v="Relance envoyé à khalid pour contacter le prestataire "/>
    <s v="cdgmail.cdgcapital.ma,cdgmail.medz.ma,mail.cdgnet.ma"/>
    <s v="Linux"/>
    <s v="4.0"/>
    <n v="25"/>
    <s v="SMTP"/>
    <s v=""/>
    <n v="3"/>
    <x v="0"/>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168 Days"/>
    <m/>
    <m/>
    <s v="Point escaladé à La CDG pour intervention de l'éditeur (Relais Mail)"/>
    <x v="1"/>
    <m/>
    <m/>
    <x v="0"/>
    <s v="Windows"/>
    <s v="Not Fixed"/>
    <s v="Unix"/>
    <s v="Not Fixed"/>
    <s v="Unix"/>
    <d v="2020-10-20T00:00:00"/>
    <e v="#N/A"/>
    <s v="Point escaladé à La CDG pour intervention de l'éditeur (Relais Mail)"/>
    <x v="1"/>
    <x v="4"/>
    <x v="1"/>
  </r>
  <r>
    <s v="81.192.11.141/0/oracle_linux-cve-2015-532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15-5327"/>
    <s v="Oracle Linux: (CVE-2015-5327) ELSA-2019-4642: Unbreakable Enterprise kernel security update"/>
    <s v="Out-of-bounds memory read in the x509_decode_time function in x509_cert_parser.c in Linux kernels 4.3-rc1 and after."/>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5-5327] is not installed, no patches discovered._x000d__x000a__x000d__x000a__x000d__x000a_ * _x000d__x000a_      kernel-uek-firmware - version 4.1.12-94.3.9.el7uek is installed"/>
    <s v=""/>
    <s v="CVE-2015-5327"/>
    <s v="http://nvd.nist.gov/vuln/detail/CVE-2015-5327"/>
    <d v="2017-09-25T00:00:00"/>
    <s v="vv"/>
    <n v="0"/>
    <s v=""/>
    <s v=""/>
    <s v="3 Days"/>
    <m/>
    <m/>
    <s v="Fixed"/>
    <x v="4"/>
    <d v="2020-12-26T00:00:00"/>
    <m/>
    <x v="3"/>
    <s v="Unix"/>
    <e v="#N/A"/>
    <m/>
    <m/>
    <m/>
    <d v="2020-12-20T00:00:00"/>
    <e v="#N/A"/>
    <s v="Fixed"/>
    <x v="1"/>
    <x v="0"/>
    <x v="0"/>
  </r>
  <r>
    <s v="81.192.11.141/0/oracle_linux-cve-2016-1020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6-10200"/>
    <s v="Oracle Linux: (CVE-2016-10200) (Multiple Advisories): Unbreakable Enterprise kernel security update"/>
    <s v="Race condition in the L2TPv3 IP Encapsulation feature in the Linux kernel before 4.8.14 allows local users to gain privileges or cause a denial of service (use-after-free) by making multiple bind system calls without properly ascertaining whether a socket has the SOCK_ZAPPED status, related to net/l2tp/l2tp_ip.c and net/l2tp/l2tp_ip6.c."/>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10200] is not installed, no patches discovered._x000d__x000a__x000d__x000a__x000d__x000a_ * _x000d__x000a_      kernel-uek-firmware - version 4.1.12-94.3.9.el7uek is installed"/>
    <s v=""/>
    <s v="CVE-2016-10200"/>
    <s v="http://nvd.nist.gov/vuln/detail/CVE-2016-10200"/>
    <d v="2017-03-07T00:00:00"/>
    <s v="vv"/>
    <n v="0"/>
    <s v=""/>
    <s v=""/>
    <s v="3 Days"/>
    <m/>
    <m/>
    <s v="Fixed"/>
    <x v="4"/>
    <d v="2020-12-26T00:00:00"/>
    <m/>
    <x v="3"/>
    <s v="Unix"/>
    <e v="#N/A"/>
    <m/>
    <m/>
    <m/>
    <d v="2020-12-20T00:00:00"/>
    <e v="#N/A"/>
    <s v="Fixed"/>
    <x v="1"/>
    <x v="0"/>
    <x v="0"/>
  </r>
  <r>
    <s v="81.192.11.141/0/oracle_linux-cve-2016-1031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16-10318"/>
    <s v="Oracle Linux: (CVE-2016-10318) ELSA-2017-3659: Unbreakable Enterprise kernel security and bugfix update"/>
    <s v="A missing authorization check in the fscrypt_process_policy function in fs/crypto/policy.c in the ext4 and f2fs filesystem encryption support in the Linux kernel before 4.7.4 allows a user to assign an encryption policy to a directory owned by a different user, potentially creating a denial of servic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10318] is not installed, no patches discovered._x000d__x000a__x000d__x000a__x000d__x000a_ * _x000d__x000a_      kernel-uek-firmware - version 4.1.12-94.3.9.el7uek is installed"/>
    <s v=""/>
    <s v="CVE-2016-10318"/>
    <s v="http://nvd.nist.gov/vuln/detail/CVE-2016-10318"/>
    <d v="2017-04-04T00:00:00"/>
    <s v="vv"/>
    <n v="0"/>
    <s v=""/>
    <s v=""/>
    <s v="3 Days"/>
    <m/>
    <m/>
    <s v="Fixed"/>
    <x v="4"/>
    <d v="2020-12-26T00:00:00"/>
    <m/>
    <x v="3"/>
    <s v="Unix"/>
    <e v="#N/A"/>
    <m/>
    <m/>
    <m/>
    <d v="2020-12-20T00:00:00"/>
    <e v="#N/A"/>
    <s v="Fixed"/>
    <x v="1"/>
    <x v="0"/>
    <x v="0"/>
  </r>
  <r>
    <s v="81.192.11.141/0/oracle_linux-cve-2016-1090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6"/>
    <x v="1"/>
    <s v="oracle_linux-cve-2016-10905"/>
    <s v="Oracle Linux: (CVE-2016-10905) (Multiple Advisories): Unbreakable Enterprise kernel security update"/>
    <s v="An issue was discovered in fs/gfs2/rgrp.c in the Linux kernel before 4.8. A use-after-free is caused by the functions gfs2_clear_rgrpd and read_rindex_entry."/>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10905] is not installed, no patches discovered._x000d__x000a__x000d__x000a__x000d__x000a_ * _x000d__x000a_      kernel-uek-firmware - version 4.1.12-94.3.9.el7uek is installed"/>
    <s v=""/>
    <s v="CVE-2016-10905"/>
    <s v="http://nvd.nist.gov/vuln/detail/CVE-2016-10905"/>
    <d v="2019-08-19T00:00:00"/>
    <s v="vv"/>
    <n v="0"/>
    <s v=""/>
    <s v=""/>
    <s v="3 Days"/>
    <m/>
    <m/>
    <s v="Fixed"/>
    <x v="4"/>
    <d v="2020-12-26T00:00:00"/>
    <m/>
    <x v="3"/>
    <s v="Unix"/>
    <e v="#N/A"/>
    <m/>
    <m/>
    <m/>
    <d v="2020-12-20T00:00:00"/>
    <e v="#N/A"/>
    <s v="Fixed"/>
    <x v="1"/>
    <x v="0"/>
    <x v="0"/>
  </r>
  <r>
    <s v="81.192.11.141/0/oracle_linux-cve-2016-1090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16-10906"/>
    <s v="Oracle Linux: (CVE-2016-10906) ELSA-2020-5866: Unbreakable Enterprise kernel security update"/>
    <s v="An issue was discovered in drivers/net/ethernet/arc/emac_main.c in the Linux kernel before 4.5. A use-after-free is caused by a race condition between the functions arc_emac_tx and arc_emac_tx_clean."/>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10906] is not installed, no patches discovered._x000d__x000a__x000d__x000a__x000d__x000a_ * _x000d__x000a_      kernel-uek-firmware - version 4.1.12-94.3.9.el7uek is installed"/>
    <s v=""/>
    <s v="CVE-2016-10906"/>
    <s v="http://nvd.nist.gov/vuln/detail/CVE-2016-10906"/>
    <d v="2019-08-19T00:00:00"/>
    <s v="vv"/>
    <n v="0"/>
    <s v=""/>
    <s v=""/>
    <s v="3 Days"/>
    <m/>
    <m/>
    <s v="Fixed"/>
    <x v="4"/>
    <d v="2020-12-26T00:00:00"/>
    <m/>
    <x v="3"/>
    <s v="Unix"/>
    <e v="#N/A"/>
    <m/>
    <m/>
    <m/>
    <d v="2020-12-20T00:00:00"/>
    <e v="#N/A"/>
    <s v="Fixed"/>
    <x v="1"/>
    <x v="0"/>
    <x v="0"/>
  </r>
  <r>
    <s v="81.192.11.141/0/oracle_linux-cve-2016-524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6-5244"/>
    <s v="Oracle Linux: (CVE-2016-5244) ELSA-2020-5670: Unbreakable Enterprise kernel security update"/>
    <s v="The rds_inc_info_copy function in net/rds/recv.c in the Linux kernel through 4.6.3 does not initialize a certain structure member, which allows remote attackers to obtain sensitive information from kernel stack memory by reading an RDS messag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5244] is not installed, no patches discovered._x000d__x000a__x000d__x000a__x000d__x000a_ * _x000d__x000a_      kernel-uek-firmware - version 4.1.12-94.3.9.el7uek is installed"/>
    <s v=""/>
    <s v="CVE-2016-5244"/>
    <s v="http://nvd.nist.gov/vuln/detail/CVE-2016-5244"/>
    <d v="2016-06-27T00:00:00"/>
    <s v="vv"/>
    <n v="0"/>
    <s v=""/>
    <s v=""/>
    <s v="3 Days"/>
    <m/>
    <m/>
    <s v="Fixed"/>
    <x v="4"/>
    <d v="2020-12-26T00:00:00"/>
    <m/>
    <x v="3"/>
    <s v="Unix"/>
    <e v="#N/A"/>
    <m/>
    <m/>
    <m/>
    <d v="2020-12-20T00:00:00"/>
    <e v="#N/A"/>
    <s v="Fixed"/>
    <x v="1"/>
    <x v="0"/>
    <x v="0"/>
  </r>
  <r>
    <s v="81.192.11.141/0/oracle_linux-cve-2016-621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6-6213"/>
    <s v="Oracle Linux: (CVE-2016-6213) (Multiple Advisories): Unbreakable Enterprise kernel security update"/>
    <s v="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6213] is not installed, no patches discovered._x000d__x000a__x000d__x000a__x000d__x000a_ * _x000d__x000a_      kernel-uek-firmware - version 4.1.12-94.3.9.el7uek is installed"/>
    <s v=""/>
    <s v="CVE-2016-6213"/>
    <s v="http://nvd.nist.gov/vuln/detail/CVE-2016-6213"/>
    <d v="2016-12-28T00:00:00"/>
    <s v="vv"/>
    <n v="0"/>
    <s v=""/>
    <s v=""/>
    <s v="3 Days"/>
    <m/>
    <m/>
    <s v="Fixed"/>
    <x v="4"/>
    <d v="2020-12-26T00:00:00"/>
    <m/>
    <x v="3"/>
    <s v="Unix"/>
    <e v="#N/A"/>
    <m/>
    <m/>
    <m/>
    <d v="2020-12-20T00:00:00"/>
    <e v="#N/A"/>
    <s v="Fixed"/>
    <x v="1"/>
    <x v="0"/>
    <x v="0"/>
  </r>
  <r>
    <s v="81.192.11.141/0/oracle_linux-cve-2016-791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9"/>
    <x v="3"/>
    <s v="oracle_linux-cve-2016-7913"/>
    <s v="Oracle Linux: (CVE-2016-7913) (Multiple Advisories): Unbreakable Enterprise kernel security update"/>
    <s v="The xc2028_set_config function in drivers/media/tuners/tuner-xc2028.c in the Linux kernel before 4.6 allows local users to gain privileges or cause a denial of service (use-after-free) via vectors involving omission of the firmware name from a certain data structur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7913] is not installed, no patches discovered._x000d__x000a__x000d__x000a__x000d__x000a_ * _x000d__x000a_      kernel-uek-firmware - version 4.1.12-94.3.9.el7uek is installed"/>
    <s v=""/>
    <s v="CVE-2016-7913"/>
    <s v="http://nvd.nist.gov/vuln/detail/CVE-2016-7913"/>
    <d v="2016-11-16T00:00:00"/>
    <s v="vv"/>
    <n v="0"/>
    <s v=""/>
    <s v=""/>
    <s v="3 Days"/>
    <m/>
    <m/>
    <s v="Fixed"/>
    <x v="4"/>
    <d v="2020-12-26T00:00:00"/>
    <m/>
    <x v="3"/>
    <s v="Unix"/>
    <e v="#N/A"/>
    <m/>
    <m/>
    <m/>
    <d v="2020-12-20T00:00:00"/>
    <e v="#N/A"/>
    <s v="Fixed"/>
    <x v="1"/>
    <x v="0"/>
    <x v="0"/>
  </r>
  <r>
    <s v="81.192.11.141/0/oracle_linux-cve-2016-791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16-7917"/>
    <s v="Oracle Linux: (CVE-2016-7917) ELSA-2020-5912: Unbreakable Enterprise kernel security update"/>
    <s v="The nfnetlink_rcv_batch function in net/netfilter/nfnetlink.c in the Linux kernel before 4.5 does not check whether a batch message's length field is large enough, which allows local users to obtain sensitive information from kernel memory or cause a denial of service (infinite loop or out-of-bounds read) by leveraging the CAP_NET_ADMIN capability."/>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7917] is not installed, no patches discovered._x000d__x000a__x000d__x000a__x000d__x000a_ * _x000d__x000a_      kernel-uek-firmware - version 4.1.12-94.3.9.el7uek is installed"/>
    <s v=""/>
    <s v="CVE-2016-7917"/>
    <s v="http://nvd.nist.gov/vuln/detail/CVE-2016-7917"/>
    <d v="2016-11-16T00:00:00"/>
    <s v="vv"/>
    <n v="0"/>
    <s v=""/>
    <s v=""/>
    <s v="3 Days"/>
    <m/>
    <m/>
    <s v="Fixed"/>
    <x v="4"/>
    <d v="2020-12-26T00:00:00"/>
    <m/>
    <x v="3"/>
    <s v="Unix"/>
    <e v="#N/A"/>
    <m/>
    <m/>
    <m/>
    <d v="2020-12-20T00:00:00"/>
    <e v="#N/A"/>
    <s v="Fixed"/>
    <x v="1"/>
    <x v="0"/>
    <x v="0"/>
  </r>
  <r>
    <s v="81.192.11.141/0/oracle_linux-cve-2016-919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6-9191"/>
    <s v="Oracle Linux: (CVE-2016-9191) (Multiple Advisories): Unbreakable Enterprise kernel security update"/>
    <s v="The cgroup offline implementation in the Linux kernel through 4.8.11 mishandles certain drain operations, which allows local users to cause a denial of service (system hang) by leveraging access to a container environment for executing a crafted application, as demonstrated by trinity."/>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9191] is not installed, no patches discovered._x000d__x000a__x000d__x000a__x000d__x000a_ * _x000d__x000a_      kernel-uek-firmware - version 4.1.12-94.3.9.el7uek is installed"/>
    <s v=""/>
    <s v="CVE-2016-9191"/>
    <s v="http://nvd.nist.gov/vuln/detail/CVE-2016-9191"/>
    <d v="2016-11-27T00:00:00"/>
    <s v="vv"/>
    <n v="0"/>
    <s v=""/>
    <s v=""/>
    <s v="3 Days"/>
    <m/>
    <m/>
    <s v="Fixed"/>
    <x v="4"/>
    <d v="2020-12-26T00:00:00"/>
    <m/>
    <x v="3"/>
    <s v="Unix"/>
    <e v="#N/A"/>
    <m/>
    <m/>
    <m/>
    <d v="2020-12-20T00:00:00"/>
    <e v="#N/A"/>
    <s v="Fixed"/>
    <x v="1"/>
    <x v="0"/>
    <x v="0"/>
  </r>
  <r>
    <s v="81.192.11.141/0/oracle_linux-cve-2016-960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6-9604"/>
    <s v="Oracle Linux: (CVE-2016-9604) (Multiple Advisories): Unbreakable Enterprise kernel security update"/>
    <s v="It was discovered in the Linux kernel before 4.11-rc8 that root can gain direct access to an internal keyring, such as '.dns_resolver' in RHEL-7 or '.builtin_trusted_keys' upstream, by joining it as its session keyring. This allows root to bypass module signature verification by adding a new public key of its own devising to the keyring."/>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6-9604] is not installed, no patches discovered._x000d__x000a__x000d__x000a__x000d__x000a_ * _x000d__x000a_      kernel-uek-firmware - version 4.1.12-94.3.9.el7uek is installed"/>
    <s v=""/>
    <s v="CVE-2016-9604"/>
    <s v="http://nvd.nist.gov/vuln/detail/CVE-2016-9604"/>
    <d v="2017-04-28T00:00:00"/>
    <s v="vv"/>
    <n v="0"/>
    <s v=""/>
    <s v=""/>
    <s v="3 Days"/>
    <m/>
    <m/>
    <s v="Fixed"/>
    <x v="4"/>
    <d v="2020-12-26T00:00:00"/>
    <m/>
    <x v="3"/>
    <s v="Unix"/>
    <e v="#N/A"/>
    <m/>
    <m/>
    <m/>
    <d v="2020-12-20T00:00:00"/>
    <e v="#N/A"/>
    <s v="Fixed"/>
    <x v="1"/>
    <x v="0"/>
    <x v="0"/>
  </r>
  <r>
    <s v="81.192.11.141/0/oracle_linux-cve-2017-086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0861"/>
    <s v="Oracle Linux: (CVE-2017-0861) (Multiple Advisories): kernel security, bug fix, and enhancement update"/>
    <s v="Use-after-free vulnerability in the snd_pcm_info function in the ALSA subsystem in the Linux kernel allows attackers to gain privileges via unspecified vector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0861] is not installed, no patches discovered._x000d__x000a__x000d__x000a__x000d__x000a_ * _x000d__x000a_      kernel-uek-firmware - version 4.1.12-94.3.9.el7uek is installed"/>
    <s v=""/>
    <s v="CVE-2017-0861"/>
    <s v="http://nvd.nist.gov/vuln/detail/CVE-2017-0861"/>
    <d v="2017-11-16T00:00:00"/>
    <s v="vv"/>
    <n v="0"/>
    <s v=""/>
    <s v=""/>
    <s v="3 Days"/>
    <m/>
    <m/>
    <s v="Fixed"/>
    <x v="4"/>
    <d v="2020-12-26T00:00:00"/>
    <m/>
    <x v="3"/>
    <s v="Unix"/>
    <e v="#N/A"/>
    <m/>
    <m/>
    <m/>
    <d v="2020-12-20T00:00:00"/>
    <e v="#N/A"/>
    <s v="Fixed"/>
    <x v="1"/>
    <x v="0"/>
    <x v="0"/>
  </r>
  <r>
    <s v="81.192.11.141/0/oracle_linux-cve-2017-100011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000112"/>
    <s v="Oracle Linux: (CVE-2017-1000112) (Multiple Advisories): kernel security and bug fix update"/>
    <s v="Linux kernel: Exploitable memory corruption due to UFO to non-UFO path switch. When building a UFO packet with MSG_MORE __ip_append_data() calls ip_ufo_append_data() to append. However in between two send() calls, the append path can be switched from UFO to non-UFO one, which leads to a memory corruption. In case UFO packet lengths exceeds MTU, copy = maxfraglen - skb-&gt;len becomes negative on the non-UFO path and the branch to allocate new skb is taken. This triggers fragmentation and computation of fraggap = skb_prev-&gt;len - maxfraglen. Fraggap can exceed MTU, causing copy = datalen - transhdrlen - fraggap to become negative. Subsequently skb_copy_and_csum_bits() writes out-of-bounds. A similar issue is present in IPv6 code. The bug was introduced in e89e9cf539a2 (&quot;[IPv4/IPv6]: UFO Scatter-gather approach&quot;) on Oct 18 2005."/>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firmware on Oracle Linux_x000d__x000a_      Upgrade kernel-firmware_x000d__x000a__x000d__x000a_       Update kernel-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000112] is not installed, no patches discovered._x000d__x000a__x000d__x000a__x000d__x000a_ * _x000d__x000a_      kernel-uek-firmware - version 4.1.12-94.3.9.el7uek is installed"/>
    <s v=""/>
    <s v="CVE-2017-1000112"/>
    <s v="http://nvd.nist.gov/vuln/detail/CVE-2017-1000112"/>
    <d v="2017-10-04T00:00:00"/>
    <s v="vv"/>
    <n v="3"/>
    <s v="Intermediate"/>
    <s v="http://www.rapid7.com/db/modules/exploit/linux/local/ufo_privilege_escalation,http://www.exploit-db.com/exploits/47169,http://www.exploit-db.com/exploits/43418"/>
    <s v="3 Days"/>
    <m/>
    <m/>
    <s v="Fixed"/>
    <x v="4"/>
    <d v="2020-12-26T00:00:00"/>
    <m/>
    <x v="3"/>
    <s v="Unix"/>
    <e v="#N/A"/>
    <m/>
    <m/>
    <m/>
    <d v="2020-12-20T00:00:00"/>
    <e v="#N/A"/>
    <s v="Fixed"/>
    <x v="1"/>
    <x v="0"/>
    <x v="0"/>
  </r>
  <r>
    <s v="81.192.11.141/0/oracle_linux-cve-2017-100025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8"/>
    <x v="2"/>
    <s v="oracle_linux-cve-2017-1000251"/>
    <s v="Oracle Linux: (CVE-2017-1000251) (Multiple Advisories): kernel security and bug fix update"/>
    <s v="The native Bluetooth stack in the Linux Kernel (BlueZ), starting at the Linux kernel version 2.6.32 and up to and including 4.13.1, are vulnerable to a stack overflow vulnerability in the processing of L2CAP configuration responses resulting in Remote code execution in kernel spa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000251] is not installed, no patches discovered._x000d__x000a__x000d__x000a__x000d__x000a_ * _x000d__x000a_      kernel-uek-firmware - version 4.1.12-94.3.9.el7uek is installed"/>
    <s v=""/>
    <s v="CVE-2017-1000251"/>
    <s v="http://nvd.nist.gov/vuln/detail/CVE-2017-1000251"/>
    <d v="2017-09-12T00:00:00"/>
    <s v="vv"/>
    <n v="1"/>
    <s v="Expert"/>
    <s v="http://www.exploit-db.com/exploits/42762"/>
    <s v="3 Days"/>
    <m/>
    <m/>
    <s v="Fixed"/>
    <x v="4"/>
    <d v="2020-12-26T00:00:00"/>
    <m/>
    <x v="3"/>
    <s v="Unix"/>
    <e v="#N/A"/>
    <m/>
    <m/>
    <m/>
    <d v="2020-12-20T00:00:00"/>
    <e v="#N/A"/>
    <s v="Fixed"/>
    <x v="1"/>
    <x v="0"/>
    <x v="0"/>
  </r>
  <r>
    <s v="81.192.11.141/0/oracle_linux-cve-2017-100036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000363"/>
    <s v="Oracle Linux: (CVE-2017-1000363) (Multiple Advisories): Unbreakable Enterprise kernel security update"/>
    <s v="Linux drivers/char/lp.c Out-of-Bounds Write. Due to a missing bounds check, and the fact that parport_ptr integer is static, a 'secure boot' kernel command line adversary (can happen due to bootloader vulns, e.g. Google Nexus 6's CVE-2016-10277, where due to a vulnerability the adversary has partial control over the command line) can overflow the parport_nr array in the following code, by appending many (&gt;LP_NO) 'lp=none' arguments to the command lin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000363] is not installed, no patches discovered._x000d__x000a__x000d__x000a__x000d__x000a_ * _x000d__x000a_      kernel-uek-firmware - version 4.1.12-94.3.9.el7uek is installed"/>
    <s v=""/>
    <s v="CVE-2017-1000363"/>
    <s v="http://nvd.nist.gov/vuln/detail/CVE-2017-1000363"/>
    <d v="2017-07-17T00:00:00"/>
    <s v="vv"/>
    <n v="0"/>
    <s v=""/>
    <s v=""/>
    <s v="3 Days"/>
    <m/>
    <m/>
    <s v="Fixed"/>
    <x v="4"/>
    <d v="2020-12-26T00:00:00"/>
    <m/>
    <x v="3"/>
    <s v="Unix"/>
    <e v="#N/A"/>
    <m/>
    <m/>
    <m/>
    <d v="2020-12-20T00:00:00"/>
    <e v="#N/A"/>
    <s v="Fixed"/>
    <x v="1"/>
    <x v="0"/>
    <x v="0"/>
  </r>
  <r>
    <s v="81.192.11.141/0/oracle_linux-cve-2017-100036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000365"/>
    <s v="Oracle Linux: (CVE-2017-1000365) (Multiple Advisories): Unbreakable Enterprise kernel security update"/>
    <s v="The Linux Kernel imposes a size restriction on the arguments and environmental strings passed through RLIMIT_STACK/RLIM_INFINITY (1/4 of the size), but does not take the argument and environment pointers into account, which allows attackers to bypass this limitation. This affects Linux Kernel versions 4.11.5 and earlier. It appears that this feature was introduced in the Linux Kernel version 2.6.23."/>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000365] is not installed, no patches discovered._x000d__x000a__x000d__x000a__x000d__x000a_ * _x000d__x000a_      kernel-uek-firmware - version 4.1.12-94.3.9.el7uek is installed"/>
    <s v=""/>
    <s v="CVE-2017-1000365"/>
    <s v="http://nvd.nist.gov/vuln/detail/CVE-2017-1000365"/>
    <d v="2017-06-19T00:00:00"/>
    <s v="vv"/>
    <n v="0"/>
    <s v=""/>
    <s v=""/>
    <s v="3 Days"/>
    <m/>
    <m/>
    <s v="Fixed"/>
    <x v="4"/>
    <d v="2020-12-26T00:00:00"/>
    <m/>
    <x v="3"/>
    <s v="Unix"/>
    <e v="#N/A"/>
    <m/>
    <m/>
    <m/>
    <d v="2020-12-20T00:00:00"/>
    <e v="#N/A"/>
    <s v="Fixed"/>
    <x v="1"/>
    <x v="0"/>
    <x v="0"/>
  </r>
  <r>
    <s v="81.192.11.141/0/oracle_linux-cve-2017-100037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000370"/>
    <s v="Oracle Linux: (CVE-2017-1000370) ELSA-2020-5708: Unbreakable Enterprise kernel security update"/>
    <s v="The offset2lib patch as used in the Linux Kernel contains a vulnerability that allows a PIE binary to be execve()'ed with 1GB of arguments or environmental strings then the stack occupies the address 0x80000000 and the PIE binary is mapped above 0x40000000 nullifying the protection of the offset2lib patch. This affects Linux Kernel version 4.11.5 and earlier. This is a different issue than CVE-2017-1000371. This issue appears to be limited to i386 based system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000370] is not installed, no patches discovered._x000d__x000a__x000d__x000a__x000d__x000a_ * _x000d__x000a_      kernel-uek-firmware - version 4.1.12-94.3.9.el7uek is installed"/>
    <s v=""/>
    <s v="CVE-2017-1000370"/>
    <s v="http://nvd.nist.gov/vuln/detail/CVE-2017-1000370"/>
    <d v="2017-06-19T00:00:00"/>
    <s v="vv"/>
    <n v="2"/>
    <s v="Expert"/>
    <s v="http://www.exploit-db.com/exploits/42273,http://www.exploit-db.com/exploits/42274"/>
    <s v="3 Days"/>
    <m/>
    <m/>
    <s v="Fixed"/>
    <x v="4"/>
    <d v="2020-12-26T00:00:00"/>
    <m/>
    <x v="3"/>
    <s v="Unix"/>
    <e v="#N/A"/>
    <m/>
    <m/>
    <m/>
    <d v="2020-12-20T00:00:00"/>
    <e v="#N/A"/>
    <s v="Fixed"/>
    <x v="1"/>
    <x v="0"/>
    <x v="0"/>
  </r>
  <r>
    <s v="81.192.11.141/0/oracle_linux-cve-2017-100038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7-1000380"/>
    <s v="Oracle Linux: (CVE-2017-1000380) (Multiple Advisories): Unbreakable Enterprise kernel security update"/>
    <s v="sound/core/timer.c in the Linux kernel before 4.11.5 is vulnerable to a data race in the ALSA /dev/snd/timer driver resulting in local users being able to read information belonging to other users, i.e., uninitialized memory contents may be disclosed when a read and an ioctl happen at the same tim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000380] is not installed, no patches discovered._x000d__x000a__x000d__x000a__x000d__x000a_ * _x000d__x000a_      kernel-uek-firmware - version 4.1.12-94.3.9.el7uek is installed"/>
    <s v=""/>
    <s v="CVE-2017-1000380"/>
    <s v="http://nvd.nist.gov/vuln/detail/CVE-2017-1000380"/>
    <d v="2017-06-17T00:00:00"/>
    <s v="vv"/>
    <n v="0"/>
    <s v=""/>
    <s v=""/>
    <s v="3 Days"/>
    <m/>
    <m/>
    <s v="Fixed"/>
    <x v="4"/>
    <d v="2020-12-26T00:00:00"/>
    <m/>
    <x v="3"/>
    <s v="Unix"/>
    <e v="#N/A"/>
    <m/>
    <m/>
    <m/>
    <d v="2020-12-20T00:00:00"/>
    <e v="#N/A"/>
    <s v="Fixed"/>
    <x v="1"/>
    <x v="0"/>
    <x v="0"/>
  </r>
  <r>
    <s v="81.192.11.141/0/oracle_linux-cve-2017-100040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000405"/>
    <s v="Oracle Linux: (CVE-2017-1000405) (Multiple Advisories): Unbreakable Enterprise kernel security and bugfix update"/>
    <s v="The Linux Kernel versions 2.6.38 through 4.14 have a problematic use of pmd_mkdirty() in the touch_pmd() function inside the THP implementation. touch_pmd() can be reached by get_user_pages(). In such case, the pmd will become dirty. This scenario breaks the new can_follow_write_pmd()'s logic - pmd can become dirty without going through a COW cycle. This bug is not as severe as the original &quot;Dirty cow&quot; because an ext4 file (or any other regular file) cannot be mapped using THP. Nevertheless, it does allow us to overwrite read-only huge pages. For example, the zero huge page and sealed shmem files can be overwritten (since their mapping can be populated using THP). Note that after the first write page-fault to the zero page, it will be replaced with a new fresh (and zeroed) thp."/>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000405] is not installed, no patches discovered._x000d__x000a__x000d__x000a__x000d__x000a_ * _x000d__x000a_      kernel-uek-firmware - version 4.1.12-94.3.9.el7uek is installed"/>
    <s v=""/>
    <s v="CVE-2017-1000405"/>
    <s v="http://nvd.nist.gov/vuln/detail/CVE-2017-1000405"/>
    <d v="2017-11-30T00:00:00"/>
    <s v="vv"/>
    <n v="1"/>
    <s v="Expert"/>
    <s v="http://www.exploit-db.com/exploits/43199"/>
    <s v="3 Days"/>
    <m/>
    <m/>
    <s v="Fixed"/>
    <x v="4"/>
    <d v="2020-12-26T00:00:00"/>
    <m/>
    <x v="3"/>
    <s v="Unix"/>
    <e v="#N/A"/>
    <m/>
    <m/>
    <m/>
    <d v="2020-12-20T00:00:00"/>
    <e v="#N/A"/>
    <s v="Fixed"/>
    <x v="1"/>
    <x v="0"/>
    <x v="0"/>
  </r>
  <r>
    <s v="81.192.11.141/0/oracle_linux-cve-2017-100040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6"/>
    <x v="1"/>
    <s v="oracle_linux-cve-2017-1000407"/>
    <s v="Oracle Linux: (CVE-2017-1000407) (Multiple Advisories): Unbreakable Enterprise kernel security update"/>
    <s v="The Linux Kernel 2.6.32 and later are affected by a denial of service, by flooding the diagnostic port 0x80 an exception can be triggered leading to a kernel panic."/>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000407] is not installed, no patches discovered._x000d__x000a__x000d__x000a__x000d__x000a_ * _x000d__x000a_      kernel-uek-firmware - version 4.1.12-94.3.9.el7uek is installed"/>
    <s v=""/>
    <s v="CVE-2017-1000407"/>
    <s v="http://nvd.nist.gov/vuln/detail/CVE-2017-1000407"/>
    <d v="2017-12-11T00:00:00"/>
    <s v="vv"/>
    <n v="0"/>
    <s v=""/>
    <s v=""/>
    <s v="3 Days"/>
    <m/>
    <m/>
    <s v="Fixed"/>
    <x v="4"/>
    <d v="2020-12-26T00:00:00"/>
    <m/>
    <x v="3"/>
    <s v="Unix"/>
    <e v="#N/A"/>
    <m/>
    <m/>
    <m/>
    <d v="2020-12-20T00:00:00"/>
    <e v="#N/A"/>
    <s v="Fixed"/>
    <x v="1"/>
    <x v="0"/>
    <x v="0"/>
  </r>
  <r>
    <s v="81.192.11.141/0/oracle_linux-cve-2017-100041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1000410"/>
    <s v="Oracle Linux: (CVE-2017-1000410) (Multiple Advisories): Unbreakable Enterprise kernel security update"/>
    <s v="The Linux kernel version 3.3-rc1 and later is affected by a vulnerability lies in the processing of incoming L2CAP commands - ConfigRequest, and ConfigResponse messages. This info leak is a result of uninitialized stack variables that may be returned to an attacker in their uninitialized state. By manipulating the code flows that precede the handling of these configuration messages, an attacker can also gain some control over which data will be held in the uninitialized stack variables. This can allow him to bypass KASLR, and stack canaries protection - as both pointers and stack canaries may be leaked in this manner. Combining this vulnerability (for example) with the previously disclosed RCE vulnerability in L2CAP configuration parsing (CVE-2017-1000251) may allow an attacker to exploit the RCE against kernels which were built with the above mitigations. These are the specifics of this vulnerability: In the function l2cap_parse_conf_rsp and in the function l2cap_parse_conf_req the following variable is declared without initialization: struct l2cap_conf_efs efs; In addition, when parsing input configuration parameters in both of these functions, the switch case for handling EFS elements may skip the memcpy call that will write to the efs variable: ... case L2CAP_CONF_EFS: if (olen == sizeof(efs)) memcpy(&amp;efs, (void *)val, olen); ... The olen in the above if is attacker controlled, and regardless of that if, in both of these functions the efs variable would eventually be added to the outgoing configuration request that is being built: l2cap_add_conf_opt(&amp;ptr, L2CAP_CONF_EFS, sizeof(efs), (unsigned long) &amp;efs); So by sending a configuration request, or response, that contains an L2CAP_CONF_EFS element, but with an element length that is not sizeof(efs) - the memcpy to the uninitialized efs variable can be avoided, and the uninitialized variable would be returned to the attacker (16 byte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000410] is not installed, no patches discovered._x000d__x000a__x000d__x000a__x000d__x000a_ * _x000d__x000a_      kernel-uek-firmware - version 4.1.12-94.3.9.el7uek is installed"/>
    <s v=""/>
    <s v="CVE-2017-1000410"/>
    <s v="http://nvd.nist.gov/vuln/detail/CVE-2017-1000410"/>
    <d v="2017-12-07T00:00:00"/>
    <s v="vv"/>
    <n v="0"/>
    <s v=""/>
    <s v=""/>
    <s v="3 Days"/>
    <m/>
    <m/>
    <s v="Fixed"/>
    <x v="4"/>
    <d v="2020-12-26T00:00:00"/>
    <m/>
    <x v="3"/>
    <s v="Unix"/>
    <e v="#N/A"/>
    <m/>
    <m/>
    <m/>
    <d v="2020-12-20T00:00:00"/>
    <e v="#N/A"/>
    <s v="Fixed"/>
    <x v="1"/>
    <x v="0"/>
    <x v="0"/>
  </r>
  <r>
    <s v="81.192.11.141/0/oracle_linux-cve-2017-1160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1600"/>
    <s v="Oracle Linux: (CVE-2017-11600) (Multiple Advisories): Unbreakable Enterprise kernel security update"/>
    <s v="net/xfrm/xfrm_policy.c in the Linux kernel through 4.12.3, when CONFIG_XFRM_MIGRATE is enabled, does not ensure that the dir value of xfrm_userpolicy_id is XFRM_POLICY_MAX or less, which allows local users to cause a denial of service (out-of-bounds access) or possibly have unspecified other impact via an XFRM_MSG_MIGRATE xfrm Netlink mess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1600] is not installed, no patches discovered._x000d__x000a__x000d__x000a__x000d__x000a_ * _x000d__x000a_      kernel-uek-firmware - version 4.1.12-94.3.9.el7uek is installed"/>
    <s v=""/>
    <s v="CVE-2017-11600"/>
    <s v="http://nvd.nist.gov/vuln/detail/CVE-2017-11600"/>
    <d v="2017-07-24T00:00:00"/>
    <s v="vv"/>
    <n v="0"/>
    <s v=""/>
    <s v=""/>
    <s v="3 Days"/>
    <m/>
    <m/>
    <s v="Fixed"/>
    <x v="4"/>
    <d v="2020-12-26T00:00:00"/>
    <m/>
    <x v="3"/>
    <s v="Unix"/>
    <e v="#N/A"/>
    <m/>
    <m/>
    <m/>
    <d v="2020-12-20T00:00:00"/>
    <e v="#N/A"/>
    <s v="Fixed"/>
    <x v="1"/>
    <x v="0"/>
    <x v="0"/>
  </r>
  <r>
    <s v="81.192.11.141/0/oracle_linux-cve-2017-1213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2134"/>
    <s v="Oracle Linux: (CVE-2017-12134) (Multiple Advisories): Unbreakable Enterprise kernel security update"/>
    <s v="The xen_biovec_phys_mergeable function in drivers/xen/biomerge.c in Xen might allow local OS guest users to corrupt block device data streams and consequently obtain sensitive memory information, cause a denial of service, or gain host OS privileges by leveraging incorrect block IO merge-ability calculation."/>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2134] is not installed, no patches discovered._x000d__x000a__x000d__x000a__x000d__x000a_ * _x000d__x000a_      kernel-uek-firmware - version 4.1.12-94.3.9.el7uek is installed"/>
    <s v=""/>
    <s v="CVE-2017-12134"/>
    <s v="http://nvd.nist.gov/vuln/detail/CVE-2017-12134"/>
    <d v="2017-08-23T00:00:00"/>
    <s v="vv"/>
    <n v="0"/>
    <s v=""/>
    <s v=""/>
    <s v="3 Days"/>
    <m/>
    <m/>
    <s v="Fixed"/>
    <x v="4"/>
    <d v="2020-12-26T00:00:00"/>
    <m/>
    <x v="3"/>
    <s v="Unix"/>
    <e v="#N/A"/>
    <m/>
    <m/>
    <m/>
    <d v="2020-12-20T00:00:00"/>
    <e v="#N/A"/>
    <s v="Fixed"/>
    <x v="1"/>
    <x v="0"/>
    <x v="0"/>
  </r>
  <r>
    <s v="81.192.11.141/0/oracle_linux-cve-2017-1214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2146"/>
    <s v="Oracle Linux: (CVE-2017-12146) ELSA-2018-4084: Unbreakable Enterprise kernel security update"/>
    <s v="The driver_override implementation in drivers/base/platform.c in the Linux kernel before 4.12.1 allows local users to gain privileges by leveraging a race condition between a read operation and a store operation that involve different override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2146] is not installed, no patches discovered._x000d__x000a__x000d__x000a__x000d__x000a_ * _x000d__x000a_      kernel-uek-firmware - version 4.1.12-94.3.9.el7uek is installed"/>
    <s v=""/>
    <s v="CVE-2017-12146"/>
    <s v="http://nvd.nist.gov/vuln/detail/CVE-2017-12146"/>
    <d v="2017-09-08T00:00:00"/>
    <s v="vv"/>
    <n v="0"/>
    <s v=""/>
    <s v=""/>
    <s v="3 Days"/>
    <m/>
    <m/>
    <s v="Fixed"/>
    <x v="4"/>
    <d v="2020-12-26T00:00:00"/>
    <m/>
    <x v="3"/>
    <s v="Unix"/>
    <e v="#N/A"/>
    <m/>
    <m/>
    <m/>
    <d v="2020-12-20T00:00:00"/>
    <e v="#N/A"/>
    <s v="Fixed"/>
    <x v="1"/>
    <x v="0"/>
    <x v="0"/>
  </r>
  <r>
    <s v="81.192.11.141/0/oracle_linux-cve-2017-1215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12153"/>
    <s v="Oracle Linux: (CVE-2017-12153) ELSA-2019-4531: Unbreakable Enterprise kernel security update"/>
    <s v="A security flaw was discovered in the nl80211_set_rekey_data() function in net/wireless/nl80211.c in the Linux kernel through 4.13.3. This function does not check whether the required attributes are present in a Netlink request. This request can be issued by a user with the CAP_NET_ADMIN capability and may result in a NULL pointer dereference and system crash."/>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2153] is not installed, no patches discovered._x000d__x000a__x000d__x000a__x000d__x000a_ * _x000d__x000a_      kernel-uek-firmware - version 4.1.12-94.3.9.el7uek is installed"/>
    <s v=""/>
    <s v="CVE-2017-12153"/>
    <s v="http://nvd.nist.gov/vuln/detail/CVE-2017-12153"/>
    <d v="2017-09-21T00:00:00"/>
    <s v="vv"/>
    <n v="0"/>
    <s v=""/>
    <s v=""/>
    <s v="3 Days"/>
    <m/>
    <m/>
    <s v="Fixed"/>
    <x v="4"/>
    <d v="2020-12-26T00:00:00"/>
    <m/>
    <x v="3"/>
    <s v="Unix"/>
    <e v="#N/A"/>
    <m/>
    <m/>
    <m/>
    <d v="2020-12-20T00:00:00"/>
    <e v="#N/A"/>
    <s v="Fixed"/>
    <x v="1"/>
    <x v="0"/>
    <x v="0"/>
  </r>
  <r>
    <s v="81.192.11.141/0/oracle_linux-cve-2017-1215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17-12154"/>
    <s v="Oracle Linux: (CVE-2017-12154) (Multiple Advisories): kernel security, bug fix, and enhancement update"/>
    <s v="The prepare_vmcs02 function in arch/x86/kvm/vmx.c in the Linux kernel through 4.13.3 does not ensure that the &quot;CR8-load exiting&quot; and &quot;CR8-store exiting&quot; L0 vmcs02 controls exist in cases where L1 omits the &quot;use TPR shadow&quot; vmcs12 control, which allows KVM L2 guest OS users to obtain read and write access to the hardware CR8 register."/>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2154] is not installed, no patches discovered._x000d__x000a__x000d__x000a__x000d__x000a_ * _x000d__x000a_      kernel-uek-firmware - version 4.1.12-94.3.9.el7uek is installed"/>
    <s v=""/>
    <s v="CVE-2017-12154"/>
    <s v="http://nvd.nist.gov/vuln/detail/CVE-2017-12154"/>
    <d v="2017-09-20T00:00:00"/>
    <s v="vv"/>
    <n v="0"/>
    <s v=""/>
    <s v=""/>
    <s v="3 Days"/>
    <m/>
    <m/>
    <s v="Fixed"/>
    <x v="4"/>
    <d v="2020-12-26T00:00:00"/>
    <m/>
    <x v="3"/>
    <s v="Unix"/>
    <e v="#N/A"/>
    <m/>
    <m/>
    <m/>
    <d v="2020-12-20T00:00:00"/>
    <e v="#N/A"/>
    <s v="Fixed"/>
    <x v="1"/>
    <x v="0"/>
    <x v="0"/>
  </r>
  <r>
    <s v="81.192.11.141/0/oracle_linux-cve-2017-1219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12190"/>
    <s v="Oracle Linux: (CVE-2017-12190) (Multiple Advisories): kernel security and bug fix update"/>
    <s v="The bio_map_user_iov and bio_unmap_user functions in block/bio.c in the Linux kernel before 4.13.8 do unbalanced refcounting when a SCSI I/O vector has small consecutive buffers belonging to the same page. The bio_add_pc_page function merges them into one, but the page reference is never dropped. This causes a memory leak and possible system lockup (exploitable against the host OS by a guest OS user, if a SCSI disk is passed through to a virtual machine) due to an out-of-memory condition."/>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2190] is not installed, no patches discovered._x000d__x000a__x000d__x000a__x000d__x000a_ * _x000d__x000a_      kernel-uek-firmware - version 4.1.12-94.3.9.el7uek is installed"/>
    <s v=""/>
    <s v="CVE-2017-12190"/>
    <s v="http://nvd.nist.gov/vuln/detail/CVE-2017-12190"/>
    <d v="2017-11-18T00:00:00"/>
    <s v="vv"/>
    <n v="0"/>
    <s v=""/>
    <s v=""/>
    <s v="3 Days"/>
    <m/>
    <m/>
    <s v="Fixed"/>
    <x v="4"/>
    <d v="2020-12-26T00:00:00"/>
    <m/>
    <x v="3"/>
    <s v="Unix"/>
    <e v="#N/A"/>
    <m/>
    <m/>
    <m/>
    <d v="2020-12-20T00:00:00"/>
    <e v="#N/A"/>
    <s v="Fixed"/>
    <x v="1"/>
    <x v="0"/>
    <x v="0"/>
  </r>
  <r>
    <s v="81.192.11.141/0/oracle_linux-cve-2017-1219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12192"/>
    <s v="Oracle Linux: (CVE-2017-12192) (Multiple Advisories): kernel security and bug fix update"/>
    <s v="The keyctl_read_key function in security/keys/keyctl.c in the Key Management subcomponent in the Linux kernel before 4.13.5 does not properly consider that a key may be possessed but negatively instantiated, which allows local users to cause a denial of service (OOPS and system crash) via a crafted KEYCTL_READ operation."/>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2192] is not installed, no patches discovered._x000d__x000a__x000d__x000a__x000d__x000a_ * _x000d__x000a_      kernel-uek-firmware - version 4.1.12-94.3.9.el7uek is installed"/>
    <s v=""/>
    <s v="CVE-2017-12192"/>
    <s v="http://nvd.nist.gov/vuln/detail/CVE-2017-12192"/>
    <d v="2017-10-11T00:00:00"/>
    <s v="vv"/>
    <n v="0"/>
    <s v=""/>
    <s v=""/>
    <s v="3 Days"/>
    <m/>
    <m/>
    <s v="Fixed"/>
    <x v="4"/>
    <d v="2020-12-26T00:00:00"/>
    <m/>
    <x v="3"/>
    <s v="Unix"/>
    <e v="#N/A"/>
    <m/>
    <m/>
    <m/>
    <d v="2020-12-20T00:00:00"/>
    <e v="#N/A"/>
    <s v="Fixed"/>
    <x v="1"/>
    <x v="0"/>
    <x v="0"/>
  </r>
  <r>
    <s v="81.192.11.141/0/oracle_linux-cve-2017-1219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12193"/>
    <s v="Oracle Linux: (CVE-2017-12193) (Multiple Advisories): Unbreakable Enterprise kernel security update"/>
    <s v="The assoc_array_insert_into_terminal_node function in lib/assoc_array.c in the Linux kernel before 4.13.11 mishandles node splitting, which allows local users to cause a denial of service (NULL pointer dereference and panic) via a crafted application, as demonstrated by the keyring key type, and key addition and link creation operation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2193] is not installed, no patches discovered._x000d__x000a__x000d__x000a__x000d__x000a_ * _x000d__x000a_      kernel-uek-firmware - version 4.1.12-94.3.9.el7uek is installed"/>
    <s v=""/>
    <s v="CVE-2017-12193"/>
    <s v="http://nvd.nist.gov/vuln/detail/CVE-2017-12193"/>
    <d v="2017-11-18T00:00:00"/>
    <s v="vv"/>
    <n v="0"/>
    <s v=""/>
    <s v=""/>
    <s v="3 Days"/>
    <m/>
    <m/>
    <s v="Fixed"/>
    <x v="4"/>
    <d v="2020-12-26T00:00:00"/>
    <m/>
    <x v="3"/>
    <s v="Unix"/>
    <e v="#N/A"/>
    <m/>
    <m/>
    <m/>
    <d v="2020-12-20T00:00:00"/>
    <e v="#N/A"/>
    <s v="Fixed"/>
    <x v="1"/>
    <x v="0"/>
    <x v="0"/>
  </r>
  <r>
    <s v="81.192.11.141/0/oracle_linux-cve-2017-1316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13168"/>
    <s v="Oracle Linux: (CVE-2017-13168) (Multiple Advisories): Unbreakable Enterprise kernel security update"/>
    <s v="An elevation of privilege vulnerability in the kernel scsi driver. Product: Android. Versions: Android kernel. Android ID A-65023233."/>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3168] is not installed, no patches discovered._x000d__x000a__x000d__x000a__x000d__x000a_ * _x000d__x000a_      kernel-uek-firmware - version 4.1.12-94.3.9.el7uek is installed"/>
    <s v=""/>
    <s v="CVE-2017-13168"/>
    <s v="http://nvd.nist.gov/vuln/detail/CVE-2017-13168"/>
    <d v="2017-12-06T00:00:00"/>
    <s v="vv"/>
    <n v="0"/>
    <s v=""/>
    <s v=""/>
    <s v="3 Days"/>
    <m/>
    <m/>
    <s v="Fixed"/>
    <x v="4"/>
    <d v="2020-12-26T00:00:00"/>
    <m/>
    <x v="3"/>
    <s v="Unix"/>
    <e v="#N/A"/>
    <m/>
    <m/>
    <m/>
    <d v="2020-12-20T00:00:00"/>
    <e v="#N/A"/>
    <s v="Fixed"/>
    <x v="1"/>
    <x v="0"/>
    <x v="0"/>
  </r>
  <r>
    <s v="81.192.11.141/0/oracle_linux-cve-2017-1330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17-13305"/>
    <s v="Oracle Linux: (CVE-2017-13305) (Multiple Advisories): Unbreakable Enterprise kernel security update"/>
    <s v="A information disclosure vulnerability in the Upstream kernel encrypted-keys. Product: Android. Versions: Android kernel. Android ID: A-70526974."/>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3305] is not installed, no patches discovered._x000d__x000a__x000d__x000a__x000d__x000a_ * _x000d__x000a_      kernel-uek-firmware - version 4.1.12-94.3.9.el7uek is installed"/>
    <s v=""/>
    <s v="CVE-2017-13305"/>
    <s v="http://nvd.nist.gov/vuln/detail/CVE-2017-13305"/>
    <d v="2018-04-04T00:00:00"/>
    <s v="vv"/>
    <n v="0"/>
    <s v=""/>
    <s v=""/>
    <s v="3 Days"/>
    <m/>
    <m/>
    <s v="Fixed"/>
    <x v="4"/>
    <d v="2020-12-26T00:00:00"/>
    <m/>
    <x v="3"/>
    <s v="Unix"/>
    <e v="#N/A"/>
    <m/>
    <m/>
    <m/>
    <d v="2020-12-20T00:00:00"/>
    <e v="#N/A"/>
    <s v="Fixed"/>
    <x v="1"/>
    <x v="0"/>
    <x v="0"/>
  </r>
  <r>
    <s v="81.192.11.141/0/oracle_linux-cve-2017-1369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7-13695"/>
    <s v="Oracle Linux: (CVE-2017-13695) (Multiple Advisories): Unbreakable Enterprise kernel security update"/>
    <s v="The acpi_ns_evaluate() function in drivers/acpi/acpica/nseval.c in the Linux kernel through 4.12.9 does not flush the operand cache and causes a kernel stack dump, which allows local users to obtain sensitive information from kernel memory and bypass the KASLR protection mechanism (in the kernel through 4.9) via a crafted ACPI tabl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3695] is not installed, no patches discovered._x000d__x000a__x000d__x000a__x000d__x000a_ * _x000d__x000a_      kernel-uek-firmware - version 4.1.12-94.3.9.el7uek is installed"/>
    <s v=""/>
    <s v="CVE-2017-13695"/>
    <s v="http://nvd.nist.gov/vuln/detail/CVE-2017-13695"/>
    <d v="2017-08-25T00:00:00"/>
    <s v="vv"/>
    <n v="0"/>
    <s v=""/>
    <s v=""/>
    <s v="3 Days"/>
    <m/>
    <m/>
    <s v="Fixed"/>
    <x v="4"/>
    <d v="2020-12-26T00:00:00"/>
    <m/>
    <x v="3"/>
    <s v="Unix"/>
    <e v="#N/A"/>
    <m/>
    <m/>
    <m/>
    <d v="2020-12-20T00:00:00"/>
    <e v="#N/A"/>
    <s v="Fixed"/>
    <x v="1"/>
    <x v="0"/>
    <x v="0"/>
  </r>
  <r>
    <s v="81.192.11.141/0/oracle_linux-cve-2017-1410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14106"/>
    <s v="Oracle Linux: (CVE-2017-14106) (Multiple Advisories): kernel security update"/>
    <s v="The tcp_disconnect function in net/ipv4/tcp.c in the Linux kernel before 4.12 allows local users to cause a denial of service (__tcp_select_window divide-by-zero error and system crash) by triggering a disconnect within a certain tcp_recvmsg code path."/>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firmware on Oracle Linux_x000d__x000a_      Upgrade kernel-firmware_x000d__x000a__x000d__x000a_       Update kernel-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4106] is not installed, no patches discovered._x000d__x000a__x000d__x000a__x000d__x000a_ * _x000d__x000a_      kernel-uek-firmware - version 4.1.12-94.3.9.el7uek is installed"/>
    <s v=""/>
    <s v="CVE-2017-14106"/>
    <s v="http://nvd.nist.gov/vuln/detail/CVE-2017-14106"/>
    <d v="2017-09-01T00:00:00"/>
    <s v="vv"/>
    <n v="0"/>
    <s v=""/>
    <s v=""/>
    <s v="3 Days"/>
    <m/>
    <m/>
    <s v="Fixed"/>
    <x v="4"/>
    <d v="2020-12-26T00:00:00"/>
    <m/>
    <x v="3"/>
    <s v="Unix"/>
    <e v="#N/A"/>
    <m/>
    <m/>
    <m/>
    <d v="2020-12-20T00:00:00"/>
    <e v="#N/A"/>
    <s v="Fixed"/>
    <x v="1"/>
    <x v="0"/>
    <x v="0"/>
  </r>
  <r>
    <s v="81.192.11.141/0/oracle_linux-cve-2017-1414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7-14140"/>
    <s v="Oracle Linux: (CVE-2017-14140) (Multiple Advisories): Unbreakable Enterprise kernel security update"/>
    <s v="The move_pages system call in mm/migrate.c in the Linux kernel before 4.12.9 doesn't check the effective uid of the target process, enabling a local attacker to learn the memory layout of a setuid executable despite ASL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4140] is not installed, no patches discovered._x000d__x000a__x000d__x000a__x000d__x000a_ * _x000d__x000a_      kernel-uek-firmware - version 4.1.12-94.3.9.el7uek is installed"/>
    <s v=""/>
    <s v="CVE-2017-14140"/>
    <s v="http://nvd.nist.gov/vuln/detail/CVE-2017-14140"/>
    <d v="2017-09-05T00:00:00"/>
    <s v="vv"/>
    <n v="0"/>
    <s v=""/>
    <s v=""/>
    <s v="3 Days"/>
    <m/>
    <m/>
    <s v="Fixed"/>
    <x v="4"/>
    <d v="2020-12-26T00:00:00"/>
    <m/>
    <x v="3"/>
    <s v="Unix"/>
    <e v="#N/A"/>
    <m/>
    <m/>
    <m/>
    <d v="2020-12-20T00:00:00"/>
    <e v="#N/A"/>
    <s v="Fixed"/>
    <x v="1"/>
    <x v="0"/>
    <x v="0"/>
  </r>
  <r>
    <s v="81.192.11.141/0/oracle_linux-cve-2017-1448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14489"/>
    <s v="Oracle Linux: (CVE-2017-14489) (Multiple Advisories): Unbreakable Enterprise kernel security and bugfix update"/>
    <s v="The iscsi_if_rx function in drivers/scsi/scsi_transport_iscsi.c in the Linux kernel through 4.13.2 allows local users to cause a denial of service (panic) by leveraging incorrect length validation."/>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4489] is not installed, no patches discovered._x000d__x000a__x000d__x000a__x000d__x000a_ * _x000d__x000a_      kernel-uek-firmware - version 4.1.12-94.3.9.el7uek is installed"/>
    <s v=""/>
    <s v="CVE-2017-14489"/>
    <s v="http://nvd.nist.gov/vuln/detail/CVE-2017-14489"/>
    <d v="2017-09-15T00:00:00"/>
    <s v="vv"/>
    <n v="1"/>
    <s v="Expert"/>
    <s v="http://www.exploit-db.com/exploits/42932"/>
    <s v="3 Days"/>
    <m/>
    <m/>
    <s v="Fixed"/>
    <x v="4"/>
    <d v="2020-12-26T00:00:00"/>
    <m/>
    <x v="3"/>
    <s v="Unix"/>
    <e v="#N/A"/>
    <m/>
    <m/>
    <m/>
    <d v="2020-12-20T00:00:00"/>
    <e v="#N/A"/>
    <s v="Fixed"/>
    <x v="1"/>
    <x v="0"/>
    <x v="0"/>
  </r>
  <r>
    <s v="81.192.11.141/0/oracle_linux-cve-2017-1499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7-14991"/>
    <s v="Oracle Linux: (CVE-2017-14991) (Multiple Advisories): Unbreakable Enterprise kernel security update"/>
    <s v="The sg_ioctl function in drivers/scsi/sg.c in the Linux kernel before 4.13.4 allows local users to obtain sensitive information from uninitialized kernel heap-memory locations via an SG_GET_REQUEST_TABLE ioctl call for /dev/sg0."/>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4991] is not installed, no patches discovered._x000d__x000a__x000d__x000a__x000d__x000a_ * _x000d__x000a_      kernel-uek-firmware - version 4.1.12-94.3.9.el7uek is installed"/>
    <s v=""/>
    <s v="CVE-2017-14991"/>
    <s v="http://nvd.nist.gov/vuln/detail/CVE-2017-14991"/>
    <d v="2017-10-03T00:00:00"/>
    <s v="vv"/>
    <n v="0"/>
    <s v=""/>
    <s v=""/>
    <s v="3 Days"/>
    <m/>
    <m/>
    <s v="Fixed"/>
    <x v="4"/>
    <d v="2020-12-26T00:00:00"/>
    <m/>
    <x v="3"/>
    <s v="Unix"/>
    <e v="#N/A"/>
    <m/>
    <m/>
    <m/>
    <d v="2020-12-20T00:00:00"/>
    <e v="#N/A"/>
    <s v="Fixed"/>
    <x v="1"/>
    <x v="0"/>
    <x v="0"/>
  </r>
  <r>
    <s v="81.192.11.141/0/oracle_linux-cve-2017-1510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5102"/>
    <s v="Oracle Linux: (CVE-2017-15102) (Multiple Advisories): Unbreakable Enterprise kernel security update"/>
    <s v="The tower_probe function in drivers/usb/misc/legousbtower.c in the Linux kernel before 4.8.1 allows local users (who are physically proximate for inserting a crafted USB device) to gain privileges by leveraging a write-what-where condition that occurs after a race condition and a NULL pointer dereferen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5102] is not installed, no patches discovered._x000d__x000a__x000d__x000a__x000d__x000a_ * _x000d__x000a_      kernel-uek-firmware - version 4.1.12-94.3.9.el7uek is installed"/>
    <s v=""/>
    <s v="CVE-2017-15102"/>
    <s v="http://nvd.nist.gov/vuln/detail/CVE-2017-15102"/>
    <d v="2017-11-15T00:00:00"/>
    <s v="vv"/>
    <n v="0"/>
    <s v=""/>
    <s v=""/>
    <s v="3 Days"/>
    <m/>
    <m/>
    <s v="Fixed"/>
    <x v="4"/>
    <d v="2020-12-26T00:00:00"/>
    <m/>
    <x v="3"/>
    <s v="Unix"/>
    <e v="#N/A"/>
    <m/>
    <m/>
    <m/>
    <d v="2020-12-20T00:00:00"/>
    <e v="#N/A"/>
    <s v="Fixed"/>
    <x v="1"/>
    <x v="0"/>
    <x v="0"/>
  </r>
  <r>
    <s v="81.192.11.141/0/oracle_linux-cve-2017-1511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5115"/>
    <s v="Oracle Linux: (CVE-2017-15115) (Multiple Advisories): Unbreakable Enterprise kernel security update"/>
    <s v="The sctp_do_peeloff function in net/sctp/socket.c in the Linux kernel before 4.14 does not check whether the intended netns is used in a peel-off action, which allows local users to cause a denial of service (use-after-free and system crash) or possibly have unspecified other impact via crafted system call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5115] is not installed, no patches discovered._x000d__x000a__x000d__x000a__x000d__x000a_ * _x000d__x000a_      kernel-uek-firmware - version 4.1.12-94.3.9.el7uek is installed"/>
    <s v=""/>
    <s v="CVE-2017-15115"/>
    <s v="http://nvd.nist.gov/vuln/detail/CVE-2017-15115"/>
    <d v="2017-11-15T00:00:00"/>
    <s v="vv"/>
    <n v="0"/>
    <s v=""/>
    <s v=""/>
    <s v="3 Days"/>
    <m/>
    <m/>
    <s v="Fixed"/>
    <x v="4"/>
    <d v="2020-12-26T00:00:00"/>
    <m/>
    <x v="3"/>
    <s v="Unix"/>
    <e v="#N/A"/>
    <m/>
    <m/>
    <m/>
    <d v="2020-12-20T00:00:00"/>
    <e v="#N/A"/>
    <s v="Fixed"/>
    <x v="1"/>
    <x v="0"/>
    <x v="0"/>
  </r>
  <r>
    <s v="81.192.11.141/0/oracle_linux-cve-2017-1511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15116"/>
    <s v="Oracle Linux: (CVE-2017-15116) (Multiple Advisories): Unbreakable Enterprise kernel security update"/>
    <s v="The rngapi_reset function in crypto/rng.c in the Linux kernel before 4.2 allows attackers to cause a denial of service (NULL pointer dereferenc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5116] is not installed, no patches discovered._x000d__x000a__x000d__x000a__x000d__x000a_ * _x000d__x000a_      kernel-uek-firmware - version 4.1.12-94.3.9.el7uek is installed"/>
    <s v=""/>
    <s v="CVE-2017-15116"/>
    <s v="http://nvd.nist.gov/vuln/detail/CVE-2017-15116"/>
    <d v="2017-11-30T00:00:00"/>
    <s v="vv"/>
    <n v="0"/>
    <s v=""/>
    <s v=""/>
    <s v="3 Days"/>
    <m/>
    <m/>
    <s v="Fixed"/>
    <x v="4"/>
    <d v="2020-12-26T00:00:00"/>
    <m/>
    <x v="3"/>
    <s v="Unix"/>
    <e v="#N/A"/>
    <m/>
    <m/>
    <m/>
    <d v="2020-12-20T00:00:00"/>
    <e v="#N/A"/>
    <s v="Fixed"/>
    <x v="1"/>
    <x v="0"/>
    <x v="0"/>
  </r>
  <r>
    <s v="81.192.11.141/0/oracle_linux-cve-2017-1512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15128"/>
    <s v="Oracle Linux: (CVE-2017-15128) ELSA-2019-4850: Unbreakable Enterprise kernel security update"/>
    <s v="A flaw was found in the hugetlb_mcopy_atomic_pte function in mm/hugetlb.c in the Linux kernel before 4.13.12. A lack of size check could cause a denial of service (BUG)."/>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5128] is not installed, no patches discovered._x000d__x000a__x000d__x000a__x000d__x000a_ * _x000d__x000a_      kernel-uek-firmware - version 4.1.12-94.3.9.el7uek is installed"/>
    <s v=""/>
    <s v="CVE-2017-15128"/>
    <s v="http://nvd.nist.gov/vuln/detail/CVE-2017-15128"/>
    <d v="2018-01-14T00:00:00"/>
    <s v="vv"/>
    <n v="0"/>
    <s v=""/>
    <s v=""/>
    <s v="3 Days"/>
    <m/>
    <m/>
    <s v="Fixed"/>
    <x v="4"/>
    <d v="2020-12-26T00:00:00"/>
    <m/>
    <x v="3"/>
    <s v="Unix"/>
    <e v="#N/A"/>
    <m/>
    <m/>
    <m/>
    <d v="2020-12-20T00:00:00"/>
    <e v="#N/A"/>
    <s v="Fixed"/>
    <x v="1"/>
    <x v="0"/>
    <x v="0"/>
  </r>
  <r>
    <s v="81.192.11.141/0/oracle_linux-cve-2017-1512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15129"/>
    <s v="Oracle Linux: (CVE-2017-15129) (Multiple Advisories): Unbreakable Enterprise kernel security update"/>
    <s v="A use-after-free vulnerability was found in network namespaces code affecting the Linux kernel before 4.14.11. The function get_net_ns_by_id() in net/core/net_namespace.c does not check for the net::count value after it has found a peer network in netns_ids idr, which could lead to double free and memory corruption. This vulnerability could allow an unprivileged local user to induce kernel memory corruption on the system, leading to a crash. Due to the nature of the flaw, privilege escalation cannot be fully ruled out, although it is thought to be unlikely."/>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5129] is not installed, no patches discovered._x000d__x000a__x000d__x000a__x000d__x000a_ * _x000d__x000a_      kernel-uek-firmware - version 4.1.12-94.3.9.el7uek is installed"/>
    <s v=""/>
    <s v="CVE-2017-15129"/>
    <s v="http://nvd.nist.gov/vuln/detail/CVE-2017-15129"/>
    <d v="2018-01-09T00:00:00"/>
    <s v="vv"/>
    <n v="0"/>
    <s v=""/>
    <s v=""/>
    <s v="3 Days"/>
    <m/>
    <m/>
    <s v="Fixed"/>
    <x v="4"/>
    <d v="2020-12-26T00:00:00"/>
    <m/>
    <x v="3"/>
    <s v="Unix"/>
    <e v="#N/A"/>
    <m/>
    <m/>
    <m/>
    <d v="2020-12-20T00:00:00"/>
    <e v="#N/A"/>
    <s v="Fixed"/>
    <x v="1"/>
    <x v="0"/>
    <x v="0"/>
  </r>
  <r>
    <s v="81.192.11.141/0/oracle_linux-cve-2017-1529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15299"/>
    <s v="Oracle Linux: (CVE-2017-15299) (Multiple Advisories): Unbreakable Enterprise kernel security update"/>
    <s v="The KEYS subsystem in the Linux kernel through 4.13.7 mishandles use of add_key for a key that already exists but is uninstantiated, which allows local users to cause a denial of service (NULL pointer dereference and system crash) or possibly have unspecified other impact via a crafted system call."/>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5299] is not installed, no patches discovered._x000d__x000a__x000d__x000a__x000d__x000a_ * _x000d__x000a_      kernel-uek-firmware - version 4.1.12-94.3.9.el7uek is installed"/>
    <s v=""/>
    <s v="CVE-2017-15299"/>
    <s v="http://nvd.nist.gov/vuln/detail/CVE-2017-15299"/>
    <d v="2017-10-14T00:00:00"/>
    <s v="vv"/>
    <n v="0"/>
    <s v=""/>
    <s v=""/>
    <s v="3 Days"/>
    <m/>
    <m/>
    <s v="Fixed"/>
    <x v="4"/>
    <d v="2020-12-26T00:00:00"/>
    <m/>
    <x v="3"/>
    <s v="Unix"/>
    <e v="#N/A"/>
    <m/>
    <m/>
    <m/>
    <d v="2020-12-20T00:00:00"/>
    <e v="#N/A"/>
    <s v="Fixed"/>
    <x v="1"/>
    <x v="0"/>
    <x v="0"/>
  </r>
  <r>
    <s v="81.192.11.141/0/oracle_linux-cve-2017-1553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7-15537"/>
    <s v="Oracle Linux: (CVE-2017-15537) ELSA-2018-4071: Unbreakable Enterprise kernel security update"/>
    <s v="The x86/fpu (Floating Point Unit) subsystem in the Linux kernel before 4.13.5, when a processor supports the xsave feature but not the xsaves feature, does not correctly handle attempts to set reserved bits in the xstate header via the ptrace() or rt_sigreturn() system call, allowing local users to read the FPU registers of other processes on the system, related to arch/x86/kernel/fpu/regset.c and arch/x86/kernel/fpu/signal.c."/>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5537] is not installed, no patches discovered._x000d__x000a__x000d__x000a__x000d__x000a_ * _x000d__x000a_      kernel-uek-firmware - version 4.1.12-94.3.9.el7uek is installed"/>
    <s v=""/>
    <s v="CVE-2017-15537"/>
    <s v="http://nvd.nist.gov/vuln/detail/CVE-2017-15537"/>
    <d v="2017-10-17T00:00:00"/>
    <s v="vv"/>
    <n v="0"/>
    <s v=""/>
    <s v=""/>
    <s v="3 Days"/>
    <m/>
    <m/>
    <s v="Fixed"/>
    <x v="4"/>
    <d v="2020-12-26T00:00:00"/>
    <m/>
    <x v="3"/>
    <s v="Unix"/>
    <e v="#N/A"/>
    <m/>
    <m/>
    <m/>
    <d v="2020-12-20T00:00:00"/>
    <e v="#N/A"/>
    <s v="Fixed"/>
    <x v="1"/>
    <x v="0"/>
    <x v="0"/>
  </r>
  <r>
    <s v="81.192.11.141/0/oracle_linux-cve-2017-1564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15649"/>
    <s v="Oracle Linux: (CVE-2017-15649) (Multiple Advisories): kernel security and bug fix update"/>
    <s v="net/packet/af_packet.c in the Linux kernel before 4.13.6 allows local users to gain privileges via crafted system calls that trigger mishandling of packet_fanout data structures, because of a race condition (involving fanout_add and packet_do_bind) that leads to a use-after-free, a different vulnerability than CVE-2017-6346."/>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5649] is not installed, no patches discovered._x000d__x000a__x000d__x000a__x000d__x000a_ * _x000d__x000a_      kernel-uek-firmware - version 4.1.12-94.3.9.el7uek is installed"/>
    <s v=""/>
    <s v="CVE-2017-15649"/>
    <s v="http://nvd.nist.gov/vuln/detail/CVE-2017-15649"/>
    <d v="2017-10-19T00:00:00"/>
    <s v="vv"/>
    <n v="1"/>
    <s v="Expert"/>
    <s v="http://www.exploit-db.com/exploits/44053"/>
    <s v="3 Days"/>
    <m/>
    <m/>
    <s v="Fixed"/>
    <x v="4"/>
    <d v="2020-12-26T00:00:00"/>
    <m/>
    <x v="3"/>
    <s v="Unix"/>
    <e v="#N/A"/>
    <m/>
    <m/>
    <m/>
    <d v="2020-12-20T00:00:00"/>
    <e v="#N/A"/>
    <s v="Fixed"/>
    <x v="1"/>
    <x v="0"/>
    <x v="0"/>
  </r>
  <r>
    <s v="81.192.11.141/0/oracle_linux-cve-2017-1652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6525"/>
    <s v="Oracle Linux: (CVE-2017-16525) (Multiple Advisories): Unbreakable Enterprise kernel security update"/>
    <s v="The usb_serial_console_disconnect function in drivers/usb/serial/console.c in the Linux kernel before 4.13.8 allows local users to cause a denial of service (use-after-free and system crash) or possibly have unspecified other impact via a crafted USB device, related to disconnection and failed setup."/>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25] is not installed, no patches discovered._x000d__x000a__x000d__x000a__x000d__x000a_ * _x000d__x000a_      kernel-uek-firmware - version 4.1.12-94.3.9.el7uek is installed"/>
    <s v=""/>
    <s v="CVE-2017-16525"/>
    <s v="http://nvd.nist.gov/vuln/detail/CVE-2017-16525"/>
    <d v="2017-11-03T00:00:00"/>
    <s v="vv"/>
    <n v="0"/>
    <s v=""/>
    <s v=""/>
    <s v="3 Days"/>
    <m/>
    <m/>
    <s v="Fixed"/>
    <x v="4"/>
    <d v="2020-12-26T00:00:00"/>
    <m/>
    <x v="3"/>
    <s v="Unix"/>
    <e v="#N/A"/>
    <m/>
    <m/>
    <m/>
    <d v="2020-12-20T00:00:00"/>
    <e v="#N/A"/>
    <s v="Fixed"/>
    <x v="1"/>
    <x v="0"/>
    <x v="0"/>
  </r>
  <r>
    <s v="81.192.11.141/0/oracle_linux-cve-2017-1652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6526"/>
    <s v="Oracle Linux: (CVE-2017-16526) (Multiple Advisories): Unbreakable Enterprise kernel security update"/>
    <s v="drivers/uwb/uwbd.c in the Linux kernel before 4.13.6 allows local users to cause a denial of service (general protection fault and system crash) or possibly have unspecified other impact via a crafted USB de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26] is not installed, no patches discovered._x000d__x000a__x000d__x000a__x000d__x000a_ * _x000d__x000a_      kernel-uek-firmware - version 4.1.12-94.3.9.el7uek is installed"/>
    <s v=""/>
    <s v="CVE-2017-16526"/>
    <s v="http://nvd.nist.gov/vuln/detail/CVE-2017-16526"/>
    <d v="2017-11-03T00:00:00"/>
    <s v="vv"/>
    <n v="0"/>
    <s v=""/>
    <s v=""/>
    <s v="3 Days"/>
    <m/>
    <m/>
    <s v="Fixed"/>
    <x v="4"/>
    <d v="2020-12-26T00:00:00"/>
    <m/>
    <x v="3"/>
    <s v="Unix"/>
    <e v="#N/A"/>
    <m/>
    <m/>
    <m/>
    <d v="2020-12-20T00:00:00"/>
    <e v="#N/A"/>
    <s v="Fixed"/>
    <x v="1"/>
    <x v="0"/>
    <x v="0"/>
  </r>
  <r>
    <s v="81.192.11.141/0/oracle_linux-cve-2017-1652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6527"/>
    <s v="Oracle Linux: (CVE-2017-16527) (Multiple Advisories): Unbreakable Enterprise kernel security update"/>
    <s v="sound/usb/mixer.c in the Linux kernel before 4.13.8 allows local users to cause a denial of service (snd_usb_mixer_interrupt use-after-free and system crash) or possibly have unspecified other impact via a crafted USB de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27] is not installed, no patches discovered._x000d__x000a__x000d__x000a__x000d__x000a_ * _x000d__x000a_      kernel-uek-firmware - version 4.1.12-94.3.9.el7uek is installed"/>
    <s v=""/>
    <s v="CVE-2017-16527"/>
    <s v="http://nvd.nist.gov/vuln/detail/CVE-2017-16527"/>
    <d v="2017-11-03T00:00:00"/>
    <s v="vv"/>
    <n v="0"/>
    <s v=""/>
    <s v=""/>
    <s v="3 Days"/>
    <m/>
    <m/>
    <s v="Fixed"/>
    <x v="4"/>
    <d v="2020-12-26T00:00:00"/>
    <m/>
    <x v="3"/>
    <s v="Unix"/>
    <e v="#N/A"/>
    <m/>
    <m/>
    <m/>
    <d v="2020-12-20T00:00:00"/>
    <e v="#N/A"/>
    <s v="Fixed"/>
    <x v="1"/>
    <x v="0"/>
    <x v="0"/>
  </r>
  <r>
    <s v="81.192.11.141/0/oracle_linux-cve-2017-1652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6528"/>
    <s v="Oracle Linux: (CVE-2017-16528) ELSA-2020-5866: Unbreakable Enterprise kernel security update"/>
    <s v="sound/core/seq_device.c in the Linux kernel before 4.13.4 allows local users to cause a denial of service (snd_rawmidi_dev_seq_free use-after-free and system crash) or possibly have unspecified other impact via a crafted USB devic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28] is not installed, no patches discovered._x000d__x000a__x000d__x000a__x000d__x000a_ * _x000d__x000a_      kernel-uek-firmware - version 4.1.12-94.3.9.el7uek is installed"/>
    <s v=""/>
    <s v="CVE-2017-16528"/>
    <s v="http://nvd.nist.gov/vuln/detail/CVE-2017-16528"/>
    <d v="2017-11-03T00:00:00"/>
    <s v="vv"/>
    <n v="0"/>
    <s v=""/>
    <s v=""/>
    <s v="3 Days"/>
    <m/>
    <m/>
    <s v="Fixed"/>
    <x v="4"/>
    <d v="2020-12-26T00:00:00"/>
    <m/>
    <x v="3"/>
    <s v="Unix"/>
    <e v="#N/A"/>
    <m/>
    <m/>
    <m/>
    <d v="2020-12-20T00:00:00"/>
    <e v="#N/A"/>
    <s v="Fixed"/>
    <x v="1"/>
    <x v="0"/>
    <x v="0"/>
  </r>
  <r>
    <s v="81.192.11.141/0/oracle_linux-cve-2017-1652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6529"/>
    <s v="Oracle Linux: (CVE-2017-16529) (Multiple Advisories): Unbreakable Enterprise kernel security update"/>
    <s v="The snd_usb_create_streams function in sound/usb/card.c in the Linux kernel before 4.13.6 allows local users to cause a denial of service (out-of-bounds read and system crash) or possibly have unspecified other impact via a crafted USB de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29] is not installed, no patches discovered._x000d__x000a__x000d__x000a__x000d__x000a_ * _x000d__x000a_      kernel-uek-firmware - version 4.1.12-94.3.9.el7uek is installed"/>
    <s v=""/>
    <s v="CVE-2017-16529"/>
    <s v="http://nvd.nist.gov/vuln/detail/CVE-2017-16529"/>
    <d v="2017-11-03T00:00:00"/>
    <s v="vv"/>
    <n v="0"/>
    <s v=""/>
    <s v=""/>
    <s v="3 Days"/>
    <m/>
    <m/>
    <s v="Fixed"/>
    <x v="4"/>
    <d v="2020-12-26T00:00:00"/>
    <m/>
    <x v="3"/>
    <s v="Unix"/>
    <e v="#N/A"/>
    <m/>
    <m/>
    <m/>
    <d v="2020-12-20T00:00:00"/>
    <e v="#N/A"/>
    <s v="Fixed"/>
    <x v="1"/>
    <x v="0"/>
    <x v="0"/>
  </r>
  <r>
    <s v="81.192.11.141/0/oracle_linux-cve-2017-1653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6530"/>
    <s v="Oracle Linux: (CVE-2017-16530) ELSA-2018-4001: Unbreakable Enterprise kernel security update"/>
    <s v="The uas driver in the Linux kernel before 4.13.6 allows local users to cause a denial of service (out-of-bounds read and system crash) or possibly have unspecified other impact via a crafted USB device, related to drivers/usb/storage/uas-detect.h and drivers/usb/storage/uas.c."/>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30] is not installed, no patches discovered._x000d__x000a__x000d__x000a__x000d__x000a_ * _x000d__x000a_      kernel-uek-firmware - version 4.1.12-94.3.9.el7uek is installed"/>
    <s v=""/>
    <s v="CVE-2017-16530"/>
    <s v="http://nvd.nist.gov/vuln/detail/CVE-2017-16530"/>
    <d v="2017-11-03T00:00:00"/>
    <s v="vv"/>
    <n v="0"/>
    <s v=""/>
    <s v=""/>
    <s v="3 Days"/>
    <m/>
    <m/>
    <s v="Fixed"/>
    <x v="4"/>
    <d v="2020-12-26T00:00:00"/>
    <m/>
    <x v="3"/>
    <s v="Unix"/>
    <e v="#N/A"/>
    <m/>
    <m/>
    <m/>
    <d v="2020-12-20T00:00:00"/>
    <e v="#N/A"/>
    <s v="Fixed"/>
    <x v="1"/>
    <x v="0"/>
    <x v="0"/>
  </r>
  <r>
    <s v="81.192.11.141/0/oracle_linux-cve-2017-1653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6531"/>
    <s v="Oracle Linux: (CVE-2017-16531) (Multiple Advisories): Unbreakable Enterprise kernel security update"/>
    <s v="drivers/usb/core/config.c in the Linux kernel before 4.13.6 allows local users to cause a denial of service (out-of-bounds read and system crash) or possibly have unspecified other impact via a crafted USB device, related to the USB_DT_INTERFACE_ASSOCIATION descripto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31] is not installed, no patches discovered._x000d__x000a__x000d__x000a__x000d__x000a_ * _x000d__x000a_      kernel-uek-firmware - version 4.1.12-94.3.9.el7uek is installed"/>
    <s v=""/>
    <s v="CVE-2017-16531"/>
    <s v="http://nvd.nist.gov/vuln/detail/CVE-2017-16531"/>
    <d v="2017-11-03T00:00:00"/>
    <s v="vv"/>
    <n v="0"/>
    <s v=""/>
    <s v=""/>
    <s v="3 Days"/>
    <m/>
    <m/>
    <s v="Fixed"/>
    <x v="4"/>
    <d v="2020-12-26T00:00:00"/>
    <m/>
    <x v="3"/>
    <s v="Unix"/>
    <e v="#N/A"/>
    <m/>
    <m/>
    <m/>
    <d v="2020-12-20T00:00:00"/>
    <e v="#N/A"/>
    <s v="Fixed"/>
    <x v="1"/>
    <x v="0"/>
    <x v="0"/>
  </r>
  <r>
    <s v="81.192.11.141/0/oracle_linux-cve-2017-1653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6532"/>
    <s v="Oracle Linux: (CVE-2017-16532) (Multiple Advisories): Unbreakable Enterprise kernel security update"/>
    <s v="The get_endpoints function in drivers/usb/misc/usbtest.c in the Linux kernel through 4.13.11 allows local users to cause a denial of service (NULL pointer dereference and system crash) or possibly have unspecified other impact via a crafted USB de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32] is not installed, no patches discovered._x000d__x000a__x000d__x000a__x000d__x000a_ * _x000d__x000a_      kernel-uek-firmware - version 4.1.12-94.3.9.el7uek is installed"/>
    <s v=""/>
    <s v="CVE-2017-16532"/>
    <s v="http://nvd.nist.gov/vuln/detail/CVE-2017-16532"/>
    <d v="2017-11-03T00:00:00"/>
    <s v="vv"/>
    <n v="0"/>
    <s v=""/>
    <s v=""/>
    <s v="3 Days"/>
    <m/>
    <m/>
    <s v="Fixed"/>
    <x v="4"/>
    <d v="2020-12-26T00:00:00"/>
    <m/>
    <x v="3"/>
    <s v="Unix"/>
    <e v="#N/A"/>
    <m/>
    <m/>
    <m/>
    <d v="2020-12-20T00:00:00"/>
    <e v="#N/A"/>
    <s v="Fixed"/>
    <x v="1"/>
    <x v="0"/>
    <x v="0"/>
  </r>
  <r>
    <s v="81.192.11.141/0/oracle_linux-cve-2017-1653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6533"/>
    <s v="Oracle Linux: (CVE-2017-16533) (Multiple Advisories): Unbreakable Enterprise kernel security update"/>
    <s v="The usbhid_parse function in drivers/hid/usbhid/hid-core.c in the Linux kernel before 4.13.8 allows local users to cause a denial of service (out-of-bounds read and system crash) or possibly have unspecified other impact via a crafted USB de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33] is not installed, no patches discovered._x000d__x000a__x000d__x000a__x000d__x000a_ * _x000d__x000a_      kernel-uek-firmware - version 4.1.12-94.3.9.el7uek is installed"/>
    <s v=""/>
    <s v="CVE-2017-16533"/>
    <s v="http://nvd.nist.gov/vuln/detail/CVE-2017-16533"/>
    <d v="2017-11-03T00:00:00"/>
    <s v="vv"/>
    <n v="0"/>
    <s v=""/>
    <s v=""/>
    <s v="3 Days"/>
    <m/>
    <m/>
    <s v="Fixed"/>
    <x v="4"/>
    <d v="2020-12-26T00:00:00"/>
    <m/>
    <x v="3"/>
    <s v="Unix"/>
    <e v="#N/A"/>
    <m/>
    <m/>
    <m/>
    <d v="2020-12-20T00:00:00"/>
    <e v="#N/A"/>
    <s v="Fixed"/>
    <x v="1"/>
    <x v="0"/>
    <x v="0"/>
  </r>
  <r>
    <s v="81.192.11.141/0/oracle_linux-cve-2017-1653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6535"/>
    <s v="Oracle Linux: (CVE-2017-16535) (Multiple Advisories): Unbreakable Enterprise kernel security update"/>
    <s v="The usb_get_bos_descriptor function in drivers/usb/core/config.c in the Linux kernel before 4.13.10 allows local users to cause a denial of service (out-of-bounds read and system crash) or possibly have unspecified other impact via a crafted USB de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35] is not installed, no patches discovered._x000d__x000a__x000d__x000a__x000d__x000a_ * _x000d__x000a_      kernel-uek-firmware - version 4.1.12-94.3.9.el7uek is installed"/>
    <s v=""/>
    <s v="CVE-2017-16535"/>
    <s v="http://nvd.nist.gov/vuln/detail/CVE-2017-16535"/>
    <d v="2017-11-03T00:00:00"/>
    <s v="vv"/>
    <n v="0"/>
    <s v=""/>
    <s v=""/>
    <s v="3 Days"/>
    <m/>
    <m/>
    <s v="Fixed"/>
    <x v="4"/>
    <d v="2020-12-26T00:00:00"/>
    <m/>
    <x v="3"/>
    <s v="Unix"/>
    <e v="#N/A"/>
    <m/>
    <m/>
    <m/>
    <d v="2020-12-20T00:00:00"/>
    <e v="#N/A"/>
    <s v="Fixed"/>
    <x v="1"/>
    <x v="0"/>
    <x v="0"/>
  </r>
  <r>
    <s v="81.192.11.141/0/oracle_linux-cve-2017-1653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6536"/>
    <s v="Oracle Linux: (CVE-2017-16536) (Multiple Advisories): Unbreakable Enterprise kernel security update"/>
    <s v="The cx231xx_usb_probe function in drivers/media/usb/cx231xx/cx231xx-cards.c in the Linux kernel through 4.13.11 allows local users to cause a denial of service (NULL pointer dereference and system crash) or possibly have unspecified other impact via a crafted USB de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36] is not installed, no patches discovered._x000d__x000a__x000d__x000a__x000d__x000a_ * _x000d__x000a_      kernel-uek-firmware - version 4.1.12-94.3.9.el7uek is installed"/>
    <s v=""/>
    <s v="CVE-2017-16536"/>
    <s v="http://nvd.nist.gov/vuln/detail/CVE-2017-16536"/>
    <d v="2017-11-03T00:00:00"/>
    <s v="vv"/>
    <n v="0"/>
    <s v=""/>
    <s v=""/>
    <s v="3 Days"/>
    <m/>
    <m/>
    <s v="Fixed"/>
    <x v="4"/>
    <d v="2020-12-26T00:00:00"/>
    <m/>
    <x v="3"/>
    <s v="Unix"/>
    <e v="#N/A"/>
    <m/>
    <m/>
    <m/>
    <d v="2020-12-20T00:00:00"/>
    <e v="#N/A"/>
    <s v="Fixed"/>
    <x v="1"/>
    <x v="0"/>
    <x v="0"/>
  </r>
  <r>
    <s v="81.192.11.141/0/oracle_linux-cve-2017-1653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6538"/>
    <s v="Oracle Linux: (CVE-2017-16538) ELSA-2020-5750: Unbreakable Enterprise kernel security update"/>
    <s v="drivers/media/usb/dvb-usb-v2/lmedm04.c in the Linux kernel through 4.13.11 allows local users to cause a denial of service (general protection fault and system crash) or possibly have unspecified other impact via a crafted USB device, related to a missing warm-start check and incorrect attach timing (dm04_lme2510_frontend_attach versus dm04_lme2510_tuner)."/>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538] is not installed, no patches discovered._x000d__x000a__x000d__x000a__x000d__x000a_ * _x000d__x000a_      kernel-uek-firmware - version 4.1.12-94.3.9.el7uek is installed"/>
    <s v=""/>
    <s v="CVE-2017-16538"/>
    <s v="http://nvd.nist.gov/vuln/detail/CVE-2017-16538"/>
    <d v="2017-11-03T00:00:00"/>
    <s v="vv"/>
    <n v="0"/>
    <s v=""/>
    <s v=""/>
    <s v="3 Days"/>
    <m/>
    <m/>
    <s v="Fixed"/>
    <x v="4"/>
    <d v="2020-12-26T00:00:00"/>
    <m/>
    <x v="3"/>
    <s v="Unix"/>
    <e v="#N/A"/>
    <m/>
    <m/>
    <m/>
    <d v="2020-12-20T00:00:00"/>
    <e v="#N/A"/>
    <s v="Fixed"/>
    <x v="1"/>
    <x v="0"/>
    <x v="0"/>
  </r>
  <r>
    <s v="81.192.11.141/0/oracle_linux-cve-2017-1664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6643"/>
    <s v="Oracle Linux: (CVE-2017-16643) (Multiple Advisories): Unbreakable Enterprise kernel security update"/>
    <s v="The parse_hid_report_descriptor function in drivers/input/tablet/gtco.c in the Linux kernel before 4.13.11 allows local users to cause a denial of service (out-of-bounds read and system crash) or possibly have unspecified other impact via a crafted USB de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643] is not installed, no patches discovered._x000d__x000a__x000d__x000a__x000d__x000a_ * _x000d__x000a_      kernel-uek-firmware - version 4.1.12-94.3.9.el7uek is installed"/>
    <s v=""/>
    <s v="CVE-2017-16643"/>
    <s v="http://nvd.nist.gov/vuln/detail/CVE-2017-16643"/>
    <d v="2017-11-07T00:00:00"/>
    <s v="vv"/>
    <n v="0"/>
    <s v=""/>
    <s v=""/>
    <s v="3 Days"/>
    <m/>
    <m/>
    <s v="Fixed"/>
    <x v="4"/>
    <d v="2020-12-26T00:00:00"/>
    <m/>
    <x v="3"/>
    <s v="Unix"/>
    <e v="#N/A"/>
    <m/>
    <m/>
    <m/>
    <d v="2020-12-20T00:00:00"/>
    <e v="#N/A"/>
    <s v="Fixed"/>
    <x v="1"/>
    <x v="0"/>
    <x v="0"/>
  </r>
  <r>
    <s v="81.192.11.141/0/oracle_linux-cve-2017-1664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6644"/>
    <s v="Oracle Linux: (CVE-2017-16644) ELSA-2020-5837: Unbreakable Enterprise kernel security update"/>
    <s v="The hdpvr_probe function in drivers/media/usb/hdpvr/hdpvr-core.c in the Linux kernel through 4.13.11 allows local users to cause a denial of service (improper error handling and system crash) or possibly have unspecified other impact via a crafted USB devic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644] is not installed, no patches discovered._x000d__x000a__x000d__x000a__x000d__x000a_ * _x000d__x000a_      kernel-uek-firmware - version 4.1.12-94.3.9.el7uek is installed"/>
    <s v=""/>
    <s v="CVE-2017-16644"/>
    <s v="http://nvd.nist.gov/vuln/detail/CVE-2017-16644"/>
    <d v="2017-11-07T00:00:00"/>
    <s v="vv"/>
    <n v="0"/>
    <s v=""/>
    <s v=""/>
    <s v="3 Days"/>
    <m/>
    <m/>
    <s v="Fixed"/>
    <x v="4"/>
    <d v="2020-12-26T00:00:00"/>
    <m/>
    <x v="3"/>
    <s v="Unix"/>
    <e v="#N/A"/>
    <m/>
    <m/>
    <m/>
    <d v="2020-12-20T00:00:00"/>
    <e v="#N/A"/>
    <s v="Fixed"/>
    <x v="1"/>
    <x v="0"/>
    <x v="0"/>
  </r>
  <r>
    <s v="81.192.11.141/0/oracle_linux-cve-2017-1664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6645"/>
    <s v="Oracle Linux: (CVE-2017-16645) ELSA-2018-4084: Unbreakable Enterprise kernel security update"/>
    <s v="The ims_pcu_get_cdc_union_desc function in drivers/input/misc/ims-pcu.c in the Linux kernel through 4.13.11 allows local users to cause a denial of service (ims_pcu_parse_cdc_data out-of-bounds read and system crash) or possibly have unspecified other impact via a crafted USB devic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645] is not installed, no patches discovered._x000d__x000a__x000d__x000a__x000d__x000a_ * _x000d__x000a_      kernel-uek-firmware - version 4.1.12-94.3.9.el7uek is installed"/>
    <s v=""/>
    <s v="CVE-2017-16645"/>
    <s v="http://nvd.nist.gov/vuln/detail/CVE-2017-16645"/>
    <d v="2017-11-07T00:00:00"/>
    <s v="vv"/>
    <n v="0"/>
    <s v=""/>
    <s v=""/>
    <s v="3 Days"/>
    <m/>
    <m/>
    <s v="Fixed"/>
    <x v="4"/>
    <d v="2020-12-26T00:00:00"/>
    <m/>
    <x v="3"/>
    <s v="Unix"/>
    <e v="#N/A"/>
    <m/>
    <m/>
    <m/>
    <d v="2020-12-20T00:00:00"/>
    <e v="#N/A"/>
    <s v="Fixed"/>
    <x v="1"/>
    <x v="0"/>
    <x v="0"/>
  </r>
  <r>
    <s v="81.192.11.141/0/oracle_linux-cve-2017-1664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6646"/>
    <s v="Oracle Linux: (CVE-2017-16646) ELSA-2018-4071: Unbreakable Enterprise kernel security update"/>
    <s v="drivers/media/usb/dvb-usb/dib0700_devices.c in the Linux kernel through 4.13.11 allows local users to cause a denial of service (BUG and system crash) or possibly have unspecified other impact via a crafted USB devic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646] is not installed, no patches discovered._x000d__x000a__x000d__x000a__x000d__x000a_ * _x000d__x000a_      kernel-uek-firmware - version 4.1.12-94.3.9.el7uek is installed"/>
    <s v=""/>
    <s v="CVE-2017-16646"/>
    <s v="http://nvd.nist.gov/vuln/detail/CVE-2017-16646"/>
    <d v="2017-11-07T00:00:00"/>
    <s v="vv"/>
    <n v="0"/>
    <s v=""/>
    <s v=""/>
    <s v="3 Days"/>
    <m/>
    <m/>
    <s v="Fixed"/>
    <x v="4"/>
    <d v="2020-12-26T00:00:00"/>
    <m/>
    <x v="3"/>
    <s v="Unix"/>
    <e v="#N/A"/>
    <m/>
    <m/>
    <m/>
    <d v="2020-12-20T00:00:00"/>
    <e v="#N/A"/>
    <s v="Fixed"/>
    <x v="1"/>
    <x v="0"/>
    <x v="0"/>
  </r>
  <r>
    <s v="81.192.11.141/0/oracle_linux-cve-2017-1665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6650"/>
    <s v="Oracle Linux: (CVE-2017-16650) (Multiple Advisories): Unbreakable Enterprise kernel security update"/>
    <s v="The qmi_wwan_bind function in drivers/net/usb/qmi_wwan.c in the Linux kernel through 4.13.11 allows local users to cause a denial of service (divide-by-zero error and system crash) or possibly have unspecified other impact via a crafted USB de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650] is not installed, no patches discovered._x000d__x000a__x000d__x000a__x000d__x000a_ * _x000d__x000a_      kernel-uek-firmware - version 4.1.12-94.3.9.el7uek is installed"/>
    <s v=""/>
    <s v="CVE-2017-16650"/>
    <s v="http://nvd.nist.gov/vuln/detail/CVE-2017-16650"/>
    <d v="2017-11-07T00:00:00"/>
    <s v="vv"/>
    <n v="0"/>
    <s v=""/>
    <s v=""/>
    <s v="3 Days"/>
    <m/>
    <m/>
    <s v="Fixed"/>
    <x v="4"/>
    <d v="2020-12-26T00:00:00"/>
    <m/>
    <x v="3"/>
    <s v="Unix"/>
    <e v="#N/A"/>
    <m/>
    <m/>
    <m/>
    <d v="2020-12-20T00:00:00"/>
    <e v="#N/A"/>
    <s v="Fixed"/>
    <x v="1"/>
    <x v="0"/>
    <x v="0"/>
  </r>
  <r>
    <s v="81.192.11.141/0/oracle_linux-cve-2017-1693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6939"/>
    <s v="Oracle Linux: (CVE-2017-16939) (Multiple Advisories): Unbreakable Enterprise kernel security update"/>
    <s v="The XFRM dump policy implementation in net/xfrm/xfrm_user.c in the Linux kernel before 4.13.11 allows local users to gain privileges or cause a denial of service (use-after-free) via a crafted SO_RCVBUF setsockopt system call in conjunction with XFRM_MSG_GETPOLICY Netlink message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939] is not installed, no patches discovered._x000d__x000a__x000d__x000a__x000d__x000a_ * _x000d__x000a_      kernel-uek-firmware - version 4.1.12-94.3.9.el7uek is installed"/>
    <s v=""/>
    <s v="CVE-2017-16939"/>
    <s v="http://nvd.nist.gov/vuln/detail/CVE-2017-16939"/>
    <d v="2017-11-24T00:00:00"/>
    <s v="vv"/>
    <n v="1"/>
    <s v="Expert"/>
    <s v="http://www.exploit-db.com/exploits/44049"/>
    <s v="3 Days"/>
    <m/>
    <m/>
    <s v="Fixed"/>
    <x v="4"/>
    <d v="2020-12-26T00:00:00"/>
    <m/>
    <x v="3"/>
    <s v="Unix"/>
    <e v="#N/A"/>
    <m/>
    <m/>
    <m/>
    <d v="2020-12-20T00:00:00"/>
    <e v="#N/A"/>
    <s v="Fixed"/>
    <x v="1"/>
    <x v="0"/>
    <x v="0"/>
  </r>
  <r>
    <s v="81.192.11.141/0/oracle_linux-cve-2017-1699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7-16994"/>
    <s v="Oracle Linux: (CVE-2017-16994) ELSA-2018-4108: Unbreakable Enterprise kernel security update"/>
    <s v="The walk_hugetlb_range function in mm/pagewalk.c in the Linux kernel before 4.14.2 mishandles holes in hugetlb ranges, which allows local users to obtain sensitive information from uninitialized kernel memory via crafted use of the mincore() system call."/>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6994] is not installed, no patches discovered._x000d__x000a__x000d__x000a__x000d__x000a_ * _x000d__x000a_      kernel-uek-firmware - version 4.1.12-94.3.9.el7uek is installed"/>
    <s v=""/>
    <s v="CVE-2017-16994"/>
    <s v="http://nvd.nist.gov/vuln/detail/CVE-2017-16994"/>
    <d v="2017-11-27T00:00:00"/>
    <s v="vv"/>
    <n v="1"/>
    <s v="Expert"/>
    <s v="http://www.exploit-db.com/exploits/43178"/>
    <s v="3 Days"/>
    <m/>
    <m/>
    <s v="Fixed"/>
    <x v="4"/>
    <d v="2020-12-26T00:00:00"/>
    <m/>
    <x v="3"/>
    <s v="Unix"/>
    <e v="#N/A"/>
    <m/>
    <m/>
    <m/>
    <d v="2020-12-20T00:00:00"/>
    <e v="#N/A"/>
    <s v="Fixed"/>
    <x v="1"/>
    <x v="0"/>
    <x v="0"/>
  </r>
  <r>
    <s v="81.192.11.141/0/oracle_linux-cve-2017-1705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7052"/>
    <s v="Oracle Linux: (CVE-2017-17052) (Multiple Advisories): Unbreakable Enterprise kernel security update"/>
    <s v="The mm_init function in kernel/fork.c in the Linux kernel before 4.12.10 does not clear the -&gt;exe_file member of a new process's mm_struct, allowing a local attacker to achieve a use-after-free or possibly have unspecified other impact by running a specially crafted program."/>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7052] is not installed, no patches discovered._x000d__x000a__x000d__x000a__x000d__x000a_ * _x000d__x000a_      kernel-uek-firmware - version 4.1.12-94.3.9.el7uek is installed"/>
    <s v=""/>
    <s v="CVE-2017-17052"/>
    <s v="http://nvd.nist.gov/vuln/detail/CVE-2017-17052"/>
    <d v="2017-11-28T00:00:00"/>
    <s v="vv"/>
    <n v="0"/>
    <s v=""/>
    <s v=""/>
    <s v="3 Days"/>
    <m/>
    <m/>
    <s v="Fixed"/>
    <x v="4"/>
    <d v="2020-12-26T00:00:00"/>
    <m/>
    <x v="3"/>
    <s v="Unix"/>
    <e v="#N/A"/>
    <m/>
    <m/>
    <m/>
    <d v="2020-12-20T00:00:00"/>
    <e v="#N/A"/>
    <s v="Fixed"/>
    <x v="1"/>
    <x v="0"/>
    <x v="0"/>
  </r>
  <r>
    <s v="81.192.11.141/0/oracle_linux-cve-2017-1744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17448"/>
    <s v="Oracle Linux: (CVE-2017-17448) (Multiple Advisories): Unbreakable Enterprise kernel security update"/>
    <s v="net/netfilter/nfnetlink_cthelper.c in the Linux kernel through 4.14.4 does not require the CAP_NET_ADMIN capability for new, get, and del operations, which allows local users to bypass intended access restrictions because the nfnl_cthelper_list data structure is shared across all net namespace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7448] is not installed, no patches discovered._x000d__x000a__x000d__x000a__x000d__x000a_ * _x000d__x000a_      kernel-uek-firmware - version 4.1.12-94.3.9.el7uek is installed"/>
    <s v=""/>
    <s v="CVE-2017-17448"/>
    <s v="http://nvd.nist.gov/vuln/detail/CVE-2017-17448"/>
    <d v="2017-12-06T00:00:00"/>
    <s v="vv"/>
    <n v="0"/>
    <s v=""/>
    <s v=""/>
    <s v="3 Days"/>
    <m/>
    <m/>
    <s v="Fixed"/>
    <x v="4"/>
    <d v="2020-12-26T00:00:00"/>
    <m/>
    <x v="3"/>
    <s v="Unix"/>
    <e v="#N/A"/>
    <m/>
    <m/>
    <m/>
    <d v="2020-12-20T00:00:00"/>
    <e v="#N/A"/>
    <s v="Fixed"/>
    <x v="1"/>
    <x v="0"/>
    <x v="0"/>
  </r>
  <r>
    <s v="81.192.11.141/0/oracle_linux-cve-2017-1744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7-17449"/>
    <s v="Oracle Linux: (CVE-2017-17449) (Multiple Advisories): Unbreakable Enterprise kernel security update"/>
    <s v="The __netlink_deliver_tap_skb function in net/netlink/af_netlink.c in the Linux kernel through 4.14.4, when CONFIG_NLMON is enabled, does not restrict observations of Netlink messages to a single net namespace, which allows local users to obtain sensitive information by leveraging the CAP_NET_ADMIN capability to sniff an nlmon interface for all Netlink activity on the system."/>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7449] is not installed, no patches discovered._x000d__x000a__x000d__x000a__x000d__x000a_ * _x000d__x000a_      kernel-uek-firmware - version 4.1.12-94.3.9.el7uek is installed"/>
    <s v=""/>
    <s v="CVE-2017-17449"/>
    <s v="http://nvd.nist.gov/vuln/detail/CVE-2017-17449"/>
    <d v="2017-12-06T00:00:00"/>
    <s v="vv"/>
    <n v="0"/>
    <s v=""/>
    <s v=""/>
    <s v="3 Days"/>
    <m/>
    <m/>
    <s v="Fixed"/>
    <x v="4"/>
    <d v="2020-12-26T00:00:00"/>
    <m/>
    <x v="3"/>
    <s v="Unix"/>
    <e v="#N/A"/>
    <m/>
    <m/>
    <m/>
    <d v="2020-12-20T00:00:00"/>
    <e v="#N/A"/>
    <s v="Fixed"/>
    <x v="1"/>
    <x v="0"/>
    <x v="0"/>
  </r>
  <r>
    <s v="81.192.11.141/0/oracle_linux-cve-2017-1771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7712"/>
    <s v="Oracle Linux: (CVE-2017-17712) (Multiple Advisories): Unbreakable Enterprise kernel security update"/>
    <s v="The raw_sendmsg() function in net/ipv4/raw.c in the Linux kernel through 4.14.6 has a race condition in inet-&gt;hdrincl that leads to uninitialized stack pointer usage; this allows a local user to execute code and gain privilege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7712] is not installed, no patches discovered._x000d__x000a__x000d__x000a__x000d__x000a_ * _x000d__x000a_      kernel-uek-firmware - version 4.1.12-94.3.9.el7uek is installed"/>
    <s v=""/>
    <s v="CVE-2017-17712"/>
    <s v="http://nvd.nist.gov/vuln/detail/CVE-2017-17712"/>
    <d v="2017-12-15T00:00:00"/>
    <s v="vv"/>
    <n v="0"/>
    <s v=""/>
    <s v=""/>
    <s v="3 Days"/>
    <m/>
    <m/>
    <s v="Fixed"/>
    <x v="4"/>
    <d v="2020-12-26T00:00:00"/>
    <m/>
    <x v="3"/>
    <s v="Unix"/>
    <e v="#N/A"/>
    <m/>
    <m/>
    <m/>
    <d v="2020-12-20T00:00:00"/>
    <e v="#N/A"/>
    <s v="Fixed"/>
    <x v="1"/>
    <x v="0"/>
    <x v="0"/>
  </r>
  <r>
    <s v="81.192.11.141/0/oracle_linux-cve-2017-1774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7-17741"/>
    <s v="Oracle Linux: (CVE-2017-17741) (Multiple Advisories): Unbreakable Enterprise kernel security update"/>
    <s v="The KVM implementation in the Linux kernel through 4.14.7 allows attackers to obtain potentially sensitive information from kernel memory, aka a write_mmio stack-based out-of-bounds read, related to arch/x86/kvm/x86.c and include/trace/events/kvm.h."/>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7741] is not installed, no patches discovered._x000d__x000a__x000d__x000a__x000d__x000a_ * _x000d__x000a_      kernel-uek-firmware - version 4.1.12-94.3.9.el7uek is installed"/>
    <s v=""/>
    <s v="CVE-2017-17741"/>
    <s v="http://nvd.nist.gov/vuln/detail/CVE-2017-17741"/>
    <d v="2017-12-18T00:00:00"/>
    <s v="vv"/>
    <n v="0"/>
    <s v=""/>
    <s v=""/>
    <s v="3 Days"/>
    <m/>
    <m/>
    <s v="Fixed"/>
    <x v="4"/>
    <d v="2020-12-26T00:00:00"/>
    <m/>
    <x v="3"/>
    <s v="Unix"/>
    <e v="#N/A"/>
    <m/>
    <m/>
    <m/>
    <d v="2020-12-20T00:00:00"/>
    <e v="#N/A"/>
    <s v="Fixed"/>
    <x v="1"/>
    <x v="0"/>
    <x v="0"/>
  </r>
  <r>
    <s v="81.192.11.141/0/oracle_linux-cve-2017-1780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7805"/>
    <s v="Oracle Linux: (CVE-2017-17805) (Multiple Advisories): kernel security and bug fix update"/>
    <s v="The Salsa20 encryption algorithm in the Linux kernel before 4.14.8 does not correctly handle zero-length inputs, allowing a local attacker able to use the AF_ALG-based skcipher interface (CONFIG_CRYPTO_USER_API_SKCIPHER) to cause a denial of service (uninitialized-memory free and kernel crash) or have unspecified other impact by executing a crafted sequence of system calls that use the blkcipher_walk API. Both the generic implementation (crypto/salsa20_generic.c) and x86 implementation (arch/x86/crypto/salsa20_glue.c) of Salsa20 were vulnerabl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7805] is not installed, no patches discovered._x000d__x000a__x000d__x000a__x000d__x000a_ * _x000d__x000a_      kernel-uek-firmware - version 4.1.12-94.3.9.el7uek is installed"/>
    <s v=""/>
    <s v="CVE-2017-17805"/>
    <s v="http://nvd.nist.gov/vuln/detail/CVE-2017-17805"/>
    <d v="2017-12-20T00:00:00"/>
    <s v="vv"/>
    <n v="0"/>
    <s v=""/>
    <s v=""/>
    <s v="3 Days"/>
    <m/>
    <m/>
    <s v="Fixed"/>
    <x v="4"/>
    <d v="2020-12-26T00:00:00"/>
    <m/>
    <x v="3"/>
    <s v="Unix"/>
    <e v="#N/A"/>
    <m/>
    <m/>
    <m/>
    <d v="2020-12-20T00:00:00"/>
    <e v="#N/A"/>
    <s v="Fixed"/>
    <x v="1"/>
    <x v="0"/>
    <x v="0"/>
  </r>
  <r>
    <s v="81.192.11.141/0/oracle_linux-cve-2017-1780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7806"/>
    <s v="Oracle Linux: (CVE-2017-17806) (Multiple Advisories): Unbreakable Enterprise kernel security update"/>
    <s v="The HMAC implementation (crypto/hmac.c) in the Linux kernel before 4.14.8 does not validate that the underlying cryptographic hash algorithm is unkeyed, allowing a local attacker able to use the AF_ALG-based hash interface (CONFIG_CRYPTO_USER_API_HASH) and the SHA-3 hash algorithm (CONFIG_CRYPTO_SHA3) to cause a kernel stack buffer overflow by executing a crafted sequence of system calls that encounter a missing SHA-3 initialization."/>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7806] is not installed, no patches discovered._x000d__x000a__x000d__x000a__x000d__x000a_ * _x000d__x000a_      kernel-uek-firmware - version 4.1.12-94.3.9.el7uek is installed"/>
    <s v=""/>
    <s v="CVE-2017-17806"/>
    <s v="http://nvd.nist.gov/vuln/detail/CVE-2017-17806"/>
    <d v="2017-12-20T00:00:00"/>
    <s v="vv"/>
    <n v="0"/>
    <s v=""/>
    <s v=""/>
    <s v="3 Days"/>
    <m/>
    <m/>
    <s v="Fixed"/>
    <x v="4"/>
    <d v="2020-12-26T00:00:00"/>
    <m/>
    <x v="3"/>
    <s v="Unix"/>
    <e v="#N/A"/>
    <m/>
    <m/>
    <m/>
    <d v="2020-12-20T00:00:00"/>
    <e v="#N/A"/>
    <s v="Fixed"/>
    <x v="1"/>
    <x v="0"/>
    <x v="0"/>
  </r>
  <r>
    <s v="81.192.11.141/0/oracle_linux-cve-2017-1780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7-17807"/>
    <s v="Oracle Linux: (CVE-2017-17807) (Multiple Advisories): kernel security, bug fix, and enhancement update"/>
    <s v="The KEYS subsystem in the Linux kernel before 4.14.6 omitted an access-control check when adding a key to the current task's &quot;default request-key keyring&quot; via the request_key() system call, allowing a local user to use a sequence of crafted system calls to add keys to a keyring with only Search permission (not Write permission) to that keyring, related to construct_get_dest_keyring() in security/keys/request_key.c."/>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7807] is not installed, no patches discovered._x000d__x000a__x000d__x000a__x000d__x000a_ * _x000d__x000a_      kernel-uek-firmware - version 4.1.12-94.3.9.el7uek is installed"/>
    <s v=""/>
    <s v="CVE-2017-17807"/>
    <s v="http://nvd.nist.gov/vuln/detail/CVE-2017-17807"/>
    <d v="2017-12-20T00:00:00"/>
    <s v="vv"/>
    <n v="0"/>
    <s v=""/>
    <s v=""/>
    <s v="3 Days"/>
    <m/>
    <m/>
    <s v="Fixed"/>
    <x v="4"/>
    <d v="2020-12-26T00:00:00"/>
    <m/>
    <x v="3"/>
    <s v="Unix"/>
    <e v="#N/A"/>
    <m/>
    <m/>
    <m/>
    <d v="2020-12-20T00:00:00"/>
    <e v="#N/A"/>
    <s v="Fixed"/>
    <x v="1"/>
    <x v="0"/>
    <x v="0"/>
  </r>
  <r>
    <s v="81.192.11.141/0/oracle_linux-cve-2017-1801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10"/>
    <x v="3"/>
    <s v="oracle_linux-cve-2017-18017"/>
    <s v="Oracle Linux: (CVE-2017-18017) (Multiple Advisories): Unbreakable Enterprise kernel security update"/>
    <s v="The tcpmss_mangle_packet function in net/netfilter/xt_TCPMSS.c in the Linux kernel before 4.11, and 4.9.x before 4.9.36, allows remote attackers to cause a denial of service (use-after-free and memory corruption) or possibly have unspecified other impact by leveraging the presence of xt_TCPMSS in an iptables action."/>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017] is not installed, no patches discovered._x000d__x000a__x000d__x000a__x000d__x000a_ * _x000d__x000a_      kernel-uek-firmware - version 4.1.12-94.3.9.el7uek is installed"/>
    <s v=""/>
    <s v="CVE-2017-18017"/>
    <s v="http://nvd.nist.gov/vuln/detail/CVE-2017-18017"/>
    <d v="2018-01-03T00:00:00"/>
    <s v="vv"/>
    <n v="0"/>
    <s v=""/>
    <s v=""/>
    <s v="3 Days"/>
    <m/>
    <m/>
    <s v="Fixed"/>
    <x v="4"/>
    <d v="2020-12-26T00:00:00"/>
    <m/>
    <x v="3"/>
    <s v="Unix"/>
    <e v="#N/A"/>
    <m/>
    <m/>
    <m/>
    <d v="2020-12-20T00:00:00"/>
    <e v="#N/A"/>
    <s v="Fixed"/>
    <x v="1"/>
    <x v="0"/>
    <x v="0"/>
  </r>
  <r>
    <s v="81.192.11.141/0/oracle_linux-cve-2017-1807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8079"/>
    <s v="Oracle Linux: (CVE-2017-18079) (Multiple Advisories): Unbreakable Enterprise kernel security update"/>
    <s v="drivers/input/serio/i8042.c in the Linux kernel before 4.12.4 allows attackers to cause a denial of service (NULL pointer dereference and system crash) or possibly have unspecified other impact because the port-&gt;exists value can change after it is validated."/>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079] is not installed, no patches discovered._x000d__x000a__x000d__x000a__x000d__x000a_ * _x000d__x000a_      kernel-uek-firmware - version 4.1.12-94.3.9.el7uek is installed"/>
    <s v=""/>
    <s v="CVE-2017-18079"/>
    <s v="http://nvd.nist.gov/vuln/detail/CVE-2017-18079"/>
    <d v="2018-01-29T00:00:00"/>
    <s v="vv"/>
    <n v="0"/>
    <s v=""/>
    <s v=""/>
    <s v="3 Days"/>
    <m/>
    <m/>
    <s v="Fixed"/>
    <x v="4"/>
    <d v="2020-12-26T00:00:00"/>
    <m/>
    <x v="3"/>
    <s v="Unix"/>
    <e v="#N/A"/>
    <m/>
    <m/>
    <m/>
    <d v="2020-12-20T00:00:00"/>
    <e v="#N/A"/>
    <s v="Fixed"/>
    <x v="1"/>
    <x v="0"/>
    <x v="0"/>
  </r>
  <r>
    <s v="81.192.11.141/0/oracle_linux-cve-2017-1817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8"/>
    <x v="2"/>
    <s v="oracle_linux-cve-2017-18174"/>
    <s v="Oracle Linux: (CVE-2017-18174) ELSA-2019-4315: Unbreakable Enterprise kernel security update"/>
    <s v="In the Linux kernel before 4.7, the amd_gpio_remove function in drivers/pinctrl/pinctrl-amd.c calls the pinctrl_unregister function, leading to a double fre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174] is not installed, no patches discovered._x000d__x000a__x000d__x000a__x000d__x000a_ * _x000d__x000a_      kernel-uek-firmware - version 4.1.12-94.3.9.el7uek is installed"/>
    <s v=""/>
    <s v="CVE-2017-18174"/>
    <s v="http://nvd.nist.gov/vuln/detail/CVE-2017-18174"/>
    <d v="2018-02-11T00:00:00"/>
    <s v="vv"/>
    <n v="0"/>
    <s v=""/>
    <s v=""/>
    <s v="3 Days"/>
    <m/>
    <m/>
    <s v="Fixed"/>
    <x v="4"/>
    <d v="2020-12-26T00:00:00"/>
    <m/>
    <x v="3"/>
    <s v="Unix"/>
    <e v="#N/A"/>
    <m/>
    <m/>
    <m/>
    <d v="2020-12-20T00:00:00"/>
    <e v="#N/A"/>
    <s v="Fixed"/>
    <x v="1"/>
    <x v="0"/>
    <x v="0"/>
  </r>
  <r>
    <s v="81.192.11.141/0/oracle_linux-cve-2017-1820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7-18203"/>
    <s v="Oracle Linux: (CVE-2017-18203) (Multiple Advisories): Unbreakable Enterprise kernel security update"/>
    <s v="The dm_get_from_kobject function in drivers/md/dm.c in the Linux kernel before 4.14.3 allow local users to cause a denial of service (BUG) by leveraging a race condition with __dm_destroy during creation and removal of DM device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203] is not installed, no patches discovered._x000d__x000a__x000d__x000a__x000d__x000a_ * _x000d__x000a_      kernel-uek-firmware - version 4.1.12-94.3.9.el7uek is installed"/>
    <s v=""/>
    <s v="CVE-2017-18203"/>
    <s v="http://nvd.nist.gov/vuln/detail/CVE-2017-18203"/>
    <d v="2018-02-27T00:00:00"/>
    <s v="vv"/>
    <n v="0"/>
    <s v=""/>
    <s v=""/>
    <s v="3 Days"/>
    <m/>
    <m/>
    <s v="Fixed"/>
    <x v="4"/>
    <d v="2020-12-26T00:00:00"/>
    <m/>
    <x v="3"/>
    <s v="Unix"/>
    <e v="#N/A"/>
    <m/>
    <m/>
    <m/>
    <d v="2020-12-20T00:00:00"/>
    <e v="#N/A"/>
    <s v="Fixed"/>
    <x v="1"/>
    <x v="0"/>
    <x v="0"/>
  </r>
  <r>
    <s v="81.192.11.141/0/oracle_linux-cve-2017-1820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18208"/>
    <s v="Oracle Linux: (CVE-2017-18208) (Multiple Advisories): Unbreakable Enterprise kernel security update"/>
    <s v="The madvise_willneed function in mm/madvise.c in the Linux kernel before 4.14.4 allows local users to cause a denial of service (infinite loop) by triggering use of MADVISE_WILLNEED for a DAX mapping."/>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208] is not installed, no patches discovered._x000d__x000a__x000d__x000a__x000d__x000a_ * _x000d__x000a_      kernel-uek-firmware - version 4.1.12-94.3.9.el7uek is installed"/>
    <s v=""/>
    <s v="CVE-2017-18208"/>
    <s v="http://nvd.nist.gov/vuln/detail/CVE-2017-18208"/>
    <d v="2018-03-01T00:00:00"/>
    <s v="vv"/>
    <n v="0"/>
    <s v=""/>
    <s v=""/>
    <s v="3 Days"/>
    <m/>
    <m/>
    <s v="Fixed"/>
    <x v="4"/>
    <d v="2020-12-26T00:00:00"/>
    <m/>
    <x v="3"/>
    <s v="Unix"/>
    <e v="#N/A"/>
    <m/>
    <m/>
    <m/>
    <d v="2020-12-20T00:00:00"/>
    <e v="#N/A"/>
    <s v="Fixed"/>
    <x v="1"/>
    <x v="0"/>
    <x v="0"/>
  </r>
  <r>
    <s v="81.192.11.141/0/oracle_linux-cve-2017-1822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18221"/>
    <s v="Oracle Linux: (CVE-2017-18221) ELSA-2019-4315: Unbreakable Enterprise kernel security update"/>
    <s v="The __munlock_pagevec function in mm/mlock.c in the Linux kernel before 4.11.4 allows local users to cause a denial of service (NR_MLOCK accounting corruption) via crafted use of mlockall and munlockall system call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221] is not installed, no patches discovered._x000d__x000a__x000d__x000a__x000d__x000a_ * _x000d__x000a_      kernel-uek-firmware - version 4.1.12-94.3.9.el7uek is installed"/>
    <s v=""/>
    <s v="CVE-2017-18221"/>
    <s v="http://nvd.nist.gov/vuln/detail/CVE-2017-18221"/>
    <d v="2018-03-07T00:00:00"/>
    <s v="vv"/>
    <n v="0"/>
    <s v=""/>
    <s v=""/>
    <s v="3 Days"/>
    <m/>
    <m/>
    <s v="Fixed"/>
    <x v="4"/>
    <d v="2020-12-26T00:00:00"/>
    <m/>
    <x v="3"/>
    <s v="Unix"/>
    <e v="#N/A"/>
    <m/>
    <m/>
    <m/>
    <d v="2020-12-20T00:00:00"/>
    <e v="#N/A"/>
    <s v="Fixed"/>
    <x v="1"/>
    <x v="0"/>
    <x v="0"/>
  </r>
  <r>
    <s v="81.192.11.141/0/oracle_linux-cve-2017-1825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18255"/>
    <s v="Oracle Linux: (CVE-2017-18255) ELSA-2019-4315: Unbreakable Enterprise kernel security update"/>
    <s v="The perf_cpu_time_max_percent_handler function in kernel/events/core.c in the Linux kernel before 4.11 allows local users to cause a denial of service (integer overflow) or possibly have unspecified other impact via a large value, as demonstrated by an incorrect sample-rate calculation."/>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255] is not installed, no patches discovered._x000d__x000a__x000d__x000a__x000d__x000a_ * _x000d__x000a_      kernel-uek-firmware - version 4.1.12-94.3.9.el7uek is installed"/>
    <s v=""/>
    <s v="CVE-2017-18255"/>
    <s v="http://nvd.nist.gov/vuln/detail/CVE-2017-18255"/>
    <d v="2018-03-31T00:00:00"/>
    <s v="vv"/>
    <n v="0"/>
    <s v=""/>
    <s v=""/>
    <s v="3 Days"/>
    <m/>
    <m/>
    <s v="Fixed"/>
    <x v="4"/>
    <d v="2020-12-26T00:00:00"/>
    <m/>
    <x v="3"/>
    <s v="Unix"/>
    <e v="#N/A"/>
    <m/>
    <m/>
    <m/>
    <d v="2020-12-20T00:00:00"/>
    <e v="#N/A"/>
    <s v="Fixed"/>
    <x v="1"/>
    <x v="0"/>
    <x v="0"/>
  </r>
  <r>
    <s v="81.192.11.141/0/oracle_linux-cve-2017-1834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7-18344"/>
    <s v="Oracle Linux: (CVE-2017-18344) (Multiple Advisories): kernel security, bug fix, and enhancement update"/>
    <s v="The timer_create syscall implementation in kernel/time/posix-timers.c in the Linux kernel before 4.14.8 doesn't properly validate the sigevent-&gt;sigev_notify field, which leads to out-of-bounds access in the show_timer function (called when /proc/$PID/timers is read). This allows userspace applications to read arbitrary kernel memory (on a kernel built with CONFIG_POSIX_TIMERS and CONFIG_CHECKPOINT_RESTOR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344] is not installed, no patches discovered._x000d__x000a__x000d__x000a__x000d__x000a_ * _x000d__x000a_      kernel-uek-firmware - version 4.1.12-94.3.9.el7uek is installed"/>
    <s v=""/>
    <s v="CVE-2017-18344"/>
    <s v="http://nvd.nist.gov/vuln/detail/CVE-2017-18344"/>
    <d v="2018-07-26T00:00:00"/>
    <s v="vv"/>
    <n v="1"/>
    <s v="Expert"/>
    <s v="http://www.exploit-db.com/exploits/45175"/>
    <s v="3 Days"/>
    <m/>
    <m/>
    <s v="Fixed"/>
    <x v="4"/>
    <d v="2020-12-26T00:00:00"/>
    <m/>
    <x v="3"/>
    <s v="Unix"/>
    <e v="#N/A"/>
    <m/>
    <m/>
    <m/>
    <d v="2020-12-20T00:00:00"/>
    <e v="#N/A"/>
    <s v="Fixed"/>
    <x v="1"/>
    <x v="0"/>
    <x v="0"/>
  </r>
  <r>
    <s v="81.192.11.141/0/oracle_linux-cve-2017-1836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18360"/>
    <s v="Oracle Linux: (CVE-2017-18360) ELSA-2019-4642: Unbreakable Enterprise kernel security update"/>
    <s v="In change_port_settings in drivers/usb/serial/io_ti.c in the Linux kernel before 4.11.3, local users could cause a denial of service by division-by-zero in the serial device layer by trying to set very high baud rate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360] is not installed, no patches discovered._x000d__x000a__x000d__x000a__x000d__x000a_ * _x000d__x000a_      kernel-uek-firmware - version 4.1.12-94.3.9.el7uek is installed"/>
    <s v=""/>
    <s v="CVE-2017-18360"/>
    <s v="http://nvd.nist.gov/vuln/detail/CVE-2017-18360"/>
    <d v="2019-01-31T00:00:00"/>
    <s v="vv"/>
    <n v="0"/>
    <s v=""/>
    <s v=""/>
    <s v="3 Days"/>
    <m/>
    <m/>
    <s v="Fixed"/>
    <x v="4"/>
    <d v="2020-12-26T00:00:00"/>
    <m/>
    <x v="3"/>
    <s v="Unix"/>
    <e v="#N/A"/>
    <m/>
    <m/>
    <m/>
    <d v="2020-12-20T00:00:00"/>
    <e v="#N/A"/>
    <s v="Fixed"/>
    <x v="1"/>
    <x v="0"/>
    <x v="0"/>
  </r>
  <r>
    <s v="81.192.11.141/0/oracle_linux-cve-2017-1855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18551"/>
    <s v="Oracle Linux: (CVE-2017-18551) (Multiple Advisories): kernel security, bug fix, and enhancement update"/>
    <s v="An issue was discovered in drivers/i2c/i2c-core-smbus.c in the Linux kernel before 4.14.15. There is an out of bounds write in the function i2c_smbus_xfer_emulated."/>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551] is not installed, no patches discovered._x000d__x000a__x000d__x000a__x000d__x000a_ * _x000d__x000a_      kernel-uek-firmware - version 4.1.12-94.3.9.el7uek is installed"/>
    <s v=""/>
    <s v="CVE-2017-18551"/>
    <s v="http://nvd.nist.gov/vuln/detail/CVE-2017-18551"/>
    <d v="2019-08-19T00:00:00"/>
    <s v="vv"/>
    <n v="0"/>
    <s v=""/>
    <s v=""/>
    <s v="3 Days"/>
    <m/>
    <m/>
    <s v="Fixed"/>
    <x v="4"/>
    <d v="2020-12-26T00:00:00"/>
    <m/>
    <x v="3"/>
    <s v="Unix"/>
    <e v="#N/A"/>
    <m/>
    <m/>
    <m/>
    <d v="2020-12-20T00:00:00"/>
    <e v="#N/A"/>
    <s v="Fixed"/>
    <x v="1"/>
    <x v="0"/>
    <x v="0"/>
  </r>
  <r>
    <s v="81.192.11.141/0/oracle_linux-cve-2017-1859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18595"/>
    <s v="Oracle Linux: (CVE-2017-18595) (Multiple Advisories): kernel security and bug fix update"/>
    <s v="An issue was discovered in the Linux kernel before 4.14.11. A double free may be caused by the function allocate_trace_buffer in the file kernel/trace/trace.c."/>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18595] is not installed, no patches discovered._x000d__x000a__x000d__x000a__x000d__x000a_ * _x000d__x000a_      kernel-uek-firmware - version 4.1.12-94.3.9.el7uek is installed"/>
    <s v=""/>
    <s v="CVE-2017-18595"/>
    <s v="http://nvd.nist.gov/vuln/detail/CVE-2017-18595"/>
    <d v="2019-09-04T00:00:00"/>
    <s v="vv"/>
    <n v="0"/>
    <s v=""/>
    <s v=""/>
    <s v="3 Days"/>
    <m/>
    <m/>
    <s v="Fixed"/>
    <x v="4"/>
    <d v="2020-12-26T00:00:00"/>
    <m/>
    <x v="3"/>
    <s v="Unix"/>
    <e v="#N/A"/>
    <m/>
    <m/>
    <m/>
    <d v="2020-12-20T00:00:00"/>
    <e v="#N/A"/>
    <s v="Fixed"/>
    <x v="1"/>
    <x v="0"/>
    <x v="0"/>
  </r>
  <r>
    <s v="81.192.11.141/0/oracle_linux-cve-2017-261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2618"/>
    <s v="Oracle Linux: (CVE-2017-2618) (Multiple Advisories): Unbreakable Enterprise kernel security and bugfix update"/>
    <s v="A flaw was found in the Linux kernel's handling of clearing SELinux attributes on /proc/pid/attr files before 4.9.10. An empty (null) write to this file can crash the system by causing the system to attempt to access unmapped kernel memory."/>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2618] is not installed, no patches discovered._x000d__x000a__x000d__x000a__x000d__x000a_ * _x000d__x000a_      kernel-uek-firmware - version 4.1.12-94.3.9.el7uek is installed"/>
    <s v=""/>
    <s v="CVE-2017-2618"/>
    <s v="http://nvd.nist.gov/vuln/detail/CVE-2017-2618"/>
    <d v="2017-02-22T00:00:00"/>
    <s v="vv"/>
    <n v="0"/>
    <s v=""/>
    <s v=""/>
    <s v="3 Days"/>
    <m/>
    <m/>
    <s v="Fixed"/>
    <x v="4"/>
    <d v="2020-12-26T00:00:00"/>
    <m/>
    <x v="3"/>
    <s v="Unix"/>
    <e v="#N/A"/>
    <m/>
    <m/>
    <m/>
    <d v="2020-12-20T00:00:00"/>
    <e v="#N/A"/>
    <s v="Fixed"/>
    <x v="1"/>
    <x v="0"/>
    <x v="0"/>
  </r>
  <r>
    <s v="81.192.11.141/0/oracle_linux-cve-2017-571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5715"/>
    <s v="Oracle Linux: (CVE-2017-5715) (Multiple Advisories): edk2 security update"/>
    <s v="Systems with microprocessors utilizing speculative execution and indirect branch prediction may allow unauthorized disclosure of information to an attacker with local user access via a side-channel analysis."/>
    <s v="* AAVMF on Oracle Linux_x000d__x000a_      Upgrade AAVMF_x000d__x000a__x000d__x000a_       Update AAVM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edk2 on Oracle Linux_x000d__x000a_      Upgrade edk2_x000d__x000a__x000d__x000a_       Update edk2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ivshmem-tools on Oracle Linux_x000d__x000a_      Upgrade ivshmem-tools_x000d__x000a__x000d__x000a_       Update ivshmem-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 on Oracle Linux_x000d__x000a_      Upgrade libvirt_x000d__x000a__x000d__x000a_       Update libvir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admin on Oracle Linux_x000d__x000a_      Upgrade libvirt-admin_x000d__x000a__x000d__x000a_       Update libvirt-admi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client on Oracle Linux_x000d__x000a_      Upgrade libvirt-client_x000d__x000a__x000d__x000a_       Update libvirt-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 on Oracle Linux_x000d__x000a_      Upgrade libvirt-daemon_x000d__x000a__x000d__x000a_       Update libvirt-dae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etwork on Oracle Linux_x000d__x000a_      Upgrade libvirt-daemon-config-network_x000d__x000a__x000d__x000a_       Update libvirt-daemon-config-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wfilter on Oracle Linux_x000d__x000a_      Upgrade libvirt-daemon-config-nwfilter_x000d__x000a__x000d__x000a_       Update libvirt-daemon-config-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interface on Oracle Linux_x000d__x000a_      Upgrade libvirt-daemon-driver-interface_x000d__x000a__x000d__x000a_       Update libvirt-daemon-driver-interfac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lxc on Oracle Linux_x000d__x000a_      Upgrade libvirt-daemon-driver-lxc_x000d__x000a__x000d__x000a_       Update libvirt-daemon-driver-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etwork on Oracle Linux_x000d__x000a_      Upgrade libvirt-daemon-driver-network_x000d__x000a__x000d__x000a_       Update libvirt-daemon-driver-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odedev on Oracle Linux_x000d__x000a_      Upgrade libvirt-daemon-driver-nodedev_x000d__x000a__x000d__x000a_       Update libvirt-daemon-driver-nodedev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wfilter on Oracle Linux_x000d__x000a_      Upgrade libvirt-daemon-driver-nwfilter_x000d__x000a__x000d__x000a_       Update libvirt-daemon-driver-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qemu on Oracle Linux_x000d__x000a_      Upgrade libvirt-daemon-driver-qemu_x000d__x000a__x000d__x000a_       Update libvirt-daemon-driver-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ecret on Oracle Linux_x000d__x000a_      Upgrade libvirt-daemon-driver-secret_x000d__x000a__x000d__x000a_       Update libvirt-daemon-driver-secre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 on Oracle Linux_x000d__x000a_      Upgrade libvirt-daemon-driver-storage_x000d__x000a__x000d__x000a_       Update libvirt-daemon-driver-storag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core on Oracle Linux_x000d__x000a_      Upgrade libvirt-daemon-driver-storage-core_x000d__x000a__x000d__x000a_       Update libvirt-daemon-driver-storage-co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disk on Oracle Linux_x000d__x000a_      Upgrade libvirt-daemon-driver-storage-disk_x000d__x000a__x000d__x000a_       Update libvirt-daemon-driver-storage-dis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gluster on Oracle Linux_x000d__x000a_      Upgrade libvirt-daemon-driver-storage-gluster_x000d__x000a__x000d__x000a_       Update libvirt-daemon-driver-storage-glus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iscsi on Oracle Linux_x000d__x000a_      Upgrade libvirt-daemon-driver-storage-iscsi_x000d__x000a__x000d__x000a_       Update libvirt-daemon-driver-storage-i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logical on Oracle Linux_x000d__x000a_      Upgrade libvirt-daemon-driver-storage-logical_x000d__x000a__x000d__x000a_       Update libvirt-daemon-driver-storage-logica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mpath on Oracle Linux_x000d__x000a_      Upgrade libvirt-daemon-driver-storage-mpath_x000d__x000a__x000d__x000a_       Update libvirt-daemon-driver-storage-mpath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rbd on Oracle Linux_x000d__x000a_      Upgrade libvirt-daemon-driver-storage-rbd_x000d__x000a__x000d__x000a_       Update libvirt-daemon-driver-storage-rb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scsi on Oracle Linux_x000d__x000a_      Upgrade libvirt-daemon-driver-storage-scsi_x000d__x000a__x000d__x000a_       Update libvirt-daemon-driver-storage-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kvm on Oracle Linux_x000d__x000a_      Upgrade libvirt-daemon-kvm_x000d__x000a__x000d__x000a_       Update libvirt-daemon-kvm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lxc on Oracle Linux_x000d__x000a_      Upgrade libvirt-daemon-lxc_x000d__x000a__x000d__x000a_       Update libvirt-daemon-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evel on Oracle Linux_x000d__x000a_      Upgrade libvirt-devel_x000d__x000a__x000d__x000a_       Update libvir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ocs on Oracle Linux_x000d__x000a_      Upgrade libvirt-docs_x000d__x000a__x000d__x000a_       Update libvirt-doc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libs on Oracle Linux_x000d__x000a_      Upgrade libvirt-libs_x000d__x000a__x000d__x000a_       Update libvir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lock-sanlock on Oracle Linux_x000d__x000a_      Upgrade libvirt-lock-sanlock_x000d__x000a__x000d__x000a_       Update libvirt-lock-sanloc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login-shell on Oracle Linux_x000d__x000a_      Upgrade libvirt-login-shell_x000d__x000a__x000d__x000a_       Update libvirt-login-shel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nss on Oracle Linux_x000d__x000a_      Upgrade libvirt-nss_x000d__x000a__x000d__x000a_       Update libvirt-ns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python on Oracle Linux_x000d__x000a_      Upgrade libvirt-python_x000d__x000a__x000d__x000a_       Update libvirt-python using yum or up2date. Please note that customers with support can use the  Unbreakable Linux Network (ULN) (https://l"/>
    <s v="Vulnerable OS: Oracle Linux 7.9_x000a__x000a__x000a_Vulnerable software installed: Linux kernel-uek 4.1.12-94.3.9.el7uek_x000a__x000a_ * Required patch [CVE-2017-5715] is not installed, no patches discovered._x000a__x000a__x000a_ * _x000a_      kernel-uek-firmware - version 4.1.12-94.3.9.el7uek is installed"/>
    <s v=""/>
    <s v="CVE-2017-5715"/>
    <s v="http://nvd.nist.gov/vuln/detail/CVE-2017-5715"/>
    <d v="2018-01-04T00:00:00"/>
    <s v="vv"/>
    <n v="0"/>
    <s v=""/>
    <s v=""/>
    <s v="3 Days"/>
    <m/>
    <m/>
    <s v="Fixed"/>
    <x v="4"/>
    <d v="2020-12-26T00:00:00"/>
    <m/>
    <x v="3"/>
    <s v="Unix"/>
    <e v="#N/A"/>
    <m/>
    <m/>
    <m/>
    <d v="2020-12-20T00:00:00"/>
    <e v="#N/A"/>
    <s v="Fixed"/>
    <x v="1"/>
    <x v="0"/>
    <x v="0"/>
  </r>
  <r>
    <s v="81.192.11.141/0/oracle_linux-cve-2017-575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5753"/>
    <s v="Oracle Linux: (CVE-2017-5753) (Multiple Advisories): edk2 security update"/>
    <s v="Systems with microprocessors utilizing speculative execution and branch prediction may allow unauthorized disclosure of information to an attacker with local user access via a side-channel analysis."/>
    <s v="* AAVMF on Oracle Linux_x000d__x000a_      Upgrade AAVMF_x000d__x000a__x000d__x000a_       Update AAVM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edk2 on Oracle Linux_x000d__x000a_      Upgrade edk2_x000d__x000a__x000d__x000a_       Update edk2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ivshmem-tools on Oracle Linux_x000d__x000a_      Upgrade ivshmem-tools_x000d__x000a__x000d__x000a_       Update ivshmem-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OVMF on Oracle Linux_x000d__x000a_      Upgrade OVMF_x000d__x000a__x000d__x000a_       Update OVM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 on Oracle Linux_x000d__x000a_      Upgrade qemu_x000d__x000a__x000d__x000a_       Update 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block-gluster on Oracle Linux_x000d__x000a_      Upgrade qemu-block-gluster_x000d__x000a__x000d__x000a_       Update qemu-block-glus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block-iscsi on Oracle Linux_x000d__x000a_      Upgrade qemu-block-iscsi_x000d__x000a__x000d__x000a_       Update qemu-block-i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block-rbd on Oracle Linux_x000d__x000a_      Upgrade qemu-block-rbd_x000d__x000a__x000d__x000a_       Update qemu-block-rb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common on Oracle Linux_x000d__x000a_      Upgrade qemu-common_x000d__x000a__x000d__x000a_       Update qemu-com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img on Oracle Linux_x000d__x000a_      Upgrade qemu-img_x000d__x000a__x000d__x000a_       Update qemu-im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kvm on Oracle Linux_x000d__x000a_      Upgrade qemu-kvm_x000d__x000a__x000d__x000a_       Update qemu-kvm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kvm-core on Oracle Linux_x000d__x000a_      Upgrade qemu-kvm-core_x000d__x000a__x000d__x000a_       Update qemu-kvm-co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system-aarch64 on Oracle Linux_x000d__x000a_      Upgrade qemu-system-aarch64_x000d__x000a__x000d__x000a_       Update qemu-system-aarch64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system-aarch64-core on Oracle Linux_x000d__x000a_      Upgrade qemu-system-aarch64-core_x000d__x000a__x000d__x000a_       Update qemu-system-aarch64-co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system-x86 on Oracle Linux_x000d__x000a_      Upgrade qemu-system-x86_x000d__x000a__x000d__x000a_       Update qemu-system-x86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system-x86-core on Oracle Linux_x000d__x000a_      Upgrade qemu-system-x86-core_x000d__x000a__x000d__x000a_       Update qemu-system-x86-co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5753] is not installed, no patches discovered._x000d__x000a__x000d__x000a__x000d__x000a_ * _x000d__x000a_      kernel-uek-firmware - version 4.1.12-94.3.9.el7uek is installed"/>
    <s v=""/>
    <s v="CVE-2017-5753"/>
    <s v="http://nvd.nist.gov/vuln/detail/CVE-2017-5753"/>
    <d v="2018-01-04T00:00:00"/>
    <s v="vv"/>
    <n v="0"/>
    <s v=""/>
    <s v=""/>
    <s v="3 Days"/>
    <m/>
    <m/>
    <s v="Fixed"/>
    <x v="4"/>
    <d v="2020-12-26T00:00:00"/>
    <m/>
    <x v="3"/>
    <s v="Unix"/>
    <e v="#N/A"/>
    <m/>
    <m/>
    <m/>
    <d v="2020-12-20T00:00:00"/>
    <e v="#N/A"/>
    <s v="Fixed"/>
    <x v="1"/>
    <x v="0"/>
    <x v="0"/>
  </r>
  <r>
    <s v="81.192.11.141/0/oracle_linux-cve-2017-575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5754"/>
    <s v="Oracle Linux: (CVE-2017-5754) (Multiple Advisories): kernel security update"/>
    <s v="Systems with microprocessors utilizing speculative execution and indirect branch prediction may allow unauthorized disclosure of information to an attacker with local user access via a side-channel analysis of the data cach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ivshmem-tools on Oracle Linux_x000d__x000a_      Upgrade ivshmem-tools_x000d__x000a__x000d__x000a_       Update ivshmem-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 on Oracle Linux_x000d__x000a_      Upgrade qemu_x000d__x000a__x000d__x000a_       Update 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block-gluster on Oracle Linux_x000d__x000a_      Upgrade qemu-block-gluster_x000d__x000a__x000d__x000a_       Update qemu-block-glus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block-iscsi on Oracle Linux_x000d__x000a_      Upgrade qemu-block-iscsi_x000d__x000a__x000d__x000a_       Update qemu-block-i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block-rbd on Oracle Linux_x000d__x000a_      Upgrade qemu-block-rbd_x000d__x000a__x000d__x000a_       Update qemu-block-rb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common on Oracle Linux_x000d__x000a_      Upgrade qemu-common_x000d__x000a__x000d__x000a_       Update qemu-com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img on Oracle Linux_x000d__x000a_      Upgrade qemu-img_x000d__x000a__x000d__x000a_       Update qemu-im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kvm on Oracle Linux_x000d__x000a_      Upgrade qemu-kvm_x000d__x000a__x000d__x000a_       Update qemu-kvm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kvm-core on Oracle Linux_x000d__x000a_      Upgrade qemu-kvm-core_x000d__x000a__x000d__x000a_       Update qemu-kvm-co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system-aarch64 on Oracle Linux_x000d__x000a_      Upgrade qemu-system-aarch64_x000d__x000a__x000d__x000a_       Update qemu-system-aarch64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system-aarch64-core on Oracle Linux_x000d__x000a_      Upgrade qemu-system-aarch64-core_x000d__x000a__x000d__x000a_       Update qemu-system-aarch64-co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system-x86 on Oracle Linux_x000d__x000a_      Upgrade qemu-system-x86_x000d__x000a__x000d__x000a_       Update qemu-system-x86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system-x86-core on Oracle Linux_x000d__x000a_      Upgrade qemu-system-x86-core_x000d__x000a__x000d__x000a_       Update qemu-system-x86-co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5754] is not installed, no patches discovered._x000d__x000a__x000d__x000a__x000d__x000a_ * _x000d__x000a_      kernel-uek-firmware - version 4.1.12-94.3.9.el7uek is installed"/>
    <s v=""/>
    <s v="CVE-2017-5754"/>
    <s v="http://nvd.nist.gov/vuln/detail/CVE-2017-5754"/>
    <d v="2018-01-03T00:00:00"/>
    <s v="vv"/>
    <n v="0"/>
    <s v=""/>
    <s v=""/>
    <s v="3 Days"/>
    <m/>
    <m/>
    <s v="Fixed"/>
    <x v="4"/>
    <d v="2020-12-26T00:00:00"/>
    <m/>
    <x v="3"/>
    <s v="Unix"/>
    <e v="#N/A"/>
    <m/>
    <m/>
    <m/>
    <d v="2020-12-20T00:00:00"/>
    <e v="#N/A"/>
    <s v="Fixed"/>
    <x v="1"/>
    <x v="0"/>
    <x v="0"/>
  </r>
  <r>
    <s v="81.192.11.141/0/oracle_linux-cve-2017-727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7273"/>
    <s v="Oracle Linux: (CVE-2017-7273) (Multiple Advisories): Unbreakable Enterprise kernel security update"/>
    <s v="The cp_report_fixup function in drivers/hid/hid-cypress.c in the Linux kernel 4.x before 4.9.4 allows physically proximate attackers to cause a denial of service (integer underflow) or possibly have unspecified other impact via a crafted HID report."/>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273] is not installed, no patches discovered._x000d__x000a__x000d__x000a__x000d__x000a_ * _x000d__x000a_      kernel-uek-firmware - version 4.1.12-94.3.9.el7uek is installed"/>
    <s v=""/>
    <s v="CVE-2017-7273"/>
    <s v="http://nvd.nist.gov/vuln/detail/CVE-2017-7273"/>
    <d v="2017-03-27T00:00:00"/>
    <s v="vv"/>
    <n v="0"/>
    <s v=""/>
    <s v=""/>
    <s v="3 Days"/>
    <m/>
    <m/>
    <s v="Fixed"/>
    <x v="4"/>
    <d v="2020-12-26T00:00:00"/>
    <m/>
    <x v="3"/>
    <s v="Unix"/>
    <e v="#N/A"/>
    <m/>
    <m/>
    <m/>
    <d v="2020-12-20T00:00:00"/>
    <e v="#N/A"/>
    <s v="Fixed"/>
    <x v="1"/>
    <x v="0"/>
    <x v="0"/>
  </r>
  <r>
    <s v="81.192.11.141/0/oracle_linux-cve-2017-729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7294"/>
    <s v="Oracle Linux: (CVE-2017-7294) (Multiple Advisories): Unbreakable Enterprise kernel security update"/>
    <s v="The vmw_surface_define_ioctl function in drivers/gpu/drm/vmwgfx/vmwgfx_surface.c in the Linux kernel through 4.10.6 does not validate addition of certain levels data, which allows local users to trigger an integer overflow and out-of-bounds write, and cause a denial of service (system hang or crash) or possibly gain privileges, via a crafted ioctl call for a /dev/dri/renderD* devic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294] is not installed, no patches discovered._x000d__x000a__x000d__x000a__x000d__x000a_ * _x000d__x000a_      kernel-uek-firmware - version 4.1.12-94.3.9.el7uek is installed"/>
    <s v=""/>
    <s v="CVE-2017-7294"/>
    <s v="http://nvd.nist.gov/vuln/detail/CVE-2017-7294"/>
    <d v="2017-03-28T00:00:00"/>
    <s v="vv"/>
    <n v="0"/>
    <s v=""/>
    <s v=""/>
    <s v="3 Days"/>
    <m/>
    <m/>
    <s v="Fixed"/>
    <x v="4"/>
    <d v="2020-12-26T00:00:00"/>
    <m/>
    <x v="3"/>
    <s v="Unix"/>
    <e v="#N/A"/>
    <m/>
    <m/>
    <m/>
    <d v="2020-12-20T00:00:00"/>
    <e v="#N/A"/>
    <s v="Fixed"/>
    <x v="1"/>
    <x v="0"/>
    <x v="0"/>
  </r>
  <r>
    <s v="81.192.11.141/0/oracle_linux-cve-2017-734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7346"/>
    <s v="Oracle Linux: (CVE-2017-7346) ELSA-2020-5670: Unbreakable Enterprise kernel security update"/>
    <s v="The vmw_gb_surface_define_ioctl function in drivers/gpu/drm/vmwgfx/vmwgfx_surface.c in the Linux kernel through 4.10.7 does not validate certain levels data, which allows local users to cause a denial of service (system hang) via a crafted ioctl call for a /dev/dri/renderD* devic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346] is not installed, no patches discovered._x000d__x000a__x000d__x000a__x000d__x000a_ * _x000d__x000a_      kernel-uek-firmware - version 4.1.12-94.3.9.el7uek is installed"/>
    <s v=""/>
    <s v="CVE-2017-7346"/>
    <s v="http://nvd.nist.gov/vuln/detail/CVE-2017-7346"/>
    <d v="2017-03-30T00:00:00"/>
    <s v="vv"/>
    <n v="0"/>
    <s v=""/>
    <s v=""/>
    <s v="3 Days"/>
    <m/>
    <m/>
    <s v="Fixed"/>
    <x v="4"/>
    <d v="2020-12-26T00:00:00"/>
    <m/>
    <x v="3"/>
    <s v="Unix"/>
    <e v="#N/A"/>
    <m/>
    <m/>
    <m/>
    <d v="2020-12-20T00:00:00"/>
    <e v="#N/A"/>
    <s v="Fixed"/>
    <x v="1"/>
    <x v="0"/>
    <x v="0"/>
  </r>
  <r>
    <s v="81.192.11.141/0/oracle_linux-cve-2017-748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7482"/>
    <s v="Oracle Linux: (CVE-2017-7482) (Multiple Advisories): Unbreakable Enterprise kernel security update"/>
    <s v="In the Linux kernel before version 4.12, Kerberos 5 tickets decoded when using the RXRPC keys incorrectly assumes the size of a field. This could lead to the size-remaining variable wrapping and the data pointer going over the end of the buffer. This could possibly lead to memory corruption and possible privilege escalation."/>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482] is not installed, no patches discovered._x000d__x000a__x000d__x000a__x000d__x000a_ * _x000d__x000a_      kernel-uek-firmware - version 4.1.12-94.3.9.el7uek is installed"/>
    <s v=""/>
    <s v="CVE-2017-7482"/>
    <s v="http://nvd.nist.gov/vuln/detail/CVE-2017-7482"/>
    <d v="2017-08-03T00:00:00"/>
    <s v="vv"/>
    <n v="0"/>
    <s v=""/>
    <s v=""/>
    <s v="3 Days"/>
    <m/>
    <m/>
    <s v="Fixed"/>
    <x v="4"/>
    <d v="2020-12-26T00:00:00"/>
    <m/>
    <x v="3"/>
    <s v="Unix"/>
    <e v="#N/A"/>
    <m/>
    <m/>
    <m/>
    <d v="2020-12-20T00:00:00"/>
    <e v="#N/A"/>
    <s v="Fixed"/>
    <x v="1"/>
    <x v="0"/>
    <x v="0"/>
  </r>
  <r>
    <s v="81.192.11.141/0/oracle_linux-cve-2017-749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7-7495"/>
    <s v="Oracle Linux: (CVE-2017-7495) ELSA-2019-4823: Unbreakable Enterprise kernel security update"/>
    <s v="fs/ext4/inode.c in the Linux kernel before 4.6.2, when ext4 data=ordered mode is used, mishandles a needs-flushing-before-commit list, which allows local users to obtain sensitive information from other users' files in opportunistic circumstances by waiting for a hardware reset, creating a new file, making write system calls, and reading this fil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495] is not installed, no patches discovered._x000d__x000a__x000d__x000a__x000d__x000a_ * _x000d__x000a_      kernel-uek-firmware - version 4.1.12-94.3.9.el7uek is installed"/>
    <s v=""/>
    <s v="CVE-2017-7495"/>
    <s v="http://nvd.nist.gov/vuln/detail/CVE-2017-7495"/>
    <d v="2017-05-15T00:00:00"/>
    <s v="vv"/>
    <n v="0"/>
    <s v=""/>
    <s v=""/>
    <s v="3 Days"/>
    <m/>
    <m/>
    <s v="Fixed"/>
    <x v="4"/>
    <d v="2020-12-26T00:00:00"/>
    <m/>
    <x v="3"/>
    <s v="Unix"/>
    <e v="#N/A"/>
    <m/>
    <m/>
    <m/>
    <d v="2020-12-20T00:00:00"/>
    <e v="#N/A"/>
    <s v="Fixed"/>
    <x v="1"/>
    <x v="0"/>
    <x v="0"/>
  </r>
  <r>
    <s v="81.192.11.141/0/oracle_linux-cve-2017-751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7518"/>
    <s v="Oracle Linux: (CVE-2017-7518) (Multiple Advisories): Unbreakable Enterprise kernel security update"/>
    <s v="A flaw was found in the Linux kernel before version 4.12 in the way the KVM module processed the trap flag(TF) bit in EFLAGS during emulation of the syscall instruction, which leads to a debug exception(#DB) being raised in the guest stack. A user/process inside a guest could use this flaw to potentially escalate their privileges inside the guest. Linux guests are not affected by thi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518] is not installed, no patches discovered._x000d__x000a__x000d__x000a__x000d__x000a_ * _x000d__x000a_      kernel-uek-firmware - version 4.1.12-94.3.9.el7uek is installed"/>
    <s v=""/>
    <s v="CVE-2017-7518"/>
    <s v="http://nvd.nist.gov/vuln/detail/CVE-2017-7518"/>
    <d v="2017-07-08T00:00:00"/>
    <s v="vv"/>
    <n v="0"/>
    <s v=""/>
    <s v=""/>
    <s v="3 Days"/>
    <m/>
    <m/>
    <s v="Fixed"/>
    <x v="4"/>
    <d v="2020-12-26T00:00:00"/>
    <m/>
    <x v="3"/>
    <s v="Unix"/>
    <e v="#N/A"/>
    <m/>
    <m/>
    <m/>
    <d v="2020-12-20T00:00:00"/>
    <e v="#N/A"/>
    <s v="Fixed"/>
    <x v="1"/>
    <x v="0"/>
    <x v="0"/>
  </r>
  <r>
    <s v="81.192.11.141/0/oracle_linux-cve-2017-753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7533"/>
    <s v="Oracle Linux: (CVE-2017-7533) (Multiple Advisories): Unbreakable Enterprise kernel security update"/>
    <s v="Race condition in the fsnotify implementation in the Linux kernel through 4.12.4 allows local users to gain privileges or cause a denial of service (memory corruption) via a crafted application that leverages simultaneous execution of the inotify_handle_event and vfs_rename function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533] is not installed, no patches discovered._x000d__x000a__x000d__x000a__x000d__x000a_ * _x000d__x000a_      kernel-uek-firmware - version 4.1.12-94.3.9.el7uek is installed"/>
    <s v=""/>
    <s v="CVE-2017-7533"/>
    <s v="http://nvd.nist.gov/vuln/detail/CVE-2017-7533"/>
    <d v="2017-08-03T00:00:00"/>
    <s v="vv"/>
    <n v="1"/>
    <s v="Expert"/>
    <s v="http://www.exploit-db.com/exploits/44302"/>
    <s v="3 Days"/>
    <m/>
    <m/>
    <s v="Fixed"/>
    <x v="4"/>
    <d v="2020-12-26T00:00:00"/>
    <m/>
    <x v="3"/>
    <s v="Unix"/>
    <e v="#N/A"/>
    <m/>
    <m/>
    <m/>
    <d v="2020-12-20T00:00:00"/>
    <e v="#N/A"/>
    <s v="Fixed"/>
    <x v="1"/>
    <x v="0"/>
    <x v="0"/>
  </r>
  <r>
    <s v="81.192.11.141/0/oracle_linux-cve-2017-754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7541"/>
    <s v="Oracle Linux: (CVE-2017-7541) (Multiple Advisories): kernel security and bug fix update"/>
    <s v="The brcmf_cfg80211_mgmt_tx function in drivers/net/wireless/broadcom/brcm80211/brcmfmac/cfg80211.c in the Linux kernel before 4.12.3 allows local users to cause a denial of service (buffer overflow and system crash) or possibly gain privileges via a crafted NL80211_CMD_FRAME Netlink packet."/>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firmware on Oracle Linux_x000d__x000a_      Upgrade kernel-firmware_x000d__x000a__x000d__x000a_       Update kernel-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541] is not installed, no patches discovered._x000d__x000a__x000d__x000a__x000d__x000a_ * _x000d__x000a_      kernel-uek-firmware - version 4.1.12-94.3.9.el7uek is installed"/>
    <s v=""/>
    <s v="CVE-2017-7541"/>
    <s v="http://nvd.nist.gov/vuln/detail/CVE-2017-7541"/>
    <d v="2017-07-25T00:00:00"/>
    <s v="vv"/>
    <n v="0"/>
    <s v=""/>
    <s v=""/>
    <s v="3 Days"/>
    <m/>
    <m/>
    <s v="Fixed"/>
    <x v="4"/>
    <d v="2020-12-26T00:00:00"/>
    <m/>
    <x v="3"/>
    <s v="Unix"/>
    <e v="#N/A"/>
    <m/>
    <m/>
    <m/>
    <d v="2020-12-20T00:00:00"/>
    <e v="#N/A"/>
    <s v="Fixed"/>
    <x v="1"/>
    <x v="0"/>
    <x v="0"/>
  </r>
  <r>
    <s v="81.192.11.141/0/oracle_linux-cve-2017-754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7542"/>
    <s v="Oracle Linux: (CVE-2017-7542) (Multiple Advisories): kernel security and bug fix update"/>
    <s v="The ip6_find_1stfragopt function in net/ipv6/output_core.c in the Linux kernel through 4.12.3 allows local users to cause a denial of service (integer overflow and infinite loop) by leveraging the ability to open a raw socket."/>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firmware on Oracle Linux_x000d__x000a_      Upgrade kernel-firmware_x000d__x000a__x000d__x000a_       Update kernel-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542] is not installed, no patches discovered._x000d__x000a__x000d__x000a__x000d__x000a_ * _x000d__x000a_      kernel-uek-firmware - version 4.1.12-94.3.9.el7uek is installed"/>
    <s v=""/>
    <s v="CVE-2017-7542"/>
    <s v="http://nvd.nist.gov/vuln/detail/CVE-2017-7542"/>
    <d v="2017-07-21T00:00:00"/>
    <s v="vv"/>
    <n v="0"/>
    <s v=""/>
    <s v=""/>
    <s v="3 Days"/>
    <m/>
    <m/>
    <s v="Fixed"/>
    <x v="4"/>
    <d v="2020-12-26T00:00:00"/>
    <m/>
    <x v="3"/>
    <s v="Unix"/>
    <e v="#N/A"/>
    <m/>
    <m/>
    <m/>
    <d v="2020-12-20T00:00:00"/>
    <e v="#N/A"/>
    <s v="Fixed"/>
    <x v="1"/>
    <x v="0"/>
    <x v="0"/>
  </r>
  <r>
    <s v="81.192.11.141/0/oracle_linux-cve-2017-761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7-7616"/>
    <s v="Oracle Linux: (CVE-2017-7616) (Multiple Advisories): Unbreakable Enterprise kernel security update"/>
    <s v="Incorrect error handling in the set_mempolicy and mbind compat syscalls in mm/mempolicy.c in the Linux kernel through 4.10.9 allows local users to obtain sensitive information from uninitialized stack data by triggering failure of a certain bitmap operation."/>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616] is not installed, no patches discovered._x000d__x000a__x000d__x000a__x000d__x000a_ * _x000d__x000a_      kernel-uek-firmware - version 4.1.12-94.3.9.el7uek is installed"/>
    <s v=""/>
    <s v="CVE-2017-7616"/>
    <s v="http://nvd.nist.gov/vuln/detail/CVE-2017-7616"/>
    <d v="2017-04-10T00:00:00"/>
    <s v="vv"/>
    <n v="0"/>
    <s v=""/>
    <s v=""/>
    <s v="3 Days"/>
    <m/>
    <m/>
    <s v="Fixed"/>
    <x v="4"/>
    <d v="2020-12-26T00:00:00"/>
    <m/>
    <x v="3"/>
    <s v="Unix"/>
    <e v="#N/A"/>
    <m/>
    <m/>
    <m/>
    <d v="2020-12-20T00:00:00"/>
    <e v="#N/A"/>
    <s v="Fixed"/>
    <x v="1"/>
    <x v="0"/>
    <x v="0"/>
  </r>
  <r>
    <s v="81.192.11.141/0/oracle_linux-cve-2017-761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8"/>
    <x v="2"/>
    <s v="oracle_linux-cve-2017-7618"/>
    <s v="Oracle Linux: (CVE-2017-7618) (Multiple Advisories): Unbreakable Enterprise kernel security and bugfix update"/>
    <s v="crypto/ahash.c in the Linux kernel through 4.10.9 allows attackers to cause a denial of service (API operation calling its own callback, and infinite recursion) by triggering EBUSY on a full queu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7618] is not installed, no patches discovered._x000d__x000a__x000d__x000a__x000d__x000a_ * _x000d__x000a_      kernel-uek-firmware - version 4.1.12-94.3.9.el7uek is installed"/>
    <s v=""/>
    <s v="CVE-2017-7618"/>
    <s v="http://nvd.nist.gov/vuln/detail/CVE-2017-7618"/>
    <d v="2017-04-10T00:00:00"/>
    <s v="vv"/>
    <n v="0"/>
    <s v=""/>
    <s v=""/>
    <s v="3 Days"/>
    <m/>
    <m/>
    <s v="Fixed"/>
    <x v="4"/>
    <d v="2020-12-26T00:00:00"/>
    <m/>
    <x v="3"/>
    <s v="Unix"/>
    <e v="#N/A"/>
    <m/>
    <m/>
    <m/>
    <d v="2020-12-20T00:00:00"/>
    <e v="#N/A"/>
    <s v="Fixed"/>
    <x v="1"/>
    <x v="0"/>
    <x v="0"/>
  </r>
  <r>
    <s v="81.192.11.141/0/oracle_linux-cve-2017-882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8824"/>
    <s v="Oracle Linux: (CVE-2017-8824) (Multiple Advisories): Unbreakable Enterprise kernel security update"/>
    <s v="The dccp_disconnect function in net/dccp/proto.c in the Linux kernel through 4.14.3 allows local users to gain privileges or cause a denial of service (use-after-free) via an AF_UNSPEC connect system call during the DCCP_LISTEN stat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8824] is not installed, no patches discovered._x000d__x000a__x000d__x000a__x000d__x000a_ * _x000d__x000a_      kernel-uek-firmware - version 4.1.12-94.3.9.el7uek is installed"/>
    <s v=""/>
    <s v="CVE-2017-8824"/>
    <s v="http://nvd.nist.gov/vuln/detail/CVE-2017-8824"/>
    <d v="2017-12-05T00:00:00"/>
    <s v="vv"/>
    <n v="1"/>
    <s v="Expert"/>
    <s v="http://www.exploit-db.com/exploits/43234"/>
    <s v="3 Days"/>
    <m/>
    <m/>
    <s v="Fixed"/>
    <x v="4"/>
    <d v="2020-12-26T00:00:00"/>
    <m/>
    <x v="3"/>
    <s v="Unix"/>
    <e v="#N/A"/>
    <m/>
    <m/>
    <m/>
    <d v="2020-12-20T00:00:00"/>
    <e v="#N/A"/>
    <s v="Fixed"/>
    <x v="1"/>
    <x v="0"/>
    <x v="0"/>
  </r>
  <r>
    <s v="81.192.11.141/0/oracle_linux-cve-2017-892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7-8924"/>
    <s v="Oracle Linux: (CVE-2017-8924) (Multiple Advisories): Unbreakable Enterprise kernel security update"/>
    <s v="The edge_bulk_in_callback function in drivers/usb/serial/io_ti.c in the Linux kernel before 4.10.4 allows local users to obtain sensitive information (in the dmesg ringbuffer and syslog) from uninitialized kernel memory by using a crafted USB device (posing as an io_ti USB serial device) to trigger an integer underflow."/>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8924] is not installed, no patches discovered._x000d__x000a__x000d__x000a__x000d__x000a_ * _x000d__x000a_      kernel-uek-firmware - version 4.1.12-94.3.9.el7uek is installed"/>
    <s v=""/>
    <s v="CVE-2017-8924"/>
    <s v="http://nvd.nist.gov/vuln/detail/CVE-2017-8924"/>
    <d v="2017-05-12T00:00:00"/>
    <s v="vv"/>
    <n v="0"/>
    <s v=""/>
    <s v=""/>
    <s v="3 Days"/>
    <m/>
    <m/>
    <s v="Fixed"/>
    <x v="4"/>
    <d v="2020-12-26T00:00:00"/>
    <m/>
    <x v="3"/>
    <s v="Unix"/>
    <e v="#N/A"/>
    <m/>
    <m/>
    <m/>
    <d v="2020-12-20T00:00:00"/>
    <e v="#N/A"/>
    <s v="Fixed"/>
    <x v="1"/>
    <x v="0"/>
    <x v="0"/>
  </r>
  <r>
    <s v="81.192.11.141/0/oracle_linux-cve-2017-892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7-8925"/>
    <s v="Oracle Linux: (CVE-2017-8925) (Multiple Advisories): Unbreakable Enterprise kernel security update"/>
    <s v="The omninet_open function in drivers/usb/serial/omninet.c in the Linux kernel before 4.10.4 allows local users to cause a denial of service (tty exhaustion) by leveraging reference count mishandling."/>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8925] is not installed, no patches discovered._x000d__x000a__x000d__x000a__x000d__x000a_ * _x000d__x000a_      kernel-uek-firmware - version 4.1.12-94.3.9.el7uek is installed"/>
    <s v=""/>
    <s v="CVE-2017-8925"/>
    <s v="http://nvd.nist.gov/vuln/detail/CVE-2017-8925"/>
    <d v="2017-05-12T00:00:00"/>
    <s v="vv"/>
    <n v="0"/>
    <s v=""/>
    <s v=""/>
    <s v="3 Days"/>
    <m/>
    <m/>
    <s v="Fixed"/>
    <x v="4"/>
    <d v="2020-12-26T00:00:00"/>
    <m/>
    <x v="3"/>
    <s v="Unix"/>
    <e v="#N/A"/>
    <m/>
    <m/>
    <m/>
    <d v="2020-12-20T00:00:00"/>
    <e v="#N/A"/>
    <s v="Fixed"/>
    <x v="1"/>
    <x v="0"/>
    <x v="0"/>
  </r>
  <r>
    <s v="81.192.11.141/0/oracle_linux-cve-2017-907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7-9077"/>
    <s v="Oracle Linux: (CVE-2017-9077) (Multiple Advisories): kernel security and bug fix update"/>
    <s v="The tcp_v6_syn_recv_sock function in net/ipv6/tcp_ipv6.c in the Linux kernel through 4.11.1 mishandles inheritance, which allows local users to cause a denial of service or possibly have unspecified other impact via crafted system calls, a related issue to CVE-2017-8890."/>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9077] is not installed, no patches discovered._x000d__x000a__x000d__x000a__x000d__x000a_ * _x000d__x000a_      kernel-uek-firmware - version 4.1.12-94.3.9.el7uek is installed"/>
    <s v=""/>
    <s v="CVE-2017-9077"/>
    <s v="http://nvd.nist.gov/vuln/detail/CVE-2017-9077"/>
    <d v="2017-05-19T00:00:00"/>
    <s v="vv"/>
    <n v="0"/>
    <s v=""/>
    <s v=""/>
    <s v="3 Days"/>
    <m/>
    <m/>
    <s v="Fixed"/>
    <x v="4"/>
    <d v="2020-12-26T00:00:00"/>
    <m/>
    <x v="3"/>
    <s v="Unix"/>
    <e v="#N/A"/>
    <m/>
    <m/>
    <m/>
    <d v="2020-12-20T00:00:00"/>
    <e v="#N/A"/>
    <s v="Fixed"/>
    <x v="1"/>
    <x v="0"/>
    <x v="0"/>
  </r>
  <r>
    <s v="81.192.11.141/0/oracle_linux-cve-2017-924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9242"/>
    <s v="Oracle Linux: (CVE-2017-9242) (Multiple Advisories): Unbreakable Enterprise kernel security update"/>
    <s v="The __ip6_append_data function in net/ipv6/ip6_output.c in the Linux kernel through 4.11.3 is too late in checking whether an overwrite of an skb data structure may occur, which allows local users to cause a denial of service (system crash) via crafted system call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provider-headers on Oracle Linux_x000d__x000a_      Upgrade dtrace-modules-provider-headers_x000d__x000a__x000d__x000a_       Update dtrace-modules-provider-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dtrace-modules-shared-headers on Oracle Linux_x000d__x000a_      Upgrade dtrace-modules-shared-headers_x000d__x000a__x000d__x000a_       Update dtrace-modules-shared-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9242] is not installed, no patches discovered._x000d__x000a__x000d__x000a__x000d__x000a_ * _x000d__x000a_      kernel-uek-firmware - version 4.1.12-94.3.9.el7uek is installed"/>
    <s v=""/>
    <s v="CVE-2017-9242"/>
    <s v="http://nvd.nist.gov/vuln/detail/CVE-2017-9242"/>
    <d v="2017-05-26T00:00:00"/>
    <s v="vv"/>
    <n v="0"/>
    <s v=""/>
    <s v=""/>
    <s v="3 Days"/>
    <m/>
    <m/>
    <s v="Fixed"/>
    <x v="4"/>
    <d v="2020-12-26T00:00:00"/>
    <m/>
    <x v="3"/>
    <s v="Unix"/>
    <e v="#N/A"/>
    <m/>
    <m/>
    <m/>
    <d v="2020-12-20T00:00:00"/>
    <e v="#N/A"/>
    <s v="Fixed"/>
    <x v="1"/>
    <x v="0"/>
    <x v="0"/>
  </r>
  <r>
    <s v="81.192.11.141/0/oracle_linux-cve-2017-960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7-9605"/>
    <s v="Oracle Linux: (CVE-2017-9605) ELSA-2020-5962: Unbreakable Enterprise kernel security update"/>
    <s v="The vmw_gb_surface_define_ioctl function (accessible via DRM_IOCTL_VMW_GB_SURFACE_CREATE) in drivers/gpu/drm/vmwgfx/vmwgfx_surface.c in the Linux kernel through 4.11.4 defines a backup_handle variable but does not give it an initial value. If one attempts to create a GB surface, with a previously allocated DMA buffer to be used as a backup buffer, the backup_handle variable does not get written to and is then later returned to user space, allowing local users to obtain sensitive information from uninitialized kernel memory via a crafted ioctl call."/>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9605] is not installed, no patches discovered._x000d__x000a__x000d__x000a__x000d__x000a_ * _x000d__x000a_      kernel-uek-firmware - version 4.1.12-94.3.9.el7uek is installed"/>
    <s v=""/>
    <s v="CVE-2017-9605"/>
    <s v="http://nvd.nist.gov/vuln/detail/CVE-2017-9605"/>
    <d v="2017-06-13T00:00:00"/>
    <s v="vv"/>
    <n v="0"/>
    <s v=""/>
    <s v=""/>
    <s v="3 Days"/>
    <m/>
    <m/>
    <s v="Fixed"/>
    <x v="4"/>
    <d v="2020-12-26T00:00:00"/>
    <m/>
    <x v="3"/>
    <s v="Unix"/>
    <e v="#N/A"/>
    <m/>
    <m/>
    <m/>
    <d v="2020-12-20T00:00:00"/>
    <e v="#N/A"/>
    <s v="Fixed"/>
    <x v="1"/>
    <x v="0"/>
    <x v="0"/>
  </r>
  <r>
    <s v="81.192.11.141/0/oracle_linux-cve-2017-972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9"/>
    <x v="3"/>
    <s v="oracle_linux-cve-2017-9725"/>
    <s v="Oracle Linux: (CVE-2017-9725) (Multiple Advisories): Unbreakable Enterprise kernel security update"/>
    <s v="In all Qualcomm products with Android releases from CAF using the Linux kernel, during DMA allocation, due to wrong data type of size, allocation size gets truncated which makes allocation succeed when it should fail."/>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7-9725] is not installed, no patches discovered._x000d__x000a__x000d__x000a__x000d__x000a_ * _x000d__x000a_      kernel-uek-firmware - version 4.1.12-94.3.9.el7uek is installed"/>
    <s v=""/>
    <s v="CVE-2017-9725"/>
    <s v="http://nvd.nist.gov/vuln/detail/CVE-2017-9725"/>
    <d v="2017-09-21T00:00:00"/>
    <s v="vv"/>
    <n v="0"/>
    <s v=""/>
    <s v=""/>
    <s v="3 Days"/>
    <m/>
    <m/>
    <s v="Fixed"/>
    <x v="4"/>
    <d v="2020-12-26T00:00:00"/>
    <m/>
    <x v="3"/>
    <s v="Unix"/>
    <e v="#N/A"/>
    <m/>
    <m/>
    <m/>
    <d v="2020-12-20T00:00:00"/>
    <e v="#N/A"/>
    <s v="Fixed"/>
    <x v="1"/>
    <x v="0"/>
    <x v="0"/>
  </r>
  <r>
    <s v="81.192.11.141/0/oracle_linux-cve-2018-100000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1000004"/>
    <s v="Oracle Linux: (CVE-2018-1000004) (Multiple Advisories): Unbreakable Enterprise kernel security update"/>
    <s v="In the Linux kernel 4.12, 3.10, 2.6 and possibly earlier versions a race condition vulnerability exists in the sound system, this can lead to a deadlock and denial of service condition."/>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00004] is not installed, no patches discovered._x000d__x000a__x000d__x000a__x000d__x000a_ * _x000d__x000a_      kernel-uek-firmware - version 4.1.12-94.3.9.el7uek is installed"/>
    <s v=""/>
    <s v="CVE-2018-1000004"/>
    <s v="http://nvd.nist.gov/vuln/detail/CVE-2018-1000004"/>
    <d v="2018-01-16T00:00:00"/>
    <s v="vv"/>
    <n v="0"/>
    <s v=""/>
    <s v=""/>
    <s v="3 Days"/>
    <m/>
    <m/>
    <s v="Fixed"/>
    <x v="4"/>
    <d v="2020-12-26T00:00:00"/>
    <m/>
    <x v="3"/>
    <s v="Unix"/>
    <e v="#N/A"/>
    <m/>
    <m/>
    <m/>
    <d v="2020-12-20T00:00:00"/>
    <e v="#N/A"/>
    <s v="Fixed"/>
    <x v="1"/>
    <x v="0"/>
    <x v="0"/>
  </r>
  <r>
    <s v="81.192.11.141/0/oracle_linux-cve-2018-100019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1000199"/>
    <s v="Oracle Linux: (CVE-2018-1000199) (Multiple Advisories): Unbreakable Enterprise kernel security update"/>
    <s v="The Linux Kernel version 3.18 contains a dangerous feature vulnerability in modify_user_hw_breakpoint() that can result in crash and possibly memory corruption. This attack appear to be exploitable via local code execution and the ability to use ptrace. This vulnerability appears to have been fixed in git commit f67b15037a7a50c57f72e69a6d59941ad90a0f0f."/>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00199] is not installed, no patches discovered._x000d__x000a__x000d__x000a__x000d__x000a_ * _x000d__x000a_      kernel-uek-firmware - version 4.1.12-94.3.9.el7uek is installed"/>
    <s v=""/>
    <s v="CVE-2018-1000199"/>
    <s v="http://nvd.nist.gov/vuln/detail/CVE-2018-1000199"/>
    <d v="2018-05-01T00:00:00"/>
    <s v="vv"/>
    <n v="0"/>
    <s v=""/>
    <s v=""/>
    <s v="3 Days"/>
    <m/>
    <m/>
    <s v="Fixed"/>
    <x v="4"/>
    <d v="2020-12-26T00:00:00"/>
    <m/>
    <x v="3"/>
    <s v="Unix"/>
    <e v="#N/A"/>
    <m/>
    <m/>
    <m/>
    <d v="2020-12-20T00:00:00"/>
    <e v="#N/A"/>
    <s v="Fixed"/>
    <x v="1"/>
    <x v="0"/>
    <x v="0"/>
  </r>
  <r>
    <s v="81.192.11.141/0/oracle_linux-cve-2018-100020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6"/>
    <x v="1"/>
    <s v="oracle_linux-cve-2018-1000204"/>
    <s v="Oracle Linux: (CVE-2018-1000204) (Multiple Advisories): Unbreakable Enterprise kernel security update"/>
    <s v="** DISPUTED ** Linux Kernel version 3.18 to 4.16 incorrectly handles an SG_IO ioctl on /dev/sg0 with dxfer_direction=SG_DXFER_FROM_DEV and an empty 6-byte cmdp. This may lead to copying up to 1000 kernel heap pages to the userspace. This has been fixed upstream in https://github.com/torvalds/linux/commit/a45b599ad808c3c982fdcdc12b0b8611c2f92824 already. The problem has limited scope, as users don't usually have permissions to access SCSI devices. On the other hand, e.g. the Nero user manual suggests doing `chmod o+r+w /dev/sg*` to make the devices accessible. NOTE: third parties dispute the relevance of this report, noting that the requirement for an attacker to have both the CAP_SYS_ADMIN and CAP_SYS_RAWIO capabilities makes it &quot;virtually impossible to exploit.&quot;"/>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00204] is not installed, no patches discovered._x000d__x000a__x000d__x000a__x000d__x000a_ * _x000d__x000a_      kernel-uek-firmware - version 4.1.12-94.3.9.el7uek is installed"/>
    <s v=""/>
    <s v="CVE-2018-1000204"/>
    <s v="http://nvd.nist.gov/vuln/detail/CVE-2018-1000204"/>
    <d v="2018-06-21T00:00:00"/>
    <s v="vv"/>
    <n v="0"/>
    <s v=""/>
    <s v=""/>
    <s v="3 Days"/>
    <m/>
    <m/>
    <s v="Fixed"/>
    <x v="4"/>
    <d v="2020-12-26T00:00:00"/>
    <m/>
    <x v="3"/>
    <s v="Unix"/>
    <e v="#N/A"/>
    <m/>
    <m/>
    <m/>
    <d v="2020-12-20T00:00:00"/>
    <e v="#N/A"/>
    <s v="Fixed"/>
    <x v="1"/>
    <x v="0"/>
    <x v="0"/>
  </r>
  <r>
    <s v="81.192.11.141/0/oracle_linux-cve-2018-1008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8-10087"/>
    <s v="Oracle Linux: (CVE-2018-10087) (Multiple Advisories): Unbreakable Enterprise kernel security update"/>
    <s v="The kernel_wait4 function in kernel/exit.c in the Linux kernel before 4.13, when an unspecified architecture and compiler is used, might allow local users to cause a denial of service by triggering an attempted use of the -INT_MIN valu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087] is not installed, no patches discovered._x000d__x000a__x000d__x000a__x000d__x000a_ * _x000d__x000a_      kernel-uek-firmware - version 4.1.12-94.3.9.el7uek is installed"/>
    <s v=""/>
    <s v="CVE-2018-10087"/>
    <s v="http://nvd.nist.gov/vuln/detail/CVE-2018-10087"/>
    <d v="2018-04-13T00:00:00"/>
    <s v="vv"/>
    <n v="0"/>
    <s v=""/>
    <s v=""/>
    <s v="3 Days"/>
    <m/>
    <m/>
    <s v="Fixed"/>
    <x v="4"/>
    <d v="2020-12-26T00:00:00"/>
    <m/>
    <x v="3"/>
    <s v="Unix"/>
    <e v="#N/A"/>
    <m/>
    <m/>
    <m/>
    <d v="2020-12-20T00:00:00"/>
    <e v="#N/A"/>
    <s v="Fixed"/>
    <x v="1"/>
    <x v="0"/>
    <x v="0"/>
  </r>
  <r>
    <s v="81.192.11.141/0/oracle_linux-cve-2018-1012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8-10124"/>
    <s v="Oracle Linux: (CVE-2018-10124) (Multiple Advisories): Unbreakable Enterprise kernel security update"/>
    <s v="The kill_something_info function in kernel/signal.c in the Linux kernel before 4.13, when an unspecified architecture and compiler is used, might allow local users to cause a denial of service via an INT_MIN argument."/>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124] is not installed, no patches discovered._x000d__x000a__x000d__x000a__x000d__x000a_ * _x000d__x000a_      kernel-uek-firmware - version 4.1.12-94.3.9.el7uek is installed"/>
    <s v=""/>
    <s v="CVE-2018-10124"/>
    <s v="http://nvd.nist.gov/vuln/detail/CVE-2018-10124"/>
    <d v="2018-04-16T00:00:00"/>
    <s v="vv"/>
    <n v="0"/>
    <s v=""/>
    <s v=""/>
    <s v="3 Days"/>
    <m/>
    <m/>
    <s v="Fixed"/>
    <x v="4"/>
    <d v="2020-12-26T00:00:00"/>
    <m/>
    <x v="3"/>
    <s v="Unix"/>
    <e v="#N/A"/>
    <m/>
    <m/>
    <m/>
    <d v="2020-12-20T00:00:00"/>
    <e v="#N/A"/>
    <s v="Fixed"/>
    <x v="1"/>
    <x v="0"/>
    <x v="0"/>
  </r>
  <r>
    <s v="81.192.11.141/0/oracle_linux-cve-2018-1032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10323"/>
    <s v="Oracle Linux: (CVE-2018-10323) (Multiple Advisories): Unbreakable Enterprise kernel security update"/>
    <s v="The xfs_bmap_extents_to_btree function in fs/xfs/libxfs/xfs_bmap.c in the Linux kernel through 4.16.3 allows local users to cause a denial of service (xfs_bmapi_write NULL pointer dereference) via a crafted xfs im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323] is not installed, no patches discovered._x000d__x000a__x000d__x000a__x000d__x000a_ * _x000d__x000a_      kernel-uek-firmware - version 4.1.12-94.3.9.el7uek is installed"/>
    <s v=""/>
    <s v="CVE-2018-10323"/>
    <s v="http://nvd.nist.gov/vuln/detail/CVE-2018-10323"/>
    <d v="2018-04-24T00:00:00"/>
    <s v="vv"/>
    <n v="0"/>
    <s v=""/>
    <s v=""/>
    <s v="3 Days"/>
    <m/>
    <m/>
    <s v="Fixed"/>
    <x v="4"/>
    <d v="2020-12-26T00:00:00"/>
    <m/>
    <x v="3"/>
    <s v="Unix"/>
    <e v="#N/A"/>
    <m/>
    <m/>
    <m/>
    <d v="2020-12-20T00:00:00"/>
    <e v="#N/A"/>
    <s v="Fixed"/>
    <x v="1"/>
    <x v="0"/>
    <x v="0"/>
  </r>
  <r>
    <s v="81.192.11.141/0/oracle_linux-cve-2018-106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1066"/>
    <s v="Oracle Linux: (CVE-2018-1066) ELSA-2019-4596: Unbreakable Enterprise kernel security update"/>
    <s v="The Linux kernel before version 4.11 is vulnerable to a NULL pointer dereference in fs/cifs/cifsencrypt.c:setup_ntlmv2_rsp() that allows an attacker controlling a CIFS server to kernel panic a client that has this server mounted, because an empty TargetInfo field in an NTLMSSP setup negotiation response is mishandled during session recovery."/>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66] is not installed, no patches discovered._x000d__x000a__x000d__x000a__x000d__x000a_ * _x000d__x000a_      kernel-uek-firmware - version 4.1.12-94.3.9.el7uek is installed"/>
    <s v=""/>
    <s v="CVE-2018-1066"/>
    <s v="http://nvd.nist.gov/vuln/detail/CVE-2018-1066"/>
    <d v="2018-03-02T00:00:00"/>
    <s v="vv"/>
    <n v="0"/>
    <s v=""/>
    <s v=""/>
    <s v="3 Days"/>
    <m/>
    <m/>
    <s v="Fixed"/>
    <x v="4"/>
    <d v="2020-12-26T00:00:00"/>
    <m/>
    <x v="3"/>
    <s v="Unix"/>
    <e v="#N/A"/>
    <m/>
    <m/>
    <m/>
    <d v="2020-12-20T00:00:00"/>
    <e v="#N/A"/>
    <s v="Fixed"/>
    <x v="1"/>
    <x v="0"/>
    <x v="0"/>
  </r>
  <r>
    <s v="81.192.11.141/0/oracle_linux-cve-2018-1067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10675"/>
    <s v="Oracle Linux: (CVE-2018-10675) (Multiple Advisories): Unbreakable Enterprise kernel security update"/>
    <s v="The do_get_mempolicy function in mm/mempolicy.c in the Linux kernel before 4.12.9 allows local users to cause a denial of service (use-after-free) or possibly have unspecified other impact via crafted system call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675] is not installed, no patches discovered._x000d__x000a__x000d__x000a__x000d__x000a_ * _x000d__x000a_      kernel-uek-firmware - version 4.1.12-94.3.9.el7uek is installed"/>
    <s v=""/>
    <s v="CVE-2018-10675"/>
    <s v="http://nvd.nist.gov/vuln/detail/CVE-2018-10675"/>
    <d v="2018-05-02T00:00:00"/>
    <s v="vv"/>
    <n v="0"/>
    <s v=""/>
    <s v=""/>
    <s v="3 Days"/>
    <m/>
    <m/>
    <s v="Fixed"/>
    <x v="4"/>
    <d v="2020-12-26T00:00:00"/>
    <m/>
    <x v="3"/>
    <s v="Unix"/>
    <e v="#N/A"/>
    <m/>
    <m/>
    <m/>
    <d v="2020-12-20T00:00:00"/>
    <e v="#N/A"/>
    <s v="Fixed"/>
    <x v="1"/>
    <x v="0"/>
    <x v="0"/>
  </r>
  <r>
    <s v="81.192.11.141/0/oracle_linux-cve-2018-106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1068"/>
    <s v="Oracle Linux: (CVE-2018-1068) (Multiple Advisories): Unbreakable Enterprise kernel security update"/>
    <s v="A flaw was found in the Linux 4.x kernel's implementation of 32-bit syscall interface for bridging. This allowed a privileged user to arbitrarily write to a limited range of kernel memory."/>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68] is not installed, no patches discovered._x000d__x000a__x000d__x000a__x000d__x000a_ * _x000d__x000a_      kernel-uek-firmware - version 4.1.12-94.3.9.el7uek is installed"/>
    <s v=""/>
    <s v="CVE-2018-1068"/>
    <s v="http://nvd.nist.gov/vuln/detail/CVE-2018-1068"/>
    <d v="2018-03-16T00:00:00"/>
    <s v="vv"/>
    <n v="0"/>
    <s v=""/>
    <s v=""/>
    <s v="3 Days"/>
    <m/>
    <m/>
    <s v="Fixed"/>
    <x v="4"/>
    <d v="2020-12-26T00:00:00"/>
    <m/>
    <x v="3"/>
    <s v="Unix"/>
    <e v="#N/A"/>
    <m/>
    <m/>
    <m/>
    <d v="2020-12-20T00:00:00"/>
    <e v="#N/A"/>
    <s v="Fixed"/>
    <x v="1"/>
    <x v="0"/>
    <x v="0"/>
  </r>
  <r>
    <s v="81.192.11.141/0/oracle_linux-cve-2018-108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1087"/>
    <s v="Oracle Linux: (CVE-2018-1087) (Multiple Advisories): kernel security update"/>
    <s v="kernel KVM before versions kernel 4.16, kernel 4.16-rc7, kernel 4.17-rc1, kernel 4.17-rc2 and kernel 4.17-rc3 is vulnerable to a flaw in the way the Linux kernel's KVM hypervisor handled exceptions delivered after a stack switch operation via Mov SS or Pop SS instructions. During the stack switch operation, the processor did not deliver interrupts and exceptions, rather they are delivered once the first instruction after the stack switch is executed. An unprivileged KVM guest user could use this flaw to crash the guest or, potentially, escalate their privileges in the guest."/>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87] is not installed, no patches discovered._x000d__x000a__x000d__x000a__x000d__x000a_ * _x000d__x000a_      kernel-uek-firmware - version 4.1.12-94.3.9.el7uek is installed"/>
    <s v=""/>
    <s v="CVE-2018-1087"/>
    <s v="http://nvd.nist.gov/vuln/detail/CVE-2018-1087"/>
    <d v="2018-05-09T00:00:00"/>
    <s v="vv"/>
    <n v="0"/>
    <s v=""/>
    <s v=""/>
    <s v="3 Days"/>
    <m/>
    <m/>
    <s v="Fixed"/>
    <x v="4"/>
    <d v="2020-12-26T00:00:00"/>
    <m/>
    <x v="3"/>
    <s v="Unix"/>
    <e v="#N/A"/>
    <m/>
    <m/>
    <m/>
    <d v="2020-12-20T00:00:00"/>
    <e v="#N/A"/>
    <s v="Fixed"/>
    <x v="1"/>
    <x v="0"/>
    <x v="0"/>
  </r>
  <r>
    <s v="81.192.11.141/0/oracle_linux-cve-2018-1087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10876"/>
    <s v="Oracle Linux: (CVE-2018-10876) (Multiple Advisories): Unbreakable Enterprise kernel security update"/>
    <s v="A flaw was found in Linux kernel in the ext4 filesystem code. A use-after-free is possible in ext4_ext_remove_space() function when mounting and operating a crafted ext4 im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876] is not installed, no patches discovered._x000d__x000a__x000d__x000a__x000d__x000a_ * _x000d__x000a_      kernel-uek-firmware - version 4.1.12-94.3.9.el7uek is installed"/>
    <s v=""/>
    <s v="CVE-2018-10876"/>
    <s v="http://nvd.nist.gov/vuln/detail/CVE-2018-10876"/>
    <d v="2018-07-26T00:00:00"/>
    <s v="vv"/>
    <n v="0"/>
    <s v=""/>
    <s v=""/>
    <s v="3 Days"/>
    <m/>
    <m/>
    <s v="Fixed"/>
    <x v="4"/>
    <d v="2020-12-26T00:00:00"/>
    <m/>
    <x v="3"/>
    <s v="Unix"/>
    <e v="#N/A"/>
    <m/>
    <m/>
    <m/>
    <d v="2020-12-20T00:00:00"/>
    <e v="#N/A"/>
    <s v="Fixed"/>
    <x v="1"/>
    <x v="0"/>
    <x v="0"/>
  </r>
  <r>
    <s v="81.192.11.141/0/oracle_linux-cve-2018-1087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10877"/>
    <s v="Oracle Linux: (CVE-2018-10877) (Multiple Advisories): Unbreakable Enterprise kernel security update"/>
    <s v="Linux kernel ext4 filesystem is vulnerable to an out-of-bound access in the ext4_ext_drop_refs() function when operating on a crafted ext4 filesystem im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877] is not installed, no patches discovered._x000d__x000a__x000d__x000a__x000d__x000a_ * _x000d__x000a_      kernel-uek-firmware - version 4.1.12-94.3.9.el7uek is installed"/>
    <s v=""/>
    <s v="CVE-2018-10877"/>
    <s v="http://nvd.nist.gov/vuln/detail/CVE-2018-10877"/>
    <d v="2018-07-18T00:00:00"/>
    <s v="vv"/>
    <n v="0"/>
    <s v=""/>
    <s v=""/>
    <s v="3 Days"/>
    <m/>
    <m/>
    <s v="Fixed"/>
    <x v="4"/>
    <d v="2020-12-26T00:00:00"/>
    <m/>
    <x v="3"/>
    <s v="Unix"/>
    <e v="#N/A"/>
    <m/>
    <m/>
    <m/>
    <d v="2020-12-20T00:00:00"/>
    <e v="#N/A"/>
    <s v="Fixed"/>
    <x v="1"/>
    <x v="0"/>
    <x v="0"/>
  </r>
  <r>
    <s v="81.192.11.141/0/oracle_linux-cve-2018-1087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6"/>
    <x v="1"/>
    <s v="oracle_linux-cve-2018-10878"/>
    <s v="Oracle Linux: (CVE-2018-10878) (Multiple Advisories): Unbreakable Enterprise kernel security update"/>
    <s v="A flaw was found in the Linux kernel's ext4 filesystem. A local user can cause an out-of-bounds write and a denial of service or unspecified other impact is possible by mounting and operating a crafted ext4 filesystem im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878] is not installed, no patches discovered._x000d__x000a__x000d__x000a__x000d__x000a_ * _x000d__x000a_      kernel-uek-firmware - version 4.1.12-94.3.9.el7uek is installed"/>
    <s v=""/>
    <s v="CVE-2018-10878"/>
    <s v="http://nvd.nist.gov/vuln/detail/CVE-2018-10878"/>
    <d v="2018-07-26T00:00:00"/>
    <s v="vv"/>
    <n v="0"/>
    <s v=""/>
    <s v=""/>
    <s v="3 Days"/>
    <m/>
    <m/>
    <s v="Fixed"/>
    <x v="4"/>
    <d v="2020-12-26T00:00:00"/>
    <m/>
    <x v="3"/>
    <s v="Unix"/>
    <e v="#N/A"/>
    <m/>
    <m/>
    <m/>
    <d v="2020-12-20T00:00:00"/>
    <e v="#N/A"/>
    <s v="Fixed"/>
    <x v="1"/>
    <x v="0"/>
    <x v="0"/>
  </r>
  <r>
    <s v="81.192.11.141/0/oracle_linux-cve-2018-1087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6"/>
    <x v="1"/>
    <s v="oracle_linux-cve-2018-10879"/>
    <s v="Oracle Linux: (CVE-2018-10879) (Multiple Advisories): Unbreakable Enterprise kernel security update"/>
    <s v="A flaw was found in the Linux kernel's ext4 filesystem. A local user can cause a use-after-free in ext4_xattr_set_entry function and a denial of service or unspecified other impact may occur by renaming a file in a crafted ext4 filesystem im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879] is not installed, no patches discovered._x000d__x000a__x000d__x000a__x000d__x000a_ * _x000d__x000a_      kernel-uek-firmware - version 4.1.12-94.3.9.el7uek is installed"/>
    <s v=""/>
    <s v="CVE-2018-10879"/>
    <s v="http://nvd.nist.gov/vuln/detail/CVE-2018-10879"/>
    <d v="2018-07-26T00:00:00"/>
    <s v="vv"/>
    <n v="0"/>
    <s v=""/>
    <s v=""/>
    <s v="3 Days"/>
    <m/>
    <m/>
    <s v="Fixed"/>
    <x v="4"/>
    <d v="2020-12-26T00:00:00"/>
    <m/>
    <x v="3"/>
    <s v="Unix"/>
    <e v="#N/A"/>
    <m/>
    <m/>
    <m/>
    <d v="2020-12-20T00:00:00"/>
    <e v="#N/A"/>
    <s v="Fixed"/>
    <x v="1"/>
    <x v="0"/>
    <x v="0"/>
  </r>
  <r>
    <s v="81.192.11.141/0/oracle_linux-cve-2018-1088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10881"/>
    <s v="Oracle Linux: (CVE-2018-10881) (Multiple Advisories): Unbreakable Enterprise kernel security update"/>
    <s v="A flaw was found in the Linux kernel's ext4 filesystem. A local user can cause an out-of-bound access in ext4_get_group_info function, a denial of service, and a system crash by mounting and operating on a crafted ext4 filesystem im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881] is not installed, no patches discovered._x000d__x000a__x000d__x000a__x000d__x000a_ * _x000d__x000a_      kernel-uek-firmware - version 4.1.12-94.3.9.el7uek is installed"/>
    <s v=""/>
    <s v="CVE-2018-10881"/>
    <s v="http://nvd.nist.gov/vuln/detail/CVE-2018-10881"/>
    <d v="2018-07-26T00:00:00"/>
    <s v="vv"/>
    <n v="0"/>
    <s v=""/>
    <s v=""/>
    <s v="3 Days"/>
    <m/>
    <m/>
    <s v="Fixed"/>
    <x v="4"/>
    <d v="2020-12-26T00:00:00"/>
    <m/>
    <x v="3"/>
    <s v="Unix"/>
    <e v="#N/A"/>
    <m/>
    <m/>
    <m/>
    <d v="2020-12-20T00:00:00"/>
    <e v="#N/A"/>
    <s v="Fixed"/>
    <x v="1"/>
    <x v="0"/>
    <x v="0"/>
  </r>
  <r>
    <s v="81.192.11.141/0/oracle_linux-cve-2018-1088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10882"/>
    <s v="Oracle Linux: (CVE-2018-10882) (Multiple Advisories): Unbreakable Enterprise kernel security update"/>
    <s v="A flaw was found in the Linux kernel's ext4 filesystem. A local user can cause an out-of-bound write in in fs/jbd2/transaction.c code, a denial of service, and a system crash by unmounting a crafted ext4 filesystem im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882] is not installed, no patches discovered._x000d__x000a__x000d__x000a__x000d__x000a_ * _x000d__x000a_      kernel-uek-firmware - version 4.1.12-94.3.9.el7uek is installed"/>
    <s v=""/>
    <s v="CVE-2018-10882"/>
    <s v="http://nvd.nist.gov/vuln/detail/CVE-2018-10882"/>
    <d v="2018-07-27T00:00:00"/>
    <s v="vv"/>
    <n v="0"/>
    <s v=""/>
    <s v=""/>
    <s v="3 Days"/>
    <m/>
    <m/>
    <s v="Fixed"/>
    <x v="4"/>
    <d v="2020-12-26T00:00:00"/>
    <m/>
    <x v="3"/>
    <s v="Unix"/>
    <e v="#N/A"/>
    <m/>
    <m/>
    <m/>
    <d v="2020-12-20T00:00:00"/>
    <e v="#N/A"/>
    <s v="Fixed"/>
    <x v="1"/>
    <x v="0"/>
    <x v="0"/>
  </r>
  <r>
    <s v="81.192.11.141/0/oracle_linux-cve-2018-1090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10902"/>
    <s v="Oracle Linux: (CVE-2018-10902) (Multiple Advisories): kernel security and bug fix update"/>
    <s v="It was found that the raw midi kernel driver does not protect against concurrent access which leads to a double realloc (double free) in snd_rawmidi_input_params() and snd_rawmidi_output_status() which are part of snd_rawmidi_ioctl() handler in rawmidi.c file. A malicious local attacker could possibly use this for privilege escalation."/>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902] is not installed, no patches discovered._x000d__x000a__x000d__x000a__x000d__x000a_ * _x000d__x000a_      kernel-uek-firmware - version 4.1.12-94.3.9.el7uek is installed"/>
    <s v=""/>
    <s v="CVE-2018-10902"/>
    <s v="http://nvd.nist.gov/vuln/detail/CVE-2018-10902"/>
    <d v="2018-08-21T00:00:00"/>
    <s v="vv"/>
    <n v="0"/>
    <s v=""/>
    <s v=""/>
    <s v="3 Days"/>
    <m/>
    <m/>
    <s v="Fixed"/>
    <x v="4"/>
    <d v="2020-12-26T00:00:00"/>
    <m/>
    <x v="3"/>
    <s v="Unix"/>
    <e v="#N/A"/>
    <m/>
    <m/>
    <m/>
    <d v="2020-12-20T00:00:00"/>
    <e v="#N/A"/>
    <s v="Fixed"/>
    <x v="1"/>
    <x v="0"/>
    <x v="0"/>
  </r>
  <r>
    <s v="81.192.11.141/0/oracle_linux-cve-2018-109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1092"/>
    <s v="Oracle Linux: (CVE-2018-1092) (Multiple Advisories): Unbreakable Enterprise kernel security update"/>
    <s v="The ext4_iget function in fs/ext4/inode.c in the Linux kernel through 4.15.15 mishandles the case of a root directory with a zero i_links_count, which allows attackers to cause a denial of service (ext4_process_freed_data NULL pointer dereference and OOPS) via a crafted ext4 im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92] is not installed, no patches discovered._x000d__x000a__x000d__x000a__x000d__x000a_ * _x000d__x000a_      kernel-uek-firmware - version 4.1.12-94.3.9.el7uek is installed"/>
    <s v=""/>
    <s v="CVE-2018-1092"/>
    <s v="http://nvd.nist.gov/vuln/detail/CVE-2018-1092"/>
    <d v="2018-04-01T00:00:00"/>
    <s v="vv"/>
    <n v="0"/>
    <s v=""/>
    <s v=""/>
    <s v="3 Days"/>
    <m/>
    <m/>
    <s v="Fixed"/>
    <x v="4"/>
    <d v="2020-12-26T00:00:00"/>
    <m/>
    <x v="3"/>
    <s v="Unix"/>
    <e v="#N/A"/>
    <m/>
    <m/>
    <m/>
    <d v="2020-12-20T00:00:00"/>
    <e v="#N/A"/>
    <s v="Fixed"/>
    <x v="1"/>
    <x v="0"/>
    <x v="0"/>
  </r>
  <r>
    <s v="81.192.11.141/0/oracle_linux-cve-2018-109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1093"/>
    <s v="Oracle Linux: (CVE-2018-1093) (Multiple Advisories): Unbreakable Enterprise kernel security update"/>
    <s v="The ext4_valid_block_bitmap function in fs/ext4/balloc.c in the Linux kernel through 4.15.15 allows attackers to cause a denial of service (out-of-bounds read and system crash) via a crafted ext4 image because balloc.c and ialloc.c do not validate bitmap block number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93] is not installed, no patches discovered._x000d__x000a__x000d__x000a__x000d__x000a_ * _x000d__x000a_      kernel-uek-firmware - version 4.1.12-94.3.9.el7uek is installed"/>
    <s v=""/>
    <s v="CVE-2018-1093"/>
    <s v="http://nvd.nist.gov/vuln/detail/CVE-2018-1093"/>
    <d v="2018-04-01T00:00:00"/>
    <s v="vv"/>
    <n v="0"/>
    <s v=""/>
    <s v=""/>
    <s v="3 Days"/>
    <m/>
    <m/>
    <s v="Fixed"/>
    <x v="4"/>
    <d v="2020-12-26T00:00:00"/>
    <m/>
    <x v="3"/>
    <s v="Unix"/>
    <e v="#N/A"/>
    <m/>
    <m/>
    <m/>
    <d v="2020-12-20T00:00:00"/>
    <e v="#N/A"/>
    <s v="Fixed"/>
    <x v="1"/>
    <x v="0"/>
    <x v="0"/>
  </r>
  <r>
    <s v="81.192.11.141/0/oracle_linux-cve-2018-1093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10938"/>
    <s v="Oracle Linux: (CVE-2018-10938) ELSA-2018-4208: Unbreakable Enterprise kernel security update"/>
    <s v="A flaw was found in the Linux kernel present since v4.0-rc1 and through v4.13-rc4. A crafted network packet sent remotely by an attacker may force the kernel to enter an infinite loop in the cipso_v4_optptr() function in net/ipv4/cipso_ipv4.c leading to a denial-of-service. A certain non-default configuration of LSM (Linux Security Module) and NetLabel should be set up on a system before an attacker could leverage this flaw."/>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938] is not installed, no patches discovered._x000d__x000a__x000d__x000a__x000d__x000a_ * _x000d__x000a_      kernel-uek-firmware - version 4.1.12-94.3.9.el7uek is installed"/>
    <s v=""/>
    <s v="CVE-2018-10938"/>
    <s v="http://nvd.nist.gov/vuln/detail/CVE-2018-10938"/>
    <d v="2018-08-27T00:00:00"/>
    <s v="vv"/>
    <n v="0"/>
    <s v=""/>
    <s v=""/>
    <s v="3 Days"/>
    <m/>
    <m/>
    <s v="Fixed"/>
    <x v="4"/>
    <d v="2020-12-26T00:00:00"/>
    <m/>
    <x v="3"/>
    <s v="Unix"/>
    <e v="#N/A"/>
    <m/>
    <m/>
    <m/>
    <d v="2020-12-20T00:00:00"/>
    <e v="#N/A"/>
    <s v="Fixed"/>
    <x v="1"/>
    <x v="0"/>
    <x v="0"/>
  </r>
  <r>
    <s v="81.192.11.141/0/oracle_linux-cve-2018-109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1094"/>
    <s v="Oracle Linux: (CVE-2018-1094) (Multiple Advisories): Unbreakable Enterprise kernel security update"/>
    <s v="The ext4_fill_super function in fs/ext4/super.c in the Linux kernel through 4.15.15 does not always initialize the crc32c checksum driver, which allows attackers to cause a denial of service (ext4_xattr_inode_hash NULL pointer dereference and system crash) via a crafted ext4 imag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094] is not installed, no patches discovered._x000d__x000a__x000d__x000a__x000d__x000a_ * _x000d__x000a_      kernel-uek-firmware - version 4.1.12-94.3.9.el7uek is installed"/>
    <s v=""/>
    <s v="CVE-2018-1094"/>
    <s v="http://nvd.nist.gov/vuln/detail/CVE-2018-1094"/>
    <d v="2018-04-01T00:00:00"/>
    <s v="vv"/>
    <n v="0"/>
    <s v=""/>
    <s v=""/>
    <s v="3 Days"/>
    <m/>
    <m/>
    <s v="Fixed"/>
    <x v="4"/>
    <d v="2020-12-26T00:00:00"/>
    <m/>
    <x v="3"/>
    <s v="Unix"/>
    <e v="#N/A"/>
    <m/>
    <m/>
    <m/>
    <d v="2020-12-20T00:00:00"/>
    <e v="#N/A"/>
    <s v="Fixed"/>
    <x v="1"/>
    <x v="0"/>
    <x v="0"/>
  </r>
  <r>
    <s v="81.192.11.141/0/oracle_linux-cve-2018-113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1130"/>
    <s v="Oracle Linux: (CVE-2018-1130) (Multiple Advisories): kernel security, bug fix, and enhancement update"/>
    <s v="Linux kernel before version 4.16-rc7 is vulnerable to a null pointer dereference in dccp_write_xmit() function in net/dccp/output.c in that allows a local user to cause a denial of service by a number of certain crafted system call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130] is not installed, no patches discovered._x000d__x000a__x000d__x000a__x000d__x000a_ * _x000d__x000a_      kernel-uek-firmware - version 4.1.12-94.3.9.el7uek is installed"/>
    <s v=""/>
    <s v="CVE-2018-1130"/>
    <s v="http://nvd.nist.gov/vuln/detail/CVE-2018-1130"/>
    <d v="2018-05-10T00:00:00"/>
    <s v="vv"/>
    <n v="0"/>
    <s v=""/>
    <s v=""/>
    <s v="3 Days"/>
    <m/>
    <m/>
    <s v="Fixed"/>
    <x v="4"/>
    <d v="2020-12-26T00:00:00"/>
    <m/>
    <x v="3"/>
    <s v="Unix"/>
    <e v="#N/A"/>
    <m/>
    <m/>
    <m/>
    <d v="2020-12-20T00:00:00"/>
    <e v="#N/A"/>
    <s v="Fixed"/>
    <x v="1"/>
    <x v="0"/>
    <x v="0"/>
  </r>
  <r>
    <s v="81.192.11.141/0/oracle_linux-cve-2018-1212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12126"/>
    <s v="Oracle Linux: (CVE-2018-12126) (Multiple Advisories): libvirt security, bug fix, and enhancement update"/>
    <s v="Microarchitectural Store Buffer Data Sampling (MSBDS): Store buffers on some microprocessors utilizing speculative execution may allow an authenticated user to potentially enable information disclosure via a side channel with local access. A list of impacted products can be found here: https://www.intel.com/content/dam/www/public/us/en/documents/corporate-information/SA00233-microcode-update-guidance_05132019.pdf"/>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ivshmem-tools on Oracle Linux_x000d__x000a_      Upgrade ivshmem-tools_x000d__x000a__x000d__x000a_       Update ivshmem-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 on Oracle Linux_x000d__x000a_      Upgrade libvirt_x000d__x000a__x000d__x000a_       Update libvir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admin on Oracle Linux_x000d__x000a_      Upgrade libvirt-admin_x000d__x000a__x000d__x000a_       Update libvirt-admi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bash-completion on Oracle Linux_x000d__x000a_      Upgrade libvirt-bash-completion_x000d__x000a__x000d__x000a_       Update libvirt-bash-completi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client on Oracle Linux_x000d__x000a_      Upgrade libvirt-client_x000d__x000a__x000d__x000a_       Update libvirt-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 on Oracle Linux_x000d__x000a_      Upgrade libvirt-daemon_x000d__x000a__x000d__x000a_       Update libvirt-dae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etwork on Oracle Linux_x000d__x000a_      Upgrade libvirt-daemon-config-network_x000d__x000a__x000d__x000a_       Update libvirt-daemon-config-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wfilter on Oracle Linux_x000d__x000a_      Upgrade libvirt-daemon-config-nwfilter_x000d__x000a__x000d__x000a_       Update libvirt-daemon-config-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interface on Oracle Linux_x000d__x000a_      Upgrade libvirt-daemon-driver-interface_x000d__x000a__x000d__x000a_       Update libvirt-daemon-driver-interfac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lxc on Oracle Linux_x000d__x000a_      Upgrade libvirt-daemon-driver-lxc_x000d__x000a__x000d__x000a_       Update libvirt-daemon-driver-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etwork on Oracle Linux_x000d__x000a_      Upgrade libvirt-daemon-driver-network_x000d__x000a__x000d__x000a_       Update libvirt-daemon-driver-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odedev on Oracle Linux_x000d__x000a_      Upgrade libvirt-daemon-driver-nodedev_x000d__x000a__x000d__x000a_       Update libvirt-daemon-driver-nodedev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wfilter on Oracle Linux_x000d__x000a_      Upgrade libvirt-daemon-driver-nwfilter_x000d__x000a__x000d__x000a_       Update libvirt-daemon-driver-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qemu on Oracle Linux_x000d__x000a_      Upgrade libvirt-daemon-driver-qemu_x000d__x000a__x000d__x000a_       Update libvirt-daemon-driver-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ecret on Oracle Linux_x000d__x000a_      Upgrade libvirt-daemon-driver-secret_x000d__x000a__x000d__x000a_       Update libvirt-daemon-driver-secre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 on Oracle Linux_x000d__x000a_      Upgrade libvirt-daemon-driver-storage_x000d__x000a__x000d__x000a_       Update libvirt-daemon-driver-storag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core on Oracle Linux_x000d__x000a_      Upgrade libvirt-daemon-driver-storage-core_x000d__x000a__x000d__x000a_       Update libvirt-daemon-driver-storage-co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disk on Oracle Linux_x000d__x000a_      Upgrade libvirt-daemon-driver-storage-disk_x000d__x000a__x000d__x000a_       Update libvirt-daemon-driver-storage-dis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gluster on Oracle Linux_x000d__x000a_      Upgrade libvirt-daemon-driver-storage-gluster_x000d__x000a__x000d__x000a_       Update libvirt-daemon-driver-storage-glus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iscsi on Oracle Linux_x000d__x000a_      Upgrade libvirt-daemon-driver-storage-iscsi_x000d__x000a__x000d__x000a_       Update libvirt-daemon-driver-storage-i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logical on Oracle Linux_x000d__x000a_      Upgrade libvirt-daemon-driver-storage-logical_x000d__x000a__x000d__x000a_       Update libvirt-daemon-driver-storage-logica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mpath on Oracle Linux_x000d__x000a_      Upgrade libvirt-daemon-driver-storage-mpath_x000d__x000a__x000d__x000a_       Update libvirt-daemon-driver-storage-mpath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rbd on Oracle Linux_x000d__x000a_      Upgrade libvirt-daemon-driver-storage-rbd_x000d__x000a__x000d__x000a_       Update libvirt-daemon-driver-storage-rb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scsi on Oracle Linux_x000d__x000a_      Upgrade libvirt-daemon-driver-storage-scsi_x000d__x000a__x000d__x000a_       Update libvirt-daemon-driver-storage-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kvm on Oracle Linux_x000d__x000a_      Upgrade libvirt-daemon-kvm_x000d__x000a__x000d__x000a_       Update libvirt-daemon-kvm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lxc on Oracle Linux_x000d__x000a_      Upgrade libvirt-daemon-lxc_x000d__x000a__x000d__x000a_       Update libvirt-daemon-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qemu on Oracle Linux_x000d__x000a_      Upgrade libvirt-daemon-qemu_x000d__x000a__x000d__x000a_       Update libvirt-daemon-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evel on Oracle Linux_x000d__x000a_      Upgrade libvirt-devel_x000d__x000a__x000d__x000a_       Update libvir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ocs on Oracle Linux_x000d__x000a_      Upgrade libvirt-docs_x000d__x000a__x000d__x000a_       Update libvirt-doc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libs on Oracle Linux_x000d__x000a_      Upgrade libvirt"/>
    <s v="Vulnerable OS: Oracle Linux 7.9_x000d__x000a__x000d__x000a__x000d__x000a_Vulnerable software installed: Linux kernel-uek 4.1.12-94.3.9.el7uek_x000d__x000a__x000d__x000a_ * Required patch [CVE-2018-12126] is not installed, no patches discovered._x000d__x000a__x000d__x000a__x000d__x000a_ * _x000d__x000a_      kernel-uek-firmware - version 4.1.12-94.3.9.el7uek is installed"/>
    <s v=""/>
    <s v="CVE-2018-12126"/>
    <s v="http://nvd.nist.gov/vuln/detail/CVE-2018-12126"/>
    <d v="2019-05-14T00:00:00"/>
    <s v="vv"/>
    <n v="0"/>
    <s v=""/>
    <s v=""/>
    <s v="3 Days"/>
    <m/>
    <m/>
    <s v="Fixed"/>
    <x v="4"/>
    <d v="2020-12-26T00:00:00"/>
    <m/>
    <x v="3"/>
    <s v="Unix"/>
    <e v="#N/A"/>
    <m/>
    <m/>
    <m/>
    <d v="2020-12-20T00:00:00"/>
    <e v="#N/A"/>
    <s v="Fixed"/>
    <x v="1"/>
    <x v="0"/>
    <x v="0"/>
  </r>
  <r>
    <s v="81.192.11.141/0/oracle_linux-cve-2018-1212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12127"/>
    <s v="Oracle Linux: (CVE-2018-12127) (Multiple Advisories): libvirt security, bug fix, and enhancement update"/>
    <s v="Microarchitectural Load Port Data Sampling (MLPDS): Load ports on some microprocessors utilizing speculative execution may allow an authenticated user to potentially enable information disclosure via a side channel with local access. A list of impacted products can be found here: https://www.intel.com/content/dam/www/public/us/en/documents/corporate-information/SA00233-microcode-update-guidance_05132019.pdf"/>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ivshmem-tools on Oracle Linux_x000d__x000a_      Upgrade ivshmem-tools_x000d__x000a__x000d__x000a_       Update ivshmem-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 on Oracle Linux_x000d__x000a_      Upgrade libvirt_x000d__x000a__x000d__x000a_       Update libvir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admin on Oracle Linux_x000d__x000a_      Upgrade libvirt-admin_x000d__x000a__x000d__x000a_       Update libvirt-admi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bash-completion on Oracle Linux_x000d__x000a_      Upgrade libvirt-bash-completion_x000d__x000a__x000d__x000a_       Update libvirt-bash-completi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client on Oracle Linux_x000d__x000a_      Upgrade libvirt-client_x000d__x000a__x000d__x000a_       Update libvirt-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 on Oracle Linux_x000d__x000a_      Upgrade libvirt-daemon_x000d__x000a__x000d__x000a_       Update libvirt-dae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etwork on Oracle Linux_x000d__x000a_      Upgrade libvirt-daemon-config-network_x000d__x000a__x000d__x000a_       Update libvirt-daemon-config-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wfilter on Oracle Linux_x000d__x000a_      Upgrade libvirt-daemon-config-nwfilter_x000d__x000a__x000d__x000a_       Update libvirt-daemon-config-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interface on Oracle Linux_x000d__x000a_      Upgrade libvirt-daemon-driver-interface_x000d__x000a__x000d__x000a_       Update libvirt-daemon-driver-interfac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lxc on Oracle Linux_x000d__x000a_      Upgrade libvirt-daemon-driver-lxc_x000d__x000a__x000d__x000a_       Update libvirt-daemon-driver-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etwork on Oracle Linux_x000d__x000a_      Upgrade libvirt-daemon-driver-network_x000d__x000a__x000d__x000a_       Update libvirt-daemon-driver-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odedev on Oracle Linux_x000d__x000a_      Upgrade libvirt-daemon-driver-nodedev_x000d__x000a__x000d__x000a_       Update libvirt-daemon-driver-nodedev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wfilter on Oracle Linux_x000d__x000a_      Upgrade libvirt-daemon-driver-nwfilter_x000d__x000a__x000d__x000a_       Update libvirt-daemon-driver-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qemu on Oracle Linux_x000d__x000a_      Upgrade libvirt-daemon-driver-qemu_x000d__x000a__x000d__x000a_       Update libvirt-daemon-driver-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ecret on Oracle Linux_x000d__x000a_      Upgrade libvirt-daemon-driver-secret_x000d__x000a__x000d__x000a_       Update libvirt-daemon-driver-secre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 on Oracle Linux_x000d__x000a_      Upgrade libvirt-daemon-driver-storage_x000d__x000a__x000d__x000a_       Update libvirt-daemon-driver-storag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core on Oracle Linux_x000d__x000a_      Upgrade libvirt-daemon-driver-storage-core_x000d__x000a__x000d__x000a_       Update libvirt-daemon-driver-storage-co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disk on Oracle Linux_x000d__x000a_      Upgrade libvirt-daemon-driver-storage-disk_x000d__x000a__x000d__x000a_       Update libvirt-daemon-driver-storage-dis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gluster on Oracle Linux_x000d__x000a_      Upgrade libvirt-daemon-driver-storage-gluster_x000d__x000a__x000d__x000a_       Update libvirt-daemon-driver-storage-glus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iscsi on Oracle Linux_x000d__x000a_      Upgrade libvirt-daemon-driver-storage-iscsi_x000d__x000a__x000d__x000a_       Update libvirt-daemon-driver-storage-i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logical on Oracle Linux_x000d__x000a_      Upgrade libvirt-daemon-driver-storage-logical_x000d__x000a__x000d__x000a_       Update libvirt-daemon-driver-storage-logica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mpath on Oracle Linux_x000d__x000a_      Upgrade libvirt-daemon-driver-storage-mpath_x000d__x000a__x000d__x000a_       Update libvirt-daemon-driver-storage-mpath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rbd on Oracle Linux_x000d__x000a_      Upgrade libvirt-daemon-driver-storage-rbd_x000d__x000a__x000d__x000a_       Update libvirt-daemon-driver-storage-rb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scsi on Oracle Linux_x000d__x000a_      Upgrade libvirt-daemon-driver-storage-scsi_x000d__x000a__x000d__x000a_       Update libvirt-daemon-driver-storage-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kvm on Oracle Linux_x000d__x000a_      Upgrade libvirt-daemon-kvm_x000d__x000a__x000d__x000a_       Update libvirt-daemon-kvm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lxc on Oracle Linux_x000d__x000a_      Upgrade libvirt-daemon-lxc_x000d__x000a__x000d__x000a_       Update libvirt-daemon-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qemu on Oracle Linux_x000d__x000a_      Upgrade libvirt-daemon-qemu_x000d__x000a__x000d__x000a_       Update libvirt-daemon-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evel on Oracle Linux_x000d__x000a_      Upgrade libvirt-devel_x000d__x000a__x000d__x000a_       Update libvir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ocs on Oracle Linux_x000d__x000a_      Upgrade libvirt-docs_x000d__x000a__x000d__x000a_       Update libvirt-doc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libs on Oracle Linux_x000d__x000a_      Upgrade libvirt"/>
    <s v="Vulnerable OS: Oracle Linux 7.9_x000d__x000a__x000d__x000a__x000d__x000a_Vulnerable software installed: Linux kernel-uek 4.1.12-94.3.9.el7uek_x000d__x000a__x000d__x000a_ * Required patch [CVE-2018-12127] is not installed, no patches discovered._x000d__x000a__x000d__x000a__x000d__x000a_ * _x000d__x000a_      kernel-uek-firmware - version 4.1.12-94.3.9.el7uek is installed"/>
    <s v=""/>
    <s v="CVE-2018-12127"/>
    <s v="http://nvd.nist.gov/vuln/detail/CVE-2018-12127"/>
    <d v="2019-05-14T00:00:00"/>
    <s v="vv"/>
    <n v="0"/>
    <s v=""/>
    <s v=""/>
    <s v="3 Days"/>
    <m/>
    <m/>
    <s v="Fixed"/>
    <x v="4"/>
    <d v="2020-12-26T00:00:00"/>
    <m/>
    <x v="3"/>
    <s v="Unix"/>
    <e v="#N/A"/>
    <m/>
    <m/>
    <m/>
    <d v="2020-12-20T00:00:00"/>
    <e v="#N/A"/>
    <s v="Fixed"/>
    <x v="1"/>
    <x v="0"/>
    <x v="0"/>
  </r>
  <r>
    <s v="81.192.11.141/0/oracle_linux-cve-2018-1213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12130"/>
    <s v="Oracle Linux: (CVE-2018-12130) (Multiple Advisories): libvirt security, bug fix, and enhancement update"/>
    <s v="Microarchitectural Fill Buffer Data Sampling (MFBDS): Fill buffers on some microprocessors utilizing speculative execution may allow an authenticated user to potentially enable information disclosure via a side channel with local access. A list of impacted products can be found here: https://www.intel.com/content/dam/www/public/us/en/documents/corporate-information/SA00233-microcode-update-guidance_05132019.pdf"/>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ivshmem-tools on Oracle Linux_x000d__x000a_      Upgrade ivshmem-tools_x000d__x000a__x000d__x000a_       Update ivshmem-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 on Oracle Linux_x000d__x000a_      Upgrade libvirt_x000d__x000a__x000d__x000a_       Update libvir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admin on Oracle Linux_x000d__x000a_      Upgrade libvirt-admin_x000d__x000a__x000d__x000a_       Update libvirt-admi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bash-completion on Oracle Linux_x000d__x000a_      Upgrade libvirt-bash-completion_x000d__x000a__x000d__x000a_       Update libvirt-bash-completi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client on Oracle Linux_x000d__x000a_      Upgrade libvirt-client_x000d__x000a__x000d__x000a_       Update libvirt-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 on Oracle Linux_x000d__x000a_      Upgrade libvirt-daemon_x000d__x000a__x000d__x000a_       Update libvirt-dae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etwork on Oracle Linux_x000d__x000a_      Upgrade libvirt-daemon-config-network_x000d__x000a__x000d__x000a_       Update libvirt-daemon-config-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wfilter on Oracle Linux_x000d__x000a_      Upgrade libvirt-daemon-config-nwfilter_x000d__x000a__x000d__x000a_       Update libvirt-daemon-config-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interface on Oracle Linux_x000d__x000a_      Upgrade libvirt-daemon-driver-interface_x000d__x000a__x000d__x000a_       Update libvirt-daemon-driver-interfac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lxc on Oracle Linux_x000d__x000a_      Upgrade libvirt-daemon-driver-lxc_x000d__x000a__x000d__x000a_       Update libvirt-daemon-driver-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etwork on Oracle Linux_x000d__x000a_      Upgrade libvirt-daemon-driver-network_x000d__x000a__x000d__x000a_       Update libvirt-daemon-driver-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odedev on Oracle Linux_x000d__x000a_      Upgrade libvirt-daemon-driver-nodedev_x000d__x000a__x000d__x000a_       Update libvirt-daemon-driver-nodedev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wfilter on Oracle Linux_x000d__x000a_      Upgrade libvirt-daemon-driver-nwfilter_x000d__x000a__x000d__x000a_       Update libvirt-daemon-driver-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qemu on Oracle Linux_x000d__x000a_      Upgrade libvirt-daemon-driver-qemu_x000d__x000a__x000d__x000a_       Update libvirt-daemon-driver-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ecret on Oracle Linux_x000d__x000a_      Upgrade libvirt-daemon-driver-secret_x000d__x000a__x000d__x000a_       Update libvirt-daemon-driver-secre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 on Oracle Linux_x000d__x000a_      Upgrade libvirt-daemon-driver-storage_x000d__x000a__x000d__x000a_       Update libvirt-daemon-driver-storag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core on Oracle Linux_x000d__x000a_      Upgrade libvirt-daemon-driver-storage-core_x000d__x000a__x000d__x000a_       Update libvirt-daemon-driver-storage-co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disk on Oracle Linux_x000d__x000a_      Upgrade libvirt-daemon-driver-storage-disk_x000d__x000a__x000d__x000a_       Update libvirt-daemon-driver-storage-dis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gluster on Oracle Linux_x000d__x000a_      Upgrade libvirt-daemon-driver-storage-gluster_x000d__x000a__x000d__x000a_       Update libvirt-daemon-driver-storage-glus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iscsi on Oracle Linux_x000d__x000a_      Upgrade libvirt-daemon-driver-storage-iscsi_x000d__x000a__x000d__x000a_       Update libvirt-daemon-driver-storage-i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logical on Oracle Linux_x000d__x000a_      Upgrade libvirt-daemon-driver-storage-logical_x000d__x000a__x000d__x000a_       Update libvirt-daemon-driver-storage-logica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mpath on Oracle Linux_x000d__x000a_      Upgrade libvirt-daemon-driver-storage-mpath_x000d__x000a__x000d__x000a_       Update libvirt-daemon-driver-storage-mpath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rbd on Oracle Linux_x000d__x000a_      Upgrade libvirt-daemon-driver-storage-rbd_x000d__x000a__x000d__x000a_       Update libvirt-daemon-driver-storage-rb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scsi on Oracle Linux_x000d__x000a_      Upgrade libvirt-daemon-driver-storage-scsi_x000d__x000a__x000d__x000a_       Update libvirt-daemon-driver-storage-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kvm on Oracle Linux_x000d__x000a_      Upgrade libvirt-daemon-kvm_x000d__x000a__x000d__x000a_       Update libvirt-daemon-kvm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lxc on Oracle Linux_x000d__x000a_      Upgrade libvirt-daemon-lxc_x000d__x000a__x000d__x000a_       Update libvirt-daemon-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qemu on Oracle Linux_x000d__x000a_      Upgrade libvirt-daemon-qemu_x000d__x000a__x000d__x000a_       Update libvirt-daemon-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evel on Oracle Linux_x000d__x000a_      Upgrade libvirt-devel_x000d__x000a__x000d__x000a_       Update libvir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ocs on Oracle Linux_x000d__x000a_      Upgrade libvirt-docs_x000d__x000a__x000d__x000a_       Update libvirt-doc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libs on Oracle Linux_x000d__x000a_      Upgrade libvirt"/>
    <s v="Vulnerable OS: Oracle Linux 7.9_x000d__x000a__x000d__x000a__x000d__x000a_Vulnerable software installed: Linux kernel-uek 4.1.12-94.3.9.el7uek_x000d__x000a__x000d__x000a_ * Required patch [CVE-2018-12130] is not installed, no patches discovered._x000d__x000a__x000d__x000a__x000d__x000a_ * _x000d__x000a_      kernel-uek-firmware - version 4.1.12-94.3.9.el7uek is installed"/>
    <s v=""/>
    <s v="CVE-2018-12130"/>
    <s v="http://nvd.nist.gov/vuln/detail/CVE-2018-12130"/>
    <d v="2019-05-14T00:00:00"/>
    <s v="vv"/>
    <n v="0"/>
    <s v=""/>
    <s v=""/>
    <s v="3 Days"/>
    <m/>
    <m/>
    <s v="Fixed"/>
    <x v="4"/>
    <d v="2020-12-26T00:00:00"/>
    <m/>
    <x v="3"/>
    <s v="Unix"/>
    <e v="#N/A"/>
    <m/>
    <m/>
    <m/>
    <d v="2020-12-20T00:00:00"/>
    <e v="#N/A"/>
    <s v="Fixed"/>
    <x v="1"/>
    <x v="0"/>
    <x v="0"/>
  </r>
  <r>
    <s v="81.192.11.141/0/oracle_linux-cve-2018-1220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12207"/>
    <s v="Oracle Linux: (CVE-2018-12207) (Multiple Advisories): kernel security and bug fix update"/>
    <s v="Improper invalidation for page table updates by a virtual guest operating system for multiple Intel(R) Processors may allow an authenticated user to potentially enable denial of service of the host system via local acces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microcode_ctl on Oracle Linux_x000d__x000a_      Upgrade microcode_ctl_x000d__x000a__x000d__x000a_       Update microcode_ctl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2207] is not installed, no patches discovered._x000d__x000a__x000d__x000a__x000d__x000a_ * _x000d__x000a_      kernel-uek-firmware - version 4.1.12-94.3.9.el7uek is installed"/>
    <s v=""/>
    <s v="CVE-2018-12207"/>
    <s v="http://nvd.nist.gov/vuln/detail/CVE-2018-12207"/>
    <d v="2019-11-13T00:00:00"/>
    <s v="vv"/>
    <n v="0"/>
    <s v=""/>
    <s v=""/>
    <s v="3 Days"/>
    <m/>
    <m/>
    <s v="Fixed"/>
    <x v="4"/>
    <d v="2020-12-26T00:00:00"/>
    <m/>
    <x v="3"/>
    <s v="Unix"/>
    <e v="#N/A"/>
    <m/>
    <m/>
    <m/>
    <d v="2020-12-20T00:00:00"/>
    <e v="#N/A"/>
    <s v="Fixed"/>
    <x v="1"/>
    <x v="0"/>
    <x v="0"/>
  </r>
  <r>
    <s v="81.192.11.141/0/oracle_linux-cve-2018-1309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18-13094"/>
    <s v="Oracle Linux: (CVE-2018-13094) (Multiple Advisories): kernel security, bug fix, and enhancement update"/>
    <s v="An issue was discovered in fs/xfs/libxfs/xfs_attr_leaf.c in the Linux kernel through 4.17.3. An OOPS may occur for a corrupted xfs image after xfs_da_shrink_inode() is called with a NULL bp."/>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3094] is not installed, no patches discovered._x000d__x000a__x000d__x000a__x000d__x000a_ * _x000d__x000a_      kernel-uek-firmware - version 4.1.12-94.3.9.el7uek is installed"/>
    <s v=""/>
    <s v="CVE-2018-13094"/>
    <s v="http://nvd.nist.gov/vuln/detail/CVE-2018-13094"/>
    <d v="2018-07-03T00:00:00"/>
    <s v="vv"/>
    <n v="0"/>
    <s v=""/>
    <s v=""/>
    <s v="3 Days"/>
    <m/>
    <m/>
    <s v="Fixed"/>
    <x v="4"/>
    <d v="2020-12-26T00:00:00"/>
    <m/>
    <x v="3"/>
    <s v="Unix"/>
    <e v="#N/A"/>
    <m/>
    <m/>
    <m/>
    <d v="2020-12-20T00:00:00"/>
    <e v="#N/A"/>
    <s v="Fixed"/>
    <x v="1"/>
    <x v="0"/>
    <x v="0"/>
  </r>
  <r>
    <s v="81.192.11.141/0/oracle_linux-cve-2018-1463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8"/>
    <x v="2"/>
    <s v="oracle_linux-cve-2018-14633"/>
    <s v="Oracle Linux: (CVE-2018-14633) (Multiple Advisories): Unbreakable Enterprise kernel security update"/>
    <s v="A security flaw was found in the chap_server_compute_md5() function in the ISCSI target code in the Linux kernel in a way an authentication request from an ISCSI initiator is processed. An unauthenticated remote attacker can cause a stack buffer overflow and smash up to 17 bytes of the stack. The attack requires the iSCSI target to be enabled on the victim host. Depending on how the target's code was built (i.e. depending on a compiler, compile flags and hardware architecture) an attack may lead to a system crash and thus to a denial-of-service or possibly to a non-authorized access to data exported by an iSCSI target. Due to the nature of the flaw, privilege escalation cannot be fully ruled out, although we believe it is highly unlikely. Kernel versions 4.18.x, 4.14.x and 3.10.x are believed to be vulnerabl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4633] is not installed, no patches discovered._x000d__x000a__x000d__x000a__x000d__x000a_ * _x000d__x000a_      kernel-uek-firmware - version 4.1.12-94.3.9.el7uek is installed"/>
    <s v=""/>
    <s v="CVE-2018-14633"/>
    <s v="http://nvd.nist.gov/vuln/detail/CVE-2018-14633"/>
    <d v="2018-09-24T00:00:00"/>
    <s v="vv"/>
    <n v="0"/>
    <s v=""/>
    <s v=""/>
    <s v="3 Days"/>
    <m/>
    <m/>
    <s v="Fixed"/>
    <x v="4"/>
    <d v="2020-12-26T00:00:00"/>
    <m/>
    <x v="3"/>
    <s v="Unix"/>
    <e v="#N/A"/>
    <m/>
    <m/>
    <m/>
    <d v="2020-12-20T00:00:00"/>
    <e v="#N/A"/>
    <s v="Fixed"/>
    <x v="1"/>
    <x v="0"/>
    <x v="0"/>
  </r>
  <r>
    <s v="81.192.11.141/0/oracle_linux-cve-2018-1463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14634"/>
    <s v="Oracle Linux: (CVE-2018-14634) (Multiple Advisories): kernel security, bug fix, and enhancement update"/>
    <s v="An integer overflow flaw was found in the Linux kernel's create_elf_tables() function. An unprivileged local user with access to SUID (or otherwise privileged) binary could use this flaw to escalate their privileges on the system. Kernel versions 2.6.x, 3.10.x and 4.14.x are believed to be vulnerabl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4634] is not installed, no patches discovered._x000d__x000a__x000d__x000a__x000d__x000a_ * _x000d__x000a_      kernel-uek-firmware - version 4.1.12-94.3.9.el7uek is installed"/>
    <s v=""/>
    <s v="CVE-2018-14634"/>
    <s v="http://nvd.nist.gov/vuln/detail/CVE-2018-14634"/>
    <d v="2018-09-26T00:00:00"/>
    <s v="vv"/>
    <n v="1"/>
    <s v="Expert"/>
    <s v="http://www.exploit-db.com/exploits/45516"/>
    <s v="3 Days"/>
    <m/>
    <m/>
    <s v="Fixed"/>
    <x v="4"/>
    <d v="2020-12-26T00:00:00"/>
    <m/>
    <x v="3"/>
    <s v="Unix"/>
    <e v="#N/A"/>
    <m/>
    <m/>
    <m/>
    <d v="2020-12-20T00:00:00"/>
    <e v="#N/A"/>
    <s v="Fixed"/>
    <x v="1"/>
    <x v="0"/>
    <x v="0"/>
  </r>
  <r>
    <s v="81.192.11.141/0/oracle_linux-cve-2018-1467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14678"/>
    <s v="Oracle Linux: (CVE-2018-14678) (Multiple Advisories): Unbreakable Enterprise kernel security update"/>
    <s v="An issue was discovered in the Linux kernel through 4.17.11, as used in Xen through 4.11.x. The xen_failsafe_callback entry point in arch/x86/entry/entry_64.S does not properly maintain RBX, which allows local users to cause a denial of service (uninitialized memory usage and system crash). Within Xen, 64-bit x86 PV Linux guest OS users can trigger a guest OS crash or possibly gain privilege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4678] is not installed, no patches discovered._x000d__x000a__x000d__x000a__x000d__x000a_ * _x000d__x000a_      kernel-uek-firmware - version 4.1.12-94.3.9.el7uek is installed"/>
    <s v=""/>
    <s v="CVE-2018-14678"/>
    <s v="http://nvd.nist.gov/vuln/detail/CVE-2018-14678"/>
    <d v="2018-07-28T00:00:00"/>
    <s v="vv"/>
    <n v="0"/>
    <s v=""/>
    <s v=""/>
    <s v="3 Days"/>
    <m/>
    <m/>
    <s v="Fixed"/>
    <x v="4"/>
    <d v="2020-12-26T00:00:00"/>
    <m/>
    <x v="3"/>
    <s v="Unix"/>
    <e v="#N/A"/>
    <m/>
    <m/>
    <m/>
    <d v="2020-12-20T00:00:00"/>
    <e v="#N/A"/>
    <s v="Fixed"/>
    <x v="1"/>
    <x v="0"/>
    <x v="0"/>
  </r>
  <r>
    <s v="81.192.11.141/0/oracle_linux-cve-2018-1473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6"/>
    <x v="1"/>
    <s v="oracle_linux-cve-2018-14734"/>
    <s v="Oracle Linux: (CVE-2018-14734) (Multiple Advisories): kernel security, bug fix, and enhancement update"/>
    <s v="drivers/infiniband/core/ucma.c in the Linux kernel through 4.17.11 allows ucma_leave_multicast to access a certain data structure after a cleanup step in ucma_process_join, which allows attackers to cause a denial of service (use-after-fre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4734] is not installed, no patches discovered._x000d__x000a__x000d__x000a__x000d__x000a_ * _x000d__x000a_      kernel-uek-firmware - version 4.1.12-94.3.9.el7uek is installed"/>
    <s v=""/>
    <s v="CVE-2018-14734"/>
    <s v="http://nvd.nist.gov/vuln/detail/CVE-2018-14734"/>
    <d v="2018-07-29T00:00:00"/>
    <s v="vv"/>
    <n v="0"/>
    <s v=""/>
    <s v=""/>
    <s v="3 Days"/>
    <m/>
    <m/>
    <s v="Fixed"/>
    <x v="4"/>
    <d v="2020-12-26T00:00:00"/>
    <m/>
    <x v="3"/>
    <s v="Unix"/>
    <e v="#N/A"/>
    <m/>
    <m/>
    <m/>
    <d v="2020-12-20T00:00:00"/>
    <e v="#N/A"/>
    <s v="Fixed"/>
    <x v="1"/>
    <x v="0"/>
    <x v="0"/>
  </r>
  <r>
    <s v="81.192.11.141/0/oracle_linux-cve-2018-1557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8-15572"/>
    <s v="Oracle Linux: (CVE-2018-15572) (Multiple Advisories): Unbreakable Enterprise kernel security update"/>
    <s v="The spectre_v2_select_mitigation function in arch/x86/kernel/cpu/bugs.c in the Linux kernel before 4.18.1 does not always fill RSB upon a context switch, which makes it easier for attackers to conduct userspace-userspace spectreRSB attack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5572] is not installed, no patches discovered._x000d__x000a__x000d__x000a__x000d__x000a_ * _x000d__x000a_      kernel-uek-firmware - version 4.1.12-94.3.9.el7uek is installed"/>
    <s v=""/>
    <s v="CVE-2018-15572"/>
    <s v="http://nvd.nist.gov/vuln/detail/CVE-2018-15572"/>
    <d v="2018-08-19T00:00:00"/>
    <s v="vv"/>
    <n v="0"/>
    <s v=""/>
    <s v=""/>
    <s v="3 Days"/>
    <m/>
    <m/>
    <s v="Fixed"/>
    <x v="4"/>
    <d v="2020-12-26T00:00:00"/>
    <m/>
    <x v="3"/>
    <s v="Unix"/>
    <e v="#N/A"/>
    <m/>
    <m/>
    <m/>
    <d v="2020-12-20T00:00:00"/>
    <e v="#N/A"/>
    <s v="Fixed"/>
    <x v="1"/>
    <x v="0"/>
    <x v="0"/>
  </r>
  <r>
    <s v="81.192.11.141/0/oracle_linux-cve-2018-1559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8-15594"/>
    <s v="Oracle Linux: (CVE-2018-15594) (Multiple Advisories): kernel security, bug fix, and enhancement update"/>
    <s v="arch/x86/kernel/paravirt.c in the Linux kernel before 4.18.1 mishandles certain indirect calls, which makes it easier for attackers to conduct Spectre-v2 attacks against paravirtual guest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5594] is not installed, no patches discovered._x000d__x000a__x000d__x000a__x000d__x000a_ * _x000d__x000a_      kernel-uek-firmware - version 4.1.12-94.3.9.el7uek is installed"/>
    <s v=""/>
    <s v="CVE-2018-15594"/>
    <s v="http://nvd.nist.gov/vuln/detail/CVE-2018-15594"/>
    <d v="2018-08-20T00:00:00"/>
    <s v="vv"/>
    <n v="0"/>
    <s v=""/>
    <s v=""/>
    <s v="3 Days"/>
    <m/>
    <m/>
    <s v="Fixed"/>
    <x v="4"/>
    <d v="2020-12-26T00:00:00"/>
    <m/>
    <x v="3"/>
    <s v="Unix"/>
    <e v="#N/A"/>
    <m/>
    <m/>
    <m/>
    <d v="2020-12-20T00:00:00"/>
    <e v="#N/A"/>
    <s v="Fixed"/>
    <x v="1"/>
    <x v="0"/>
    <x v="0"/>
  </r>
  <r>
    <s v="81.192.11.141/0/oracle_linux-cve-2018-1665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18-16658"/>
    <s v="Oracle Linux: (CVE-2018-16658) (Multiple Advisories): kernel security, bug fix, and enhancement update"/>
    <s v="An issue was discovered in the Linux kernel before 4.18.6. An information leak in cdrom_ioctl_drive_status in drivers/cdrom/cdrom.c could be used by local attackers to read kernel memory because a cast from unsigned long to int interferes with bounds checking. This is similar to CVE-2018-10940."/>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6658] is not installed, no patches discovered._x000d__x000a__x000d__x000a__x000d__x000a_ * _x000d__x000a_      kernel-uek-firmware - version 4.1.12-94.3.9.el7uek is installed"/>
    <s v=""/>
    <s v="CVE-2018-16658"/>
    <s v="http://nvd.nist.gov/vuln/detail/CVE-2018-16658"/>
    <d v="2018-09-07T00:00:00"/>
    <s v="vv"/>
    <n v="0"/>
    <s v=""/>
    <s v=""/>
    <s v="3 Days"/>
    <m/>
    <m/>
    <s v="Fixed"/>
    <x v="4"/>
    <d v="2020-12-26T00:00:00"/>
    <m/>
    <x v="3"/>
    <s v="Unix"/>
    <e v="#N/A"/>
    <m/>
    <m/>
    <m/>
    <d v="2020-12-20T00:00:00"/>
    <e v="#N/A"/>
    <s v="Fixed"/>
    <x v="1"/>
    <x v="0"/>
    <x v="0"/>
  </r>
  <r>
    <s v="81.192.11.141/0/oracle_linux-cve-2018-1686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8-16862"/>
    <s v="Oracle Linux: (CVE-2018-16862) ELSA-2019-4575: Unbreakable Enterprise kernel security update"/>
    <s v="A security flaw was found in the Linux kernel in a way that the cleancache subsystem clears an inode after the final file truncation (removal). The new file created with the same inode may contain leftover pages from cleancache and the old file data instead of the new on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6862] is not installed, no patches discovered._x000d__x000a__x000d__x000a__x000d__x000a_ * _x000d__x000a_      kernel-uek-firmware - version 4.1.12-94.3.9.el7uek is installed"/>
    <s v=""/>
    <s v="CVE-2018-16862"/>
    <s v="http://nvd.nist.gov/vuln/detail/CVE-2018-16862"/>
    <d v="2018-11-26T00:00:00"/>
    <s v="vv"/>
    <n v="0"/>
    <s v=""/>
    <s v=""/>
    <s v="3 Days"/>
    <m/>
    <m/>
    <s v="Fixed"/>
    <x v="4"/>
    <d v="2020-12-26T00:00:00"/>
    <m/>
    <x v="3"/>
    <s v="Unix"/>
    <e v="#N/A"/>
    <m/>
    <m/>
    <m/>
    <d v="2020-12-20T00:00:00"/>
    <e v="#N/A"/>
    <s v="Fixed"/>
    <x v="1"/>
    <x v="0"/>
    <x v="0"/>
  </r>
  <r>
    <s v="81.192.11.141/0/oracle_linux-cve-2018-1688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16884"/>
    <s v="Oracle Linux: (CVE-2018-16884) (Multiple Advisories): Unbreakable Enterprise kernel security update"/>
    <s v="A flaw was found in the Linux kernel's NFS41+ subsystem. NFS41+ shares mounted in different network namespaces at the same time can make bc_svc_process() use wrong back-channel IDs and cause a use-after-free vulnerability. Thus a malicious container user can cause a host kernel memory corruption and a system panic. Due to the nature of the flaw, privilege escalation cannot be fully ruled out."/>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6884] is not installed, no patches discovered._x000d__x000a__x000d__x000a__x000d__x000a_ * _x000d__x000a_      kernel-uek-firmware - version 4.1.12-94.3.9.el7uek is installed"/>
    <s v=""/>
    <s v="CVE-2018-16884"/>
    <s v="http://nvd.nist.gov/vuln/detail/CVE-2018-16884"/>
    <d v="2018-12-18T00:00:00"/>
    <s v="vv"/>
    <n v="0"/>
    <s v=""/>
    <s v=""/>
    <s v="3 Days"/>
    <m/>
    <m/>
    <s v="Fixed"/>
    <x v="4"/>
    <d v="2020-12-26T00:00:00"/>
    <m/>
    <x v="3"/>
    <s v="Unix"/>
    <e v="#N/A"/>
    <m/>
    <m/>
    <m/>
    <d v="2020-12-20T00:00:00"/>
    <e v="#N/A"/>
    <s v="Fixed"/>
    <x v="1"/>
    <x v="0"/>
    <x v="0"/>
  </r>
  <r>
    <s v="81.192.11.141/0/oracle_linux-cve-2018-1718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17182"/>
    <s v="Oracle Linux: (CVE-2018-17182) (Multiple Advisories): Unbreakable Enterprise kernel security update"/>
    <s v="An issue was discovered in the Linux kernel through 4.18.8. The vmacache_flush_all function in mm/vmacache.c mishandles sequence number overflows. An attacker can trigger a use-after-free (and possibly gain privileges) via certain thread creation, map, unmap, invalidation, and dereference operation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7182] is not installed, no patches discovered._x000d__x000a__x000d__x000a__x000d__x000a_ * _x000d__x000a_      kernel-uek-firmware - version 4.1.12-94.3.9.el7uek is installed"/>
    <s v=""/>
    <s v="CVE-2018-17182"/>
    <s v="http://nvd.nist.gov/vuln/detail/CVE-2018-17182"/>
    <d v="2018-09-19T00:00:00"/>
    <s v="vv"/>
    <n v="1"/>
    <s v="Expert"/>
    <s v="http://www.exploit-db.com/exploits/45497"/>
    <s v="3 Days"/>
    <m/>
    <m/>
    <s v="Fixed"/>
    <x v="4"/>
    <d v="2020-12-26T00:00:00"/>
    <m/>
    <x v="3"/>
    <s v="Unix"/>
    <e v="#N/A"/>
    <m/>
    <m/>
    <m/>
    <d v="2020-12-20T00:00:00"/>
    <e v="#N/A"/>
    <s v="Fixed"/>
    <x v="1"/>
    <x v="0"/>
    <x v="0"/>
  </r>
  <r>
    <s v="81.192.11.141/0/oracle_linux-cve-2018-1797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17972"/>
    <s v="Oracle Linux: (CVE-2018-17972) (Multiple Advisories): kernel security and bug fix update"/>
    <s v="An issue was discovered in the proc_pid_stack function in fs/proc/base.c in the Linux kernel through 4.18.11. It does not ensure that only root may inspect the kernel stack of an arbitrary task, allowing a local attacker to exploit racy stack unwinding and leak kernel task stack content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7972] is not installed, no patches discovered._x000d__x000a__x000d__x000a__x000d__x000a_ * _x000d__x000a_      kernel-uek-firmware - version 4.1.12-94.3.9.el7uek is installed"/>
    <s v=""/>
    <s v="CVE-2018-17972"/>
    <s v="http://nvd.nist.gov/vuln/detail/CVE-2018-17972"/>
    <d v="2018-10-03T00:00:00"/>
    <s v="vv"/>
    <n v="0"/>
    <s v=""/>
    <s v=""/>
    <s v="3 Days"/>
    <m/>
    <m/>
    <s v="Fixed"/>
    <x v="4"/>
    <d v="2020-12-26T00:00:00"/>
    <m/>
    <x v="3"/>
    <s v="Unix"/>
    <e v="#N/A"/>
    <m/>
    <m/>
    <m/>
    <d v="2020-12-20T00:00:00"/>
    <e v="#N/A"/>
    <s v="Fixed"/>
    <x v="1"/>
    <x v="0"/>
    <x v="0"/>
  </r>
  <r>
    <s v="81.192.11.141/0/oracle_linux-cve-2018-1828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18281"/>
    <s v="Oracle Linux: (CVE-2018-18281) (Multiple Advisories): Unbreakable Enterprise kernel security update"/>
    <s v="Since Linux kernel version 3.2, the mremap() syscall performs TLB flushes after dropping pagetable locks. If a syscall such as ftruncate() removes entries from the pagetables of a task that is in the middle of mremap(), a stale TLB entry can remain for a short time that permits access to a physical page after it has been released back to the page allocator and reused. This is fixed in the following kernel versions: 4.9.135, 4.14.78, 4.18.16, 4.19."/>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8281] is not installed, no patches discovered._x000d__x000a__x000d__x000a__x000d__x000a_ * _x000d__x000a_      kernel-uek-firmware - version 4.1.12-94.3.9.el7uek is installed"/>
    <s v=""/>
    <s v="CVE-2018-18281"/>
    <s v="http://nvd.nist.gov/vuln/detail/CVE-2018-18281"/>
    <d v="2018-10-30T00:00:00"/>
    <s v="vv"/>
    <n v="0"/>
    <s v=""/>
    <s v=""/>
    <s v="3 Days"/>
    <m/>
    <m/>
    <s v="Fixed"/>
    <x v="4"/>
    <d v="2020-12-26T00:00:00"/>
    <m/>
    <x v="3"/>
    <s v="Unix"/>
    <e v="#N/A"/>
    <m/>
    <m/>
    <m/>
    <d v="2020-12-20T00:00:00"/>
    <e v="#N/A"/>
    <s v="Fixed"/>
    <x v="1"/>
    <x v="0"/>
    <x v="0"/>
  </r>
  <r>
    <s v="81.192.11.141/0/oracle_linux-cve-2018-1838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8-18386"/>
    <s v="Oracle Linux: (CVE-2018-18386) ELSA-2018-4307: Unbreakable Enterprise kernel security update"/>
    <s v="drivers/tty/n_tty.c in the Linux kernel before 4.14.11 allows local attackers (who are able to access pseudo terminals) to hang/block further usage of any pseudo terminal devices due to an EXTPROC versus ICANON confusion in TIOCINQ."/>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8386] is not installed, no patches discovered._x000d__x000a__x000d__x000a__x000d__x000a_ * _x000d__x000a_      kernel-uek-firmware - version 4.1.12-94.3.9.el7uek is installed"/>
    <s v=""/>
    <s v="CVE-2018-18386"/>
    <s v="http://nvd.nist.gov/vuln/detail/CVE-2018-18386"/>
    <d v="2018-10-17T00:00:00"/>
    <s v="vv"/>
    <n v="0"/>
    <s v=""/>
    <s v=""/>
    <s v="3 Days"/>
    <m/>
    <m/>
    <s v="Fixed"/>
    <x v="4"/>
    <d v="2020-12-26T00:00:00"/>
    <m/>
    <x v="3"/>
    <s v="Unix"/>
    <e v="#N/A"/>
    <m/>
    <m/>
    <m/>
    <d v="2020-12-20T00:00:00"/>
    <e v="#N/A"/>
    <s v="Fixed"/>
    <x v="1"/>
    <x v="0"/>
    <x v="0"/>
  </r>
  <r>
    <s v="81.192.11.141/0/oracle_linux-cve-2018-1839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8-18397"/>
    <s v="Oracle Linux: (CVE-2018-18397) (Multiple Advisories): Unbreakable Enterprise kernel security update"/>
    <s v="The userfaultfd implementation in the Linux kernel before 4.19.7 mishandles access control for certain UFFDIO_ ioctl calls, as demonstrated by allowing local users to write data into holes in a tmpfs file (if the user has read-only access to that file, and that file contains holes), related to fs/userfaultfd.c and mm/userfaultfd.c."/>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8397] is not installed, no patches discovered._x000d__x000a__x000d__x000a__x000d__x000a_ * _x000d__x000a_      kernel-uek-firmware - version 4.1.12-94.3.9.el7uek is installed"/>
    <s v=""/>
    <s v="CVE-2018-18397"/>
    <s v="http://nvd.nist.gov/vuln/detail/CVE-2018-18397"/>
    <d v="2018-12-12T00:00:00"/>
    <s v="vv"/>
    <n v="1"/>
    <s v="Expert"/>
    <s v="http://www.exploit-db.com/exploits/45983"/>
    <s v="3 Days"/>
    <m/>
    <m/>
    <s v="Fixed"/>
    <x v="4"/>
    <d v="2020-12-26T00:00:00"/>
    <m/>
    <x v="3"/>
    <s v="Unix"/>
    <e v="#N/A"/>
    <m/>
    <m/>
    <m/>
    <d v="2020-12-20T00:00:00"/>
    <e v="#N/A"/>
    <s v="Fixed"/>
    <x v="1"/>
    <x v="0"/>
    <x v="0"/>
  </r>
  <r>
    <s v="81.192.11.141/0/oracle_linux-cve-2018-1855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18559"/>
    <s v="Oracle Linux: (CVE-2018-18559) (Multiple Advisories): Unbreakable Enterprise kernel security update"/>
    <s v="In the Linux kernel through 4.19, a use-after-free can occur due to a race condition between fanout_add from setsockopt and bind on an AF_PACKET socket. This issue exists because of the 15fe076edea787807a7cdc168df832544b58eba6 incomplete fix for a race condition. The code mishandles a certain multithreaded case involving a packet_do_bind unregister action followed by a packet_notifier register action. Later, packet_release operates on only one of the two applicable linked lists. The attacker can achieve Program Counter control."/>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8559] is not installed, no patches discovered._x000d__x000a__x000d__x000a__x000d__x000a_ * _x000d__x000a_      kernel-uek-firmware - version 4.1.12-94.3.9.el7uek is installed"/>
    <s v=""/>
    <s v="CVE-2018-18559"/>
    <s v="http://nvd.nist.gov/vuln/detail/CVE-2018-18559"/>
    <d v="2018-10-22T00:00:00"/>
    <s v="vv"/>
    <n v="0"/>
    <s v=""/>
    <s v=""/>
    <s v="3 Days"/>
    <m/>
    <m/>
    <s v="Fixed"/>
    <x v="4"/>
    <d v="2020-12-26T00:00:00"/>
    <m/>
    <x v="3"/>
    <s v="Unix"/>
    <e v="#N/A"/>
    <m/>
    <m/>
    <m/>
    <d v="2020-12-20T00:00:00"/>
    <e v="#N/A"/>
    <s v="Fixed"/>
    <x v="1"/>
    <x v="0"/>
    <x v="0"/>
  </r>
  <r>
    <s v="81.192.11.141/0/oracle_linux-cve-2018-1869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18690"/>
    <s v="Oracle Linux: (CVE-2018-18690) ELSA-2018-4299: Unbreakable Enterprise kernel security update"/>
    <s v="In the Linux kernel before 4.17, a local attacker able to set attributes on an xfs filesystem could make this filesystem non-operational until the next mount by triggering an unchecked error condition during an xfs attribute change, because xfs_attr_shortform_addname in fs/xfs/libxfs/xfs_attr.c mishandles ATTR_REPLACE operations with conversion of an attr from short to long form."/>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8690] is not installed, no patches discovered._x000d__x000a__x000d__x000a__x000d__x000a_ * _x000d__x000a_      kernel-uek-firmware - version 4.1.12-94.3.9.el7uek is installed"/>
    <s v=""/>
    <s v="CVE-2018-18690"/>
    <s v="http://nvd.nist.gov/vuln/detail/CVE-2018-18690"/>
    <d v="2018-10-26T00:00:00"/>
    <s v="vv"/>
    <n v="0"/>
    <s v=""/>
    <s v=""/>
    <s v="3 Days"/>
    <m/>
    <m/>
    <s v="Fixed"/>
    <x v="4"/>
    <d v="2020-12-26T00:00:00"/>
    <m/>
    <x v="3"/>
    <s v="Unix"/>
    <e v="#N/A"/>
    <m/>
    <m/>
    <m/>
    <d v="2020-12-20T00:00:00"/>
    <e v="#N/A"/>
    <s v="Fixed"/>
    <x v="1"/>
    <x v="0"/>
    <x v="0"/>
  </r>
  <r>
    <s v="81.192.11.141/0/oracle_linux-cve-2018-1871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8-18710"/>
    <s v="Oracle Linux: (CVE-2018-18710) (Multiple Advisories): Unbreakable Enterprise kernel security update"/>
    <s v="An issue was discovered in the Linux kernel through 4.19. An information leak in cdrom_ioctl_select_disc in drivers/cdrom/cdrom.c could be used by local attackers to read kernel memory because a cast from unsigned long to int interferes with bounds checking. This is similar to CVE-2018-10940 and CVE-2018-16658."/>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8710] is not installed, no patches discovered._x000d__x000a__x000d__x000a__x000d__x000a_ * _x000d__x000a_      kernel-uek-firmware - version 4.1.12-94.3.9.el7uek is installed"/>
    <s v=""/>
    <s v="CVE-2018-18710"/>
    <s v="http://nvd.nist.gov/vuln/detail/CVE-2018-18710"/>
    <d v="2018-10-29T00:00:00"/>
    <s v="vv"/>
    <n v="0"/>
    <s v=""/>
    <s v=""/>
    <s v="3 Days"/>
    <m/>
    <m/>
    <s v="Fixed"/>
    <x v="4"/>
    <d v="2020-12-26T00:00:00"/>
    <m/>
    <x v="3"/>
    <s v="Unix"/>
    <e v="#N/A"/>
    <m/>
    <m/>
    <m/>
    <d v="2020-12-20T00:00:00"/>
    <e v="#N/A"/>
    <s v="Fixed"/>
    <x v="1"/>
    <x v="0"/>
    <x v="0"/>
  </r>
  <r>
    <s v="81.192.11.141/0/oracle_linux-cve-2018-1982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19824"/>
    <s v="Oracle Linux: (CVE-2018-19824) (Multiple Advisories): kernel security and bug fix update"/>
    <s v="In the Linux kernel through 4.19.6, a local user could exploit a use-after-free in the ALSA driver by supplying a malicious USB Sound device (with zero interfaces) that is mishandled in usb_audio_probe in sound/usb/card.c."/>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9824] is not installed, no patches discovered._x000d__x000a__x000d__x000a__x000d__x000a_ * _x000d__x000a_      kernel-uek-firmware - version 4.1.12-94.3.9.el7uek is installed"/>
    <s v=""/>
    <s v="CVE-2018-19824"/>
    <s v="http://nvd.nist.gov/vuln/detail/CVE-2018-19824"/>
    <d v="2018-12-03T00:00:00"/>
    <s v="vv"/>
    <n v="0"/>
    <s v=""/>
    <s v=""/>
    <s v="3 Days"/>
    <m/>
    <m/>
    <s v="Fixed"/>
    <x v="4"/>
    <d v="2020-12-26T00:00:00"/>
    <m/>
    <x v="3"/>
    <s v="Unix"/>
    <e v="#N/A"/>
    <m/>
    <m/>
    <m/>
    <d v="2020-12-20T00:00:00"/>
    <e v="#N/A"/>
    <s v="Fixed"/>
    <x v="1"/>
    <x v="0"/>
    <x v="0"/>
  </r>
  <r>
    <s v="81.192.11.141/0/oracle_linux-cve-2018-1998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8-19985"/>
    <s v="Oracle Linux: (CVE-2018-19985) (Multiple Advisories): kernel security, bug fix, and enhancement update"/>
    <s v="The function hso_get_config_data in drivers/net/usb/hso.c in the Linux kernel through 4.19.8 reads if_num from the USB device (as a u8) and uses it to index a small array, resulting in an object out-of-bounds (OOB) read that potentially allows arbitrary read in the kernel address spa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19985] is not installed, no patches discovered._x000d__x000a__x000d__x000a__x000d__x000a_ * _x000d__x000a_      kernel-uek-firmware - version 4.1.12-94.3.9.el7uek is installed"/>
    <s v=""/>
    <s v="CVE-2018-19985"/>
    <s v="http://nvd.nist.gov/vuln/detail/CVE-2018-19985"/>
    <d v="2019-01-18T00:00:00"/>
    <s v="vv"/>
    <n v="0"/>
    <s v=""/>
    <s v=""/>
    <s v="3 Days"/>
    <m/>
    <m/>
    <s v="Fixed"/>
    <x v="4"/>
    <d v="2020-12-26T00:00:00"/>
    <m/>
    <x v="3"/>
    <s v="Unix"/>
    <e v="#N/A"/>
    <m/>
    <m/>
    <m/>
    <d v="2020-12-20T00:00:00"/>
    <e v="#N/A"/>
    <s v="Fixed"/>
    <x v="1"/>
    <x v="0"/>
    <x v="0"/>
  </r>
  <r>
    <s v="81.192.11.141/0/oracle_linux-cve-2018-2016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20169"/>
    <s v="Oracle Linux: (CVE-2018-20169) (Multiple Advisories): kernel security, bug fix, and enhancement update"/>
    <s v="An issue was discovered in the Linux kernel before 4.19.9. The USB subsystem mishandles size checks during the reading of an extra descriptor, related to __usb_get_extra_descriptor in drivers/usb/core/usb.c."/>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20169] is not installed, no patches discovered._x000d__x000a__x000d__x000a__x000d__x000a_ * _x000d__x000a_      kernel-uek-firmware - version 4.1.12-94.3.9.el7uek is installed"/>
    <s v=""/>
    <s v="CVE-2018-20169"/>
    <s v="http://nvd.nist.gov/vuln/detail/CVE-2018-20169"/>
    <d v="2018-12-17T00:00:00"/>
    <s v="vv"/>
    <n v="0"/>
    <s v=""/>
    <s v=""/>
    <s v="3 Days"/>
    <m/>
    <m/>
    <s v="Fixed"/>
    <x v="4"/>
    <d v="2020-12-26T00:00:00"/>
    <m/>
    <x v="3"/>
    <s v="Unix"/>
    <e v="#N/A"/>
    <m/>
    <m/>
    <m/>
    <d v="2020-12-20T00:00:00"/>
    <e v="#N/A"/>
    <s v="Fixed"/>
    <x v="1"/>
    <x v="0"/>
    <x v="0"/>
  </r>
  <r>
    <s v="81.192.11.141/0/oracle_linux-cve-2018-2083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9"/>
    <x v="3"/>
    <s v="oracle_linux-cve-2018-20836"/>
    <s v="Oracle Linux: (CVE-2018-20836) (Multiple Advisories): kernel security, bug fix, and enhancement update"/>
    <s v="An issue was discovered in the Linux kernel before 4.20. There is a race condition in smp_task_timedout() and smp_task_done() in drivers/scsi/libsas/sas_expander.c, leading to a use-after-fre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20836] is not installed, no patches discovered._x000d__x000a__x000d__x000a__x000d__x000a_ * _x000d__x000a_      kernel-uek-firmware - version 4.1.12-94.3.9.el7uek is installed"/>
    <s v=""/>
    <s v="CVE-2018-20836"/>
    <s v="http://nvd.nist.gov/vuln/detail/CVE-2018-20836"/>
    <d v="2019-05-07T00:00:00"/>
    <s v="vv"/>
    <n v="0"/>
    <s v=""/>
    <s v=""/>
    <s v="3 Days"/>
    <m/>
    <m/>
    <s v="Fixed"/>
    <x v="4"/>
    <d v="2020-12-26T00:00:00"/>
    <m/>
    <x v="3"/>
    <s v="Unix"/>
    <e v="#N/A"/>
    <m/>
    <m/>
    <m/>
    <d v="2020-12-20T00:00:00"/>
    <e v="#N/A"/>
    <s v="Fixed"/>
    <x v="1"/>
    <x v="0"/>
    <x v="0"/>
  </r>
  <r>
    <s v="81.192.11.141/0/oracle_linux-cve-2018-2085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20856"/>
    <s v="Oracle Linux: (CVE-2018-20856) (Multiple Advisories): Unbreakable Enterprise kernel security update"/>
    <s v="An issue was discovered in the Linux kernel before 4.18.7. In block/blk-core.c, there is an __blk_drain_queue() use-after-free because a certain error case is mishandled."/>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20856] is not installed, no patches discovered._x000d__x000a__x000d__x000a__x000d__x000a_ * _x000d__x000a_      kernel-uek-firmware - version 4.1.12-94.3.9.el7uek is installed"/>
    <s v=""/>
    <s v="CVE-2018-20856"/>
    <s v="http://nvd.nist.gov/vuln/detail/CVE-2018-20856"/>
    <d v="2019-07-26T00:00:00"/>
    <s v="vv"/>
    <n v="0"/>
    <s v=""/>
    <s v=""/>
    <s v="3 Days"/>
    <m/>
    <m/>
    <s v="Fixed"/>
    <x v="4"/>
    <d v="2020-12-26T00:00:00"/>
    <m/>
    <x v="3"/>
    <s v="Unix"/>
    <e v="#N/A"/>
    <m/>
    <m/>
    <m/>
    <d v="2020-12-20T00:00:00"/>
    <e v="#N/A"/>
    <s v="Fixed"/>
    <x v="1"/>
    <x v="0"/>
    <x v="0"/>
  </r>
  <r>
    <s v="81.192.11.141/0/oracle_linux-cve-2018-362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3620"/>
    <s v="Oracle Linux: (CVE-2018-3620) (Multiple Advisories): kernel security update"/>
    <s v="Systems with microprocessors utilizing speculative execution and address translations may allow unauthorized disclosure of information residing in the L1 data cache to an attacker with local user access via a terminal page fault and a side-channel analysi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3620] is not installed, no patches discovered._x000d__x000a__x000d__x000a__x000d__x000a_ * _x000d__x000a_      kernel-uek-firmware - version 4.1.12-94.3.9.el7uek is installed"/>
    <s v=""/>
    <s v="CVE-2018-3620"/>
    <s v="http://nvd.nist.gov/vuln/detail/CVE-2018-3620"/>
    <d v="2018-08-15T00:00:00"/>
    <s v="vv"/>
    <n v="0"/>
    <s v=""/>
    <s v=""/>
    <s v="3 Days"/>
    <m/>
    <m/>
    <s v="Fixed"/>
    <x v="4"/>
    <d v="2020-12-26T00:00:00"/>
    <m/>
    <x v="3"/>
    <s v="Unix"/>
    <e v="#N/A"/>
    <m/>
    <m/>
    <m/>
    <d v="2020-12-20T00:00:00"/>
    <e v="#N/A"/>
    <s v="Fixed"/>
    <x v="1"/>
    <x v="0"/>
    <x v="0"/>
  </r>
  <r>
    <s v="81.192.11.141/0/oracle_linux-cve-2018-363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3639"/>
    <s v="Oracle Linux: (CVE-2018-3639) (Multiple Advisories): java-1.8.0-openjdk security update"/>
    <s v="Systems with microprocessors utilizing speculative execution and speculative execution of memory reads before the addresses of all prior memory writes are known may allow unauthorized disclosure of information to an attacker with local user access via a side-channel analysis, aka Speculative Store Bypass (SSB), Variant 4."/>
    <s v="* ivshmem-tools on Oracle Linux_x000d__x000a_      Upgrade ivshmem-tools_x000d__x000a__x000d__x000a_       Update ivshmem-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7.0-openjdk on Oracle Linux_x000d__x000a_      Upgrade java-1.7.0-openjdk_x000d__x000a__x000d__x000a_       Update java-1.7.0-openjd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7.0-openjdk-accessibility on Oracle Linux_x000d__x000a_      Upgrade java-1.7.0-openjdk-accessibility_x000d__x000a__x000d__x000a_       Update java-1.7.0-openjdk-accessibility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7.0-openjdk-demo on Oracle Linux_x000d__x000a_      Upgrade java-1.7.0-openjdk-demo_x000d__x000a__x000d__x000a_       Update java-1.7.0-openjdk-demo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7.0-openjdk-devel on Oracle Linux_x000d__x000a_      Upgrade java-1.7.0-openjdk-devel_x000d__x000a__x000d__x000a_       Update java-1.7.0-openjd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7.0-openjdk-headless on Oracle Linux_x000d__x000a_      Upgrade java-1.7.0-openjdk-headless_x000d__x000a__x000d__x000a_       Update java-1.7.0-openjdk-headles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7.0-openjdk-javadoc on Oracle Linux_x000d__x000a_      Upgrade java-1.7.0-openjdk-javadoc_x000d__x000a__x000d__x000a_       Update java-1.7.0-openjdk-java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7.0-openjdk-src on Oracle Linux_x000d__x000a_      Upgrade java-1.7.0-openjdk-src_x000d__x000a__x000d__x000a_       Update java-1.7.0-openjdk-sr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 on Oracle Linux_x000d__x000a_      Upgrade java-1.8.0-openjdk_x000d__x000a__x000d__x000a_       Update java-1.8.0-openjd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accessibility on Oracle Linux_x000d__x000a_      Upgrade java-1.8.0-openjdk-accessibility_x000d__x000a__x000d__x000a_       Update java-1.8.0-openjdk-accessibility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accessibility-debug on Oracle Linux_x000d__x000a_      Upgrade java-1.8.0-openjdk-accessibility-debug_x000d__x000a__x000d__x000a_       Update java-1.8.0-openjdk-accessibility-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debug on Oracle Linux_x000d__x000a_      Upgrade java-1.8.0-openjdk-debug_x000d__x000a__x000d__x000a_       Update java-1.8.0-openjd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demo on Oracle Linux_x000d__x000a_      Upgrade java-1.8.0-openjdk-demo_x000d__x000a__x000d__x000a_       Update java-1.8.0-openjdk-demo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demo-debug on Oracle Linux_x000d__x000a_      Upgrade java-1.8.0-openjdk-demo-debug_x000d__x000a__x000d__x000a_       Update java-1.8.0-openjdk-demo-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devel on Oracle Linux_x000d__x000a_      Upgrade java-1.8.0-openjdk-devel_x000d__x000a__x000d__x000a_       Update java-1.8.0-openjd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devel-debug on Oracle Linux_x000d__x000a_      Upgrade java-1.8.0-openjdk-devel-debug_x000d__x000a__x000d__x000a_       Update java-1.8.0-openjdk-dev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headless on Oracle Linux_x000d__x000a_      Upgrade java-1.8.0-openjdk-headless_x000d__x000a__x000d__x000a_       Update java-1.8.0-openjdk-headles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headless-debug on Oracle Linux_x000d__x000a_      Upgrade java-1.8.0-openjdk-headless-debug_x000d__x000a__x000d__x000a_       Update java-1.8.0-openjdk-headless-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javadoc on Oracle Linux_x000d__x000a_      Upgrade java-1.8.0-openjdk-javadoc_x000d__x000a__x000d__x000a_       Update java-1.8.0-openjdk-java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javadoc-debug on Oracle Linux_x000d__x000a_      Upgrade java-1.8.0-openjdk-javadoc-debug_x000d__x000a__x000d__x000a_       Update java-1.8.0-openjdk-javadoc-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javadoc-zip on Oracle Linux_x000d__x000a_      Upgrade java-1.8.0-openjdk-javadoc-zip_x000d__x000a__x000d__x000a_       Update java-1.8.0-openjdk-javadoc-zip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javadoc-zip-debug on Oracle Linux_x000d__x000a_      Upgrade java-1.8.0-openjdk-javadoc-zip-debug_x000d__x000a__x000d__x000a_       Update java-1.8.0-openjdk-javadoc-zip-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src on Oracle Linux_x000d__x000a_      Upgrade java-1.8.0-openjdk-src_x000d__x000a__x000d__x000a_       Update java-1.8.0-openjdk-sr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java-1.8.0-openjdk-src-debug on Oracle Linux_x000d__x000a_      Upgrade java-1.8.0-openjdk-src-debug_x000d__x000a__x000d__x000a_       Update java-1.8.0-openjdk-src-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 on Oracle Linux_x000d__x000a_      Upgrade libvirt_x000d__x000a__x000d__x000a_       Update libvir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admin on Oracle Linux_x000d__x000a_      Upgrade libvirt-admin_x000d__x000a__x000d__x000a_       Update libvirt-admi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client on Oracle Linux_x000d__x000a_      Upgrade libvirt-client_x000d__x000a__x000d__x000a_       Update libvirt-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 on Oracle Linux_x000d__x000a_      Upgrade libvirt-daemon_x000d__x000a__x000d__x000a_       Update libvirt-dae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etwork on Oracle Linux_x000d__x000a_      Upgrade libvirt-daemon-config-network_x000d__x000a__x000d__x000a_       Update libvirt-daemon-config-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wfilter on Oracle Linux_x000d__x000a_      Upgrade libvirt-daemon-config-nwfilter_x000d__x000a__x000d__x000a_       Update libvirt-daemon-config-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interface on Oracle Linux_x000d__x000a_      Upgrade libvirt-daemon-driver-interface_x000d__x000a__x000d__x000a_       Update libvirt-daemon-driver-interfac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lxc on Oracle Linux_x000d__x000a_      Upgrade libvirt-daemon-driver-lxc_x000d__x000a__x000d__x000a_       Update libvirt-daemon-driver-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etwork on Oracle Linux_x000d__x000a_      Upgrade libvirt-daemon-driver-network_x000d__x000a__x000d__x000a_       Update libvirt-daemon-driver-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odedev on Oracle Linux_x000d__x000a_      Upgrade libvirt-daemon-driver-nodedev_x000d__x000a__x000d__x000a_       Update libvirt-daemon-driver-nodedev using yum or up2date. Please note that customers with support can use the  Unbreakable Linux Network (ULN) (https://linux.oracle.com) , and customers without support can use the  publicly available Oracle Linux yum reposit"/>
    <s v="Vulnerable OS: Oracle Linux 7.9_x000d__x000a__x000d__x000a__x000d__x000a_Vulnerable software installed: Linux kernel-uek 4.1.12-94.3.9.el7uek_x000d__x000a__x000d__x000a_ * Required patch [CVE-2018-3639] is not installed, no patches discovered._x000d__x000a__x000d__x000a__x000d__x000a_ * _x000d__x000a_      kernel-uek-firmware - version 4.1.12-94.3.9.el7uek is installed"/>
    <s v=""/>
    <s v="CVE-2018-3639"/>
    <s v="http://nvd.nist.gov/vuln/detail/CVE-2018-3639"/>
    <d v="2018-05-21T00:00:00"/>
    <s v="vv"/>
    <n v="1"/>
    <s v="Expert"/>
    <s v="http://www.exploit-db.com/exploits/44695"/>
    <s v="3 Days"/>
    <m/>
    <m/>
    <s v="Fixed"/>
    <x v="4"/>
    <d v="2020-12-26T00:00:00"/>
    <m/>
    <x v="3"/>
    <s v="Unix"/>
    <e v="#N/A"/>
    <m/>
    <m/>
    <m/>
    <d v="2020-12-20T00:00:00"/>
    <e v="#N/A"/>
    <s v="Fixed"/>
    <x v="1"/>
    <x v="0"/>
    <x v="0"/>
  </r>
  <r>
    <s v="81.192.11.141/0/oracle_linux-cve-2018-364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3646"/>
    <s v="Oracle Linux: (CVE-2018-3646) (Multiple Advisories): Unbreakable Enterprise kernel security update"/>
    <s v="Systems with microprocessors utilizing speculative execution and address translations may allow unauthorized disclosure of information residing in the L1 data cache to an attacker with local user access with guest OS privilege via a terminal page fault and a side-channel analysi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3646] is not installed, no patches discovered._x000d__x000a__x000d__x000a__x000d__x000a_ * _x000d__x000a_      kernel-uek-firmware - version 4.1.12-94.3.9.el7uek is installed"/>
    <s v=""/>
    <s v="CVE-2018-3646"/>
    <s v="http://nvd.nist.gov/vuln/detail/CVE-2018-3646"/>
    <d v="2018-08-15T00:00:00"/>
    <s v="vv"/>
    <n v="0"/>
    <s v=""/>
    <s v=""/>
    <s v="3 Days"/>
    <m/>
    <m/>
    <s v="Fixed"/>
    <x v="4"/>
    <d v="2020-12-26T00:00:00"/>
    <m/>
    <x v="3"/>
    <s v="Unix"/>
    <e v="#N/A"/>
    <m/>
    <m/>
    <m/>
    <d v="2020-12-20T00:00:00"/>
    <e v="#N/A"/>
    <s v="Fixed"/>
    <x v="1"/>
    <x v="0"/>
    <x v="0"/>
  </r>
  <r>
    <s v="81.192.11.141/0/oracle_linux-cve-2018-366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3665"/>
    <s v="Oracle Linux: (CVE-2018-3665) (Multiple Advisories): Unbreakable Enterprise kernel security update"/>
    <s v="System software utilizing Lazy FP state restore technique on systems using Intel Core-based microprocessors may potentially allow a local process to infer data from another process through a speculative execution side channel."/>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3665] is not installed, no patches discovered._x000d__x000a__x000d__x000a__x000d__x000a_ * _x000d__x000a_      kernel-uek-firmware - version 4.1.12-94.3.9.el7uek is installed"/>
    <s v=""/>
    <s v="CVE-2018-3665"/>
    <s v="http://nvd.nist.gov/vuln/detail/CVE-2018-3665"/>
    <d v="2018-06-14T00:00:00"/>
    <s v="vv"/>
    <n v="0"/>
    <s v=""/>
    <s v=""/>
    <s v="3 Days"/>
    <m/>
    <m/>
    <s v="Fixed"/>
    <x v="4"/>
    <d v="2020-12-26T00:00:00"/>
    <m/>
    <x v="3"/>
    <s v="Unix"/>
    <e v="#N/A"/>
    <m/>
    <m/>
    <m/>
    <d v="2020-12-20T00:00:00"/>
    <e v="#N/A"/>
    <s v="Fixed"/>
    <x v="1"/>
    <x v="0"/>
    <x v="0"/>
  </r>
  <r>
    <s v="81.192.11.141/0/oracle_linux-cve-2018-533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5332"/>
    <s v="Oracle Linux: (CVE-2018-5332) (Multiple Advisories): Unbreakable Enterprise kernel security update"/>
    <s v="In the Linux kernel through 4.14.13, the rds_message_alloc_sgs() function does not validate a value that is used during DMA page allocation, leading to a heap-based out-of-bounds write (related to the rds_rdma_extra_size function in net/rds/rdma.c)."/>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5332] is not installed, no patches discovered._x000d__x000a__x000d__x000a__x000d__x000a_ * _x000d__x000a_      kernel-uek-firmware - version 4.1.12-94.3.9.el7uek is installed"/>
    <s v=""/>
    <s v="CVE-2018-5332"/>
    <s v="http://nvd.nist.gov/vuln/detail/CVE-2018-5332"/>
    <d v="2018-01-11T00:00:00"/>
    <s v="vv"/>
    <n v="0"/>
    <s v=""/>
    <s v=""/>
    <s v="3 Days"/>
    <m/>
    <m/>
    <s v="Fixed"/>
    <x v="4"/>
    <d v="2020-12-26T00:00:00"/>
    <m/>
    <x v="3"/>
    <s v="Unix"/>
    <e v="#N/A"/>
    <m/>
    <m/>
    <m/>
    <d v="2020-12-20T00:00:00"/>
    <e v="#N/A"/>
    <s v="Fixed"/>
    <x v="1"/>
    <x v="0"/>
    <x v="0"/>
  </r>
  <r>
    <s v="81.192.11.141/0/oracle_linux-cve-2018-533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5333"/>
    <s v="Oracle Linux: (CVE-2018-5333) (Multiple Advisories): Unbreakable Enterprise kernel security update"/>
    <s v="In the Linux kernel through 4.14.13, the rds_cmsg_atomic function in net/rds/rdma.c mishandles cases where page pinning fails or an invalid address is supplied, leading to an rds_atomic_free_op NULL pointer dereferen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5333] is not installed, no patches discovered._x000d__x000a__x000d__x000a__x000d__x000a_ * _x000d__x000a_      kernel-uek-firmware - version 4.1.12-94.3.9.el7uek is installed"/>
    <s v=""/>
    <s v="CVE-2018-5333"/>
    <s v="http://nvd.nist.gov/vuln/detail/CVE-2018-5333"/>
    <d v="2018-01-11T00:00:00"/>
    <s v="vv"/>
    <n v="1"/>
    <s v="Intermediate"/>
    <s v="http://www.rapid7.com/db/modules/exploit/linux/local/rds_atomic_free_op_null_pointer_deref_priv_esc"/>
    <s v="3 Days"/>
    <m/>
    <m/>
    <s v="Fixed"/>
    <x v="4"/>
    <d v="2020-12-26T00:00:00"/>
    <m/>
    <x v="3"/>
    <s v="Unix"/>
    <e v="#N/A"/>
    <m/>
    <m/>
    <m/>
    <d v="2020-12-20T00:00:00"/>
    <e v="#N/A"/>
    <s v="Fixed"/>
    <x v="1"/>
    <x v="0"/>
    <x v="0"/>
  </r>
  <r>
    <s v="81.192.11.141/0/oracle_linux-cve-2018-539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8"/>
    <x v="2"/>
    <s v="oracle_linux-cve-2018-5390"/>
    <s v="Oracle Linux: (CVE-2018-5390) (Multiple Advisories): kernel security and bug fix update"/>
    <s v="Linux kernel versions 4.9+ can be forced to make very expensive calls to tcp_collapse_ofo_queue() and tcp_prune_ofo_queue() for every incoming packet which can lead to a denial of servic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5390] is not installed, no patches discovered._x000d__x000a__x000d__x000a__x000d__x000a_ * _x000d__x000a_      kernel-uek-firmware - version 4.1.12-94.3.9.el7uek is installed"/>
    <s v=""/>
    <s v="CVE-2018-5390"/>
    <s v="http://nvd.nist.gov/vuln/detail/CVE-2018-5390"/>
    <d v="2018-08-06T00:00:00"/>
    <s v="vv"/>
    <n v="0"/>
    <s v=""/>
    <s v=""/>
    <s v="3 Days"/>
    <m/>
    <m/>
    <s v="Fixed"/>
    <x v="4"/>
    <d v="2020-12-26T00:00:00"/>
    <m/>
    <x v="3"/>
    <s v="Unix"/>
    <e v="#N/A"/>
    <m/>
    <m/>
    <m/>
    <d v="2020-12-20T00:00:00"/>
    <e v="#N/A"/>
    <s v="Fixed"/>
    <x v="1"/>
    <x v="0"/>
    <x v="0"/>
  </r>
  <r>
    <s v="81.192.11.141/0/oracle_linux-cve-2018-539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8"/>
    <x v="2"/>
    <s v="oracle_linux-cve-2018-5391"/>
    <s v="Oracle Linux: (CVE-2018-5391) (Multiple Advisories): kernel security, bug fix, and enhancement update"/>
    <s v="The Linux kernel, versions 3.9+, is vulnerable to a denial of service attack with low rates of specially modified packets targeting IP fragment re-assembly. An attacker may cause a denial of service condition by sending specially crafted IP fragments. Various vulnerabilities in IP fragmentation have been discovered and fixed over the years. The current vulnerability (CVE-2018-5391) became exploitable in the Linux kernel with the increase of the IP fragment reassembly queue siz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5391] is not installed, no patches discovered._x000d__x000a__x000d__x000a__x000d__x000a_ * _x000d__x000a_      kernel-uek-firmware - version 4.1.12-94.3.9.el7uek is installed"/>
    <s v=""/>
    <s v="CVE-2018-5391"/>
    <s v="http://nvd.nist.gov/vuln/detail/CVE-2018-5391"/>
    <d v="2018-08-14T00:00:00"/>
    <s v="vv"/>
    <n v="0"/>
    <s v=""/>
    <s v=""/>
    <s v="3 Days"/>
    <m/>
    <m/>
    <s v="Fixed"/>
    <x v="4"/>
    <d v="2020-12-26T00:00:00"/>
    <m/>
    <x v="3"/>
    <s v="Unix"/>
    <e v="#N/A"/>
    <m/>
    <m/>
    <m/>
    <d v="2020-12-20T00:00:00"/>
    <e v="#N/A"/>
    <s v="Fixed"/>
    <x v="1"/>
    <x v="0"/>
    <x v="0"/>
  </r>
  <r>
    <s v="81.192.11.141/0/oracle_linux-cve-2018-575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8-5750"/>
    <s v="Oracle Linux: (CVE-2018-5750) (Multiple Advisories): Unbreakable Enterprise kernel security update"/>
    <s v="The acpi_smbus_hc_add function in drivers/acpi/sbshc.c in the Linux kernel through 4.14.15 allows local users to obtain sensitive address information by reading dmesg data from an SBS HC printk call."/>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5750] is not installed, no patches discovered._x000d__x000a__x000d__x000a__x000d__x000a_ * _x000d__x000a_      kernel-uek-firmware - version 4.1.12-94.3.9.el7uek is installed"/>
    <s v=""/>
    <s v="CVE-2018-5750"/>
    <s v="http://nvd.nist.gov/vuln/detail/CVE-2018-5750"/>
    <d v="2018-01-26T00:00:00"/>
    <s v="vv"/>
    <n v="0"/>
    <s v=""/>
    <s v=""/>
    <s v="3 Days"/>
    <m/>
    <m/>
    <s v="Fixed"/>
    <x v="4"/>
    <d v="2020-12-26T00:00:00"/>
    <m/>
    <x v="3"/>
    <s v="Unix"/>
    <e v="#N/A"/>
    <m/>
    <m/>
    <m/>
    <d v="2020-12-20T00:00:00"/>
    <e v="#N/A"/>
    <s v="Fixed"/>
    <x v="1"/>
    <x v="0"/>
    <x v="0"/>
  </r>
  <r>
    <s v="81.192.11.141/0/oracle_linux-cve-2018-580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5803"/>
    <s v="Oracle Linux: (CVE-2018-5803) (Multiple Advisories): kernel security, bug fix, and enhancement update"/>
    <s v="In the Linux Kernel before version 4.15.8, 4.14.25, 4.9.87, 4.4.121, 4.1.51, and 3.2.102, an error in the &quot;_sctp_make_chunk()&quot; function (net/sctp/sm_make_chunk.c) when handling SCTP packets length can be exploited to cause a kernel crash."/>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5803] is not installed, no patches discovered._x000d__x000a__x000d__x000a__x000d__x000a_ * _x000d__x000a_      kernel-uek-firmware - version 4.1.12-94.3.9.el7uek is installed"/>
    <s v=""/>
    <s v="CVE-2018-5803"/>
    <s v="http://nvd.nist.gov/vuln/detail/CVE-2018-5803"/>
    <d v="2018-05-01T00:00:00"/>
    <s v="vv"/>
    <n v="0"/>
    <s v=""/>
    <s v=""/>
    <s v="3 Days"/>
    <m/>
    <m/>
    <s v="Fixed"/>
    <x v="4"/>
    <d v="2020-12-26T00:00:00"/>
    <m/>
    <x v="3"/>
    <s v="Unix"/>
    <e v="#N/A"/>
    <m/>
    <m/>
    <m/>
    <d v="2020-12-20T00:00:00"/>
    <e v="#N/A"/>
    <s v="Fixed"/>
    <x v="1"/>
    <x v="0"/>
    <x v="0"/>
  </r>
  <r>
    <s v="81.192.11.141/0/oracle_linux-cve-2018-587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5873"/>
    <s v="Oracle Linux: (CVE-2018-5873) ELSA-2018-4227: Unbreakable Enterprise kernel security update"/>
    <s v="An issue was discovered in the __ns_get_path function in fs/nsfs.c in the Linux kernel before 4.11. Due to a race condition when accessing files, a Use After Free condition can occur. This also affects all Android releases from CAF using the Linux kernel (Android for MSM, Firefox OS for MSM, QRD Android) before security patch level 2018-07-05."/>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5873] is not installed, no patches discovered._x000d__x000a__x000d__x000a__x000d__x000a_ * _x000d__x000a_      kernel-uek-firmware - version 4.1.12-94.3.9.el7uek is installed"/>
    <s v=""/>
    <s v="CVE-2018-5873"/>
    <s v="http://nvd.nist.gov/vuln/detail/CVE-2018-5873"/>
    <d v="2018-07-06T00:00:00"/>
    <s v="vv"/>
    <n v="0"/>
    <s v=""/>
    <s v=""/>
    <s v="3 Days"/>
    <m/>
    <m/>
    <s v="Fixed"/>
    <x v="4"/>
    <d v="2020-12-26T00:00:00"/>
    <m/>
    <x v="3"/>
    <s v="Unix"/>
    <e v="#N/A"/>
    <m/>
    <m/>
    <m/>
    <d v="2020-12-20T00:00:00"/>
    <e v="#N/A"/>
    <s v="Fixed"/>
    <x v="1"/>
    <x v="0"/>
    <x v="0"/>
  </r>
  <r>
    <s v="81.192.11.141/0/oracle_linux-cve-2018-595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8-5953"/>
    <s v="Oracle Linux: (CVE-2018-5953) (Multiple Advisories): Unbreakable Enterprise kernel security update"/>
    <s v="The swiotlb_print_info function in lib/swiotlb.c in the Linux kernel through 4.14.14 allows local users to obtain sensitive address information by reading dmesg data from a &quot;software IO TLB&quot; printk call."/>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5953] is not installed, no patches discovered._x000d__x000a__x000d__x000a__x000d__x000a_ * _x000d__x000a_      kernel-uek-firmware - version 4.1.12-94.3.9.el7uek is installed"/>
    <s v=""/>
    <s v="CVE-2018-5953"/>
    <s v="http://nvd.nist.gov/vuln/detail/CVE-2018-5953"/>
    <d v="2018-08-07T00:00:00"/>
    <s v="vv"/>
    <n v="0"/>
    <s v=""/>
    <s v=""/>
    <s v="3 Days"/>
    <m/>
    <m/>
    <s v="Fixed"/>
    <x v="4"/>
    <d v="2020-12-26T00:00:00"/>
    <m/>
    <x v="3"/>
    <s v="Unix"/>
    <e v="#N/A"/>
    <m/>
    <m/>
    <m/>
    <d v="2020-12-20T00:00:00"/>
    <e v="#N/A"/>
    <s v="Fixed"/>
    <x v="1"/>
    <x v="0"/>
    <x v="0"/>
  </r>
  <r>
    <s v="81.192.11.141/0/oracle_linux-cve-2018-692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6927"/>
    <s v="Oracle Linux: (CVE-2018-6927) (Multiple Advisories): Unbreakable Enterprise kernel security update"/>
    <s v="The futex_requeue function in kernel/futex.c in the Linux kernel before 4.14.15 might allow attackers to cause a denial of service (integer overflow) or possibly have unspecified other impact by triggering a negative wake or requeue valu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abi-whitelists on Oracle Linux_x000d__x000a_      Upgrade kernel-abi-whitelists_x000d__x000a__x000d__x000a_       Update kernel-abi-whiteli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 on Oracle Linux_x000d__x000a_      Upgrade kernel-debug_x000d__x000a__x000d__x000a_       Update kernel-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bug-devel on Oracle Linux_x000d__x000a_      Upgrade kernel-debug-devel_x000d__x000a__x000d__x000a_       Update kernel-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evel on Oracle Linux_x000d__x000a_      Upgrade kernel-devel_x000d__x000a__x000d__x000a_       Update kerne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doc on Oracle Linux_x000d__x000a_      Upgrade kernel-doc_x000d__x000a__x000d__x000a_       Update kernel-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headers on Oracle Linux_x000d__x000a_      Upgrade kernel-headers_x000d__x000a__x000d__x000a_       Update kernel-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 on Oracle Linux_x000d__x000a_      Upgrade kernel-tools_x000d__x000a__x000d__x000a_       Update kernel-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 on Oracle Linux_x000d__x000a_      Upgrade kernel-tools-libs_x000d__x000a__x000d__x000a_       Update kernel-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tools-libs-devel on Oracle Linux_x000d__x000a_      Upgrade kernel-tools-libs-devel_x000d__x000a__x000d__x000a_       Update kernel-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6927] is not installed, no patches discovered._x000d__x000a__x000d__x000a__x000d__x000a_ * _x000d__x000a_      kernel-uek-firmware - version 4.1.12-94.3.9.el7uek is installed"/>
    <s v=""/>
    <s v="CVE-2018-6927"/>
    <s v="http://nvd.nist.gov/vuln/detail/CVE-2018-6927"/>
    <d v="2018-02-12T00:00:00"/>
    <s v="vv"/>
    <n v="0"/>
    <s v=""/>
    <s v=""/>
    <s v="3 Days"/>
    <m/>
    <m/>
    <s v="Fixed"/>
    <x v="4"/>
    <d v="2020-12-26T00:00:00"/>
    <m/>
    <x v="3"/>
    <s v="Unix"/>
    <e v="#N/A"/>
    <m/>
    <m/>
    <m/>
    <d v="2020-12-20T00:00:00"/>
    <e v="#N/A"/>
    <s v="Fixed"/>
    <x v="1"/>
    <x v="0"/>
    <x v="0"/>
  </r>
  <r>
    <s v="81.192.11.141/0/oracle_linux-cve-2018-719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7191"/>
    <s v="Oracle Linux: (CVE-2018-7191) (Multiple Advisories): kernel security, bug fix, and enhancement update"/>
    <s v="In the tun subsystem in the Linux kernel before 4.13.14, dev_get_valid_name is not called before register_netdevice. This allows local users to cause a denial of service (NULL pointer dereference and panic) via an ioctl(TUNSETIFF) call with a dev name containing a / character. This is similar to CVE-2013-4343."/>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7191] is not installed, no patches discovered._x000d__x000a__x000d__x000a__x000d__x000a_ * _x000d__x000a_      kernel-uek-firmware - version 4.1.12-94.3.9.el7uek is installed"/>
    <s v=""/>
    <s v="CVE-2018-7191"/>
    <s v="http://nvd.nist.gov/vuln/detail/CVE-2018-7191"/>
    <d v="2019-05-17T00:00:00"/>
    <s v="vv"/>
    <n v="0"/>
    <s v=""/>
    <s v=""/>
    <s v="3 Days"/>
    <m/>
    <m/>
    <s v="Fixed"/>
    <x v="4"/>
    <d v="2020-12-26T00:00:00"/>
    <m/>
    <x v="3"/>
    <s v="Unix"/>
    <e v="#N/A"/>
    <m/>
    <m/>
    <m/>
    <d v="2020-12-20T00:00:00"/>
    <e v="#N/A"/>
    <s v="Fixed"/>
    <x v="1"/>
    <x v="0"/>
    <x v="0"/>
  </r>
  <r>
    <s v="81.192.11.141/0/oracle_linux-cve-2018-756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7566"/>
    <s v="Oracle Linux: (CVE-2018-7566) (Multiple Advisories): Unbreakable Enterprise kernel security update"/>
    <s v="The Linux kernel 4.15 has a Buffer Overflow via an SNDRV_SEQ_IOCTL_SET_CLIENT_POOL ioctl write operation to /dev/snd/seq by a local use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7566] is not installed, no patches discovered._x000d__x000a__x000d__x000a__x000d__x000a_ * _x000d__x000a_      kernel-uek-firmware - version 4.1.12-94.3.9.el7uek is installed"/>
    <s v=""/>
    <s v="CVE-2018-7566"/>
    <s v="http://nvd.nist.gov/vuln/detail/CVE-2018-7566"/>
    <d v="2018-03-30T00:00:00"/>
    <s v="vv"/>
    <n v="0"/>
    <s v=""/>
    <s v=""/>
    <s v="3 Days"/>
    <m/>
    <m/>
    <s v="Fixed"/>
    <x v="4"/>
    <d v="2020-12-26T00:00:00"/>
    <m/>
    <x v="3"/>
    <s v="Unix"/>
    <e v="#N/A"/>
    <m/>
    <m/>
    <m/>
    <d v="2020-12-20T00:00:00"/>
    <e v="#N/A"/>
    <s v="Fixed"/>
    <x v="1"/>
    <x v="0"/>
    <x v="0"/>
  </r>
  <r>
    <s v="81.192.11.141/0/oracle_linux-cve-2018-775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8-7755"/>
    <s v="Oracle Linux: (CVE-2018-7755) (Multiple Advisories): kernel security, bug fix, and enhancement update"/>
    <s v="An issue was discovered in the fd_locked_ioctl function in drivers/block/floppy.c in the Linux kernel through 4.15.7. The floppy driver will copy a kernel pointer to user memory in response to the FDGETPRM ioctl. An attacker can send the FDGETPRM ioctl and use the obtained kernel pointer to discover the location of kernel code and data and bypass kernel security protections such as KASL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7755] is not installed, no patches discovered._x000d__x000a__x000d__x000a__x000d__x000a_ * _x000d__x000a_      kernel-uek-firmware - version 4.1.12-94.3.9.el7uek is installed"/>
    <s v=""/>
    <s v="CVE-2018-7755"/>
    <s v="http://nvd.nist.gov/vuln/detail/CVE-2018-7755"/>
    <d v="2018-03-08T00:00:00"/>
    <s v="vv"/>
    <n v="0"/>
    <s v=""/>
    <s v=""/>
    <s v="3 Days"/>
    <m/>
    <m/>
    <s v="Fixed"/>
    <x v="4"/>
    <d v="2020-12-26T00:00:00"/>
    <m/>
    <x v="3"/>
    <s v="Unix"/>
    <e v="#N/A"/>
    <m/>
    <m/>
    <m/>
    <d v="2020-12-20T00:00:00"/>
    <e v="#N/A"/>
    <s v="Fixed"/>
    <x v="1"/>
    <x v="0"/>
    <x v="0"/>
  </r>
  <r>
    <s v="81.192.11.141/0/oracle_linux-cve-2018-775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8-7757"/>
    <s v="Oracle Linux: (CVE-2018-7757) (Multiple Advisories): Unbreakable Enterprise kernel security update"/>
    <s v="Memory leak in the sas_smp_get_phy_events function in drivers/scsi/libsas/sas_expander.c in the Linux kernel through 4.15.7 allows local users to cause a denial of service (memory consumption) via many read accesses to files in the /sys/class/sas_phy directory, as demonstrated by the /sys/class/sas_phy/phy-1:0:12/invalid_dword_count fil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7757] is not installed, no patches discovered._x000d__x000a__x000d__x000a__x000d__x000a_ * _x000d__x000a_      kernel-uek-firmware - version 4.1.12-94.3.9.el7uek is installed"/>
    <s v=""/>
    <s v="CVE-2018-7757"/>
    <s v="http://nvd.nist.gov/vuln/detail/CVE-2018-7757"/>
    <d v="2018-03-08T00:00:00"/>
    <s v="vv"/>
    <n v="0"/>
    <s v=""/>
    <s v=""/>
    <s v="3 Days"/>
    <m/>
    <m/>
    <s v="Fixed"/>
    <x v="4"/>
    <d v="2020-12-26T00:00:00"/>
    <m/>
    <x v="3"/>
    <s v="Unix"/>
    <e v="#N/A"/>
    <m/>
    <m/>
    <m/>
    <d v="2020-12-20T00:00:00"/>
    <e v="#N/A"/>
    <s v="Fixed"/>
    <x v="1"/>
    <x v="0"/>
    <x v="0"/>
  </r>
  <r>
    <s v="81.192.11.141/0/oracle_linux-cve-2018-799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7995"/>
    <s v="Oracle Linux: (CVE-2018-7995) (Multiple Advisories): Unbreakable Enterprise kernel security update"/>
    <s v="** DISPUTED ** Race condition in the store_int_with_restart() function in arch/x86/kernel/cpu/mcheck/mce.c in the Linux kernel through 4.15.7 allows local users to cause a denial of service (panic) by leveraging root access to write to the check_interval file in a /sys/devices/system/machinecheck/machinecheck&lt;cpu number&gt; directory. NOTE: a third party has indicated that this report is not security relevant."/>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7995] is not installed, no patches discovered._x000d__x000a__x000d__x000a__x000d__x000a_ * _x000d__x000a_      kernel-uek-firmware - version 4.1.12-94.3.9.el7uek is installed"/>
    <s v=""/>
    <s v="CVE-2018-7995"/>
    <s v="http://nvd.nist.gov/vuln/detail/CVE-2018-7995"/>
    <d v="2018-03-09T00:00:00"/>
    <s v="vv"/>
    <n v="0"/>
    <s v=""/>
    <s v=""/>
    <s v="3 Days"/>
    <m/>
    <m/>
    <s v="Fixed"/>
    <x v="4"/>
    <d v="2020-12-26T00:00:00"/>
    <m/>
    <x v="3"/>
    <s v="Unix"/>
    <e v="#N/A"/>
    <m/>
    <m/>
    <m/>
    <d v="2020-12-20T00:00:00"/>
    <e v="#N/A"/>
    <s v="Fixed"/>
    <x v="1"/>
    <x v="0"/>
    <x v="0"/>
  </r>
  <r>
    <s v="81.192.11.141/0/oracle_linux-cve-2018-804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8-8043"/>
    <s v="Oracle Linux: (CVE-2018-8043) (Multiple Advisories): Unbreakable Enterprise kernel security update"/>
    <s v="The unimac_mdio_probe function in drivers/net/phy/mdio-bcm-unimac.c in the Linux kernel through 4.15.8 does not validate certain resource availability, which allows local users to cause a denial of service (NULL pointer dereferenc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8043] is not installed, no patches discovered._x000d__x000a__x000d__x000a__x000d__x000a_ * _x000d__x000a_      kernel-uek-firmware - version 4.1.12-94.3.9.el7uek is installed"/>
    <s v=""/>
    <s v="CVE-2018-8043"/>
    <s v="http://nvd.nist.gov/vuln/detail/CVE-2018-8043"/>
    <d v="2018-03-10T00:00:00"/>
    <s v="vv"/>
    <n v="0"/>
    <s v=""/>
    <s v=""/>
    <s v="3 Days"/>
    <m/>
    <m/>
    <s v="Fixed"/>
    <x v="4"/>
    <d v="2020-12-26T00:00:00"/>
    <m/>
    <x v="3"/>
    <s v="Unix"/>
    <e v="#N/A"/>
    <m/>
    <m/>
    <m/>
    <d v="2020-12-20T00:00:00"/>
    <e v="#N/A"/>
    <s v="Fixed"/>
    <x v="1"/>
    <x v="0"/>
    <x v="0"/>
  </r>
  <r>
    <s v="81.192.11.141/0/oracle_linux-cve-2018-889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8897"/>
    <s v="Oracle Linux: (CVE-2018-8897) (Multiple Advisories): kernel security update"/>
    <s v="A statement in the System Programming Guide of the Intel 64 and IA-32 Architectures Software Developer's Manual (SDM) was mishandled in the development of some or all operating-system kernels, resulting in unexpected behavior for #DB exceptions that are deferred by MOV SS or POP SS, as demonstrated by (for example) privilege escalation in Windows, macOS, some Xen configurations, or FreeBSD, or a Linux kernel crash. The MOV to SS and POP SS instructions inhibit interrupts (including NMIs), data breakpoints, and single step trap exceptions until the instruction boundary following the next instruction (SDM Vol. 3A; section 6.8.3). (The inhibited data breakpoints are those on memory accessed by the MOV to SS or POP to SS instruction itself.) Note that debug exceptions are not inhibited by the interrupt enable (EFLAGS.IF) system flag (SDM Vol. 3A; section 2.3). If the instruction following the MOV to SS or POP to SS instruction is an instruction like SYSCALL, SYSENTER, INT 3, etc. that transfers control to the operating system at CPL &lt; 3, the debug exception is delivered after the transfer to CPL &lt; 3 is complete. OS kernels may not expect this order of events and may therefore experience unexpected behavior when it occur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8897] is not installed, no patches discovered._x000d__x000a__x000d__x000a__x000d__x000a_ * _x000d__x000a_      kernel-uek-firmware - version 4.1.12-94.3.9.el7uek is installed"/>
    <s v=""/>
    <s v="CVE-2018-8897"/>
    <s v="http://nvd.nist.gov/vuln/detail/CVE-2018-8897"/>
    <d v="2018-05-08T00:00:00"/>
    <s v="vv"/>
    <n v="2"/>
    <s v="Novice"/>
    <s v="http://www.rapid7.com/db/modules/exploit/windows/local/mov_ss,http://www.exploit-db.com/exploits/44697"/>
    <s v="3 Days"/>
    <m/>
    <m/>
    <s v="Fixed"/>
    <x v="4"/>
    <d v="2020-12-26T00:00:00"/>
    <m/>
    <x v="3"/>
    <s v="Unix"/>
    <e v="#N/A"/>
    <m/>
    <m/>
    <m/>
    <d v="2020-12-20T00:00:00"/>
    <e v="#N/A"/>
    <s v="Fixed"/>
    <x v="1"/>
    <x v="0"/>
    <x v="0"/>
  </r>
  <r>
    <s v="81.192.11.141/0/oracle_linux-cve-2018-936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9363"/>
    <s v="Oracle Linux: (CVE-2018-9363) (Multiple Advisories): kernel security, bug fix, and enhancement update"/>
    <s v="In the hidp_process_report in bluetooth, there is an integer overflow. This could lead to an out of bounds write with no additional execution privileges needed. User interaction is not needed for exploitation. Product: Android Versions: Android kernel Android ID: A-65853588 References: Upstream kernel."/>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9363] is not installed, no patches discovered._x000d__x000a__x000d__x000a__x000d__x000a_ * _x000d__x000a_      kernel-uek-firmware - version 4.1.12-94.3.9.el7uek is installed"/>
    <s v=""/>
    <s v="CVE-2018-9363"/>
    <s v="http://nvd.nist.gov/vuln/detail/CVE-2018-9363"/>
    <d v="2018-08-28T00:00:00"/>
    <s v="vv"/>
    <n v="0"/>
    <s v=""/>
    <s v=""/>
    <s v="3 Days"/>
    <m/>
    <m/>
    <s v="Fixed"/>
    <x v="4"/>
    <d v="2020-12-26T00:00:00"/>
    <m/>
    <x v="3"/>
    <s v="Unix"/>
    <e v="#N/A"/>
    <m/>
    <m/>
    <m/>
    <d v="2020-12-20T00:00:00"/>
    <e v="#N/A"/>
    <s v="Fixed"/>
    <x v="1"/>
    <x v="0"/>
    <x v="0"/>
  </r>
  <r>
    <s v="81.192.11.141/0/oracle_linux-cve-2018-941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8-9415"/>
    <s v="Oracle Linux: (CVE-2018-9415) ELSA-2020-5866: Unbreakable Enterprise kernel security update"/>
    <s v="In driver_override_store and driver_override_show of bus.c, there is a possible double free due to improper locking. This could lead to local escalation of privilege with System execution privileges needed. User interaction is not needed for exploitation. Product: Android Versions: Android kernel Android ID: A-69129004 References: Upstream kernel."/>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9415] is not installed, no patches discovered._x000d__x000a__x000d__x000a__x000d__x000a_ * _x000d__x000a_      kernel-uek-firmware - version 4.1.12-94.3.9.el7uek is installed"/>
    <s v=""/>
    <s v="CVE-2018-9415"/>
    <s v="http://nvd.nist.gov/vuln/detail/CVE-2018-9415"/>
    <d v="2018-08-24T00:00:00"/>
    <s v="vv"/>
    <n v="0"/>
    <s v=""/>
    <s v=""/>
    <s v="3 Days"/>
    <m/>
    <m/>
    <s v="Fixed"/>
    <x v="4"/>
    <d v="2020-12-26T00:00:00"/>
    <m/>
    <x v="3"/>
    <s v="Unix"/>
    <e v="#N/A"/>
    <m/>
    <m/>
    <m/>
    <d v="2020-12-20T00:00:00"/>
    <e v="#N/A"/>
    <s v="Fixed"/>
    <x v="1"/>
    <x v="0"/>
    <x v="0"/>
  </r>
  <r>
    <s v="81.192.11.141/0/oracle_linux-cve-2018-951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9516"/>
    <s v="Oracle Linux: (CVE-2018-9516) (Multiple Advisories): kernel security, bug fix, and enhancement update"/>
    <s v="In hid_debug_events_read of drivers/hid/hid-debug.c, there is a possible out of bounds write due to a missing bounds check. This could lead to local escalation of privilege with System execution privileges needed. User interaction is not needed for exploitation. Product: Android Versions: Android kernel Android ID: A-71361580."/>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9516] is not installed, no patches discovered._x000d__x000a__x000d__x000a__x000d__x000a_ * _x000d__x000a_      kernel-uek-firmware - version 4.1.12-94.3.9.el7uek is installed"/>
    <s v=""/>
    <s v="CVE-2018-9516"/>
    <s v="http://nvd.nist.gov/vuln/detail/CVE-2018-9516"/>
    <d v="2018-10-01T00:00:00"/>
    <s v="vv"/>
    <n v="0"/>
    <s v=""/>
    <s v=""/>
    <s v="3 Days"/>
    <m/>
    <m/>
    <s v="Fixed"/>
    <x v="4"/>
    <d v="2020-12-26T00:00:00"/>
    <m/>
    <x v="3"/>
    <s v="Unix"/>
    <e v="#N/A"/>
    <m/>
    <m/>
    <m/>
    <d v="2020-12-20T00:00:00"/>
    <e v="#N/A"/>
    <s v="Fixed"/>
    <x v="1"/>
    <x v="0"/>
    <x v="0"/>
  </r>
  <r>
    <s v="81.192.11.141/0/oracle_linux-cve-2018-956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8-9568"/>
    <s v="Oracle Linux: (CVE-2018-9568) (Multiple Advisories): kernel security, bug fix, and enhancement update"/>
    <s v="In sk_clone_lock of sock.c, there is a possible memory corruption due to type confusion. This could lead to local escalation of privilege with no additional execution privileges needed. User interaction is not needed for exploitation. Product: Android. Versions: Android kernel. Android ID: A-113509306. References: Upstream kernel."/>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8-9568] is not installed, no patches discovered._x000d__x000a__x000d__x000a__x000d__x000a_ * _x000d__x000a_      kernel-uek-firmware - version 4.1.12-94.3.9.el7uek is installed"/>
    <s v=""/>
    <s v="CVE-2018-9568"/>
    <s v="http://nvd.nist.gov/vuln/detail/CVE-2018-9568"/>
    <d v="2018-12-06T00:00:00"/>
    <s v="vv"/>
    <n v="0"/>
    <s v=""/>
    <s v=""/>
    <s v="3 Days"/>
    <m/>
    <m/>
    <s v="Fixed"/>
    <x v="4"/>
    <d v="2020-12-26T00:00:00"/>
    <m/>
    <x v="3"/>
    <s v="Unix"/>
    <e v="#N/A"/>
    <m/>
    <m/>
    <m/>
    <d v="2020-12-20T00:00:00"/>
    <e v="#N/A"/>
    <s v="Fixed"/>
    <x v="1"/>
    <x v="0"/>
    <x v="0"/>
  </r>
  <r>
    <s v="81.192.11.141/0/oracle_linux-cve-2019-013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0139"/>
    <s v="Oracle Linux: (CVE-2019-0139) ELSA-2020-5670: Unbreakable Enterprise kernel security update"/>
    <s v="Insufficient access control in firmware for Intel(R) Ethernet 700 Series Controllers before version 7.0 may allow a privileged user to potentially enable an escalation of privilege, denial of service, or information disclosure via local acces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0139] is not installed, no patches discovered._x000d__x000a__x000d__x000a__x000d__x000a_ * _x000d__x000a_      kernel-uek-firmware - version 4.1.12-94.3.9.el7uek is installed"/>
    <s v=""/>
    <s v="CVE-2019-0139"/>
    <s v="http://nvd.nist.gov/vuln/detail/CVE-2019-0139"/>
    <d v="2019-11-14T00:00:00"/>
    <s v="vv"/>
    <n v="0"/>
    <s v=""/>
    <s v=""/>
    <s v="3 Days"/>
    <m/>
    <m/>
    <s v="Fixed"/>
    <x v="4"/>
    <d v="2020-12-26T00:00:00"/>
    <m/>
    <x v="3"/>
    <s v="Unix"/>
    <e v="#N/A"/>
    <m/>
    <m/>
    <m/>
    <d v="2020-12-20T00:00:00"/>
    <e v="#N/A"/>
    <s v="Fixed"/>
    <x v="1"/>
    <x v="0"/>
    <x v="0"/>
  </r>
  <r>
    <s v="81.192.11.141/0/oracle_linux-cve-2019-014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6"/>
    <x v="1"/>
    <s v="oracle_linux-cve-2019-0140"/>
    <s v="Oracle Linux: (CVE-2019-0140) ELSA-2020-5670: Unbreakable Enterprise kernel security update"/>
    <s v="Buffer overflow in firmware for Intel(R) Ethernet 700 Series Controllers before version 7.0 may allow an unauthenticated user to potentially enable an escalation of privilege via an adjacent acces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0140] is not installed, no patches discovered._x000d__x000a__x000d__x000a__x000d__x000a_ * _x000d__x000a_      kernel-uek-firmware - version 4.1.12-94.3.9.el7uek is installed"/>
    <s v=""/>
    <s v="CVE-2019-0140"/>
    <s v="http://nvd.nist.gov/vuln/detail/CVE-2019-0140"/>
    <d v="2019-11-14T00:00:00"/>
    <s v="vv"/>
    <n v="0"/>
    <s v=""/>
    <s v=""/>
    <s v="3 Days"/>
    <m/>
    <m/>
    <s v="Fixed"/>
    <x v="4"/>
    <d v="2020-12-26T00:00:00"/>
    <m/>
    <x v="3"/>
    <s v="Unix"/>
    <e v="#N/A"/>
    <m/>
    <m/>
    <m/>
    <d v="2020-12-20T00:00:00"/>
    <e v="#N/A"/>
    <s v="Fixed"/>
    <x v="1"/>
    <x v="0"/>
    <x v="0"/>
  </r>
  <r>
    <s v="81.192.11.141/0/oracle_linux-cve-2019-014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0144"/>
    <s v="Oracle Linux: (CVE-2019-0144) ELSA-2020-5670: Unbreakable Enterprise kernel security update"/>
    <s v="Unhandled exception in firmware for Intel(R) Ethernet 700 Series Controllers before version 7.0 may allow an authenticated user to potentially enable a denial of service via local acces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0144] is not installed, no patches discovered._x000d__x000a__x000d__x000a__x000d__x000a_ * _x000d__x000a_      kernel-uek-firmware - version 4.1.12-94.3.9.el7uek is installed"/>
    <s v=""/>
    <s v="CVE-2019-0144"/>
    <s v="http://nvd.nist.gov/vuln/detail/CVE-2019-0144"/>
    <d v="2019-11-14T00:00:00"/>
    <s v="vv"/>
    <n v="0"/>
    <s v=""/>
    <s v=""/>
    <s v="3 Days"/>
    <m/>
    <m/>
    <s v="Fixed"/>
    <x v="4"/>
    <d v="2020-12-26T00:00:00"/>
    <m/>
    <x v="3"/>
    <s v="Unix"/>
    <e v="#N/A"/>
    <m/>
    <m/>
    <m/>
    <d v="2020-12-20T00:00:00"/>
    <e v="#N/A"/>
    <s v="Fixed"/>
    <x v="1"/>
    <x v="0"/>
    <x v="0"/>
  </r>
  <r>
    <s v="81.192.11.141/0/oracle_linux-cve-2019-1063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19-10638"/>
    <s v="Oracle Linux: (CVE-2019-10638) (Multiple Advisories): Unbreakable Enterprise kernel security update"/>
    <s v="In the Linux kernel before 5.1.7, a device can be tracked by an attacker using the IP ID values the kernel produces for connection-less protocols (e.g., UDP and ICMP). When such traffic is sent to multiple destination IP addresses, it is possible to obtain hash collisions (of indices to the counter array) and thereby obtain the hashing key (via enumeration). An attack may be conducted by hosting a crafted web page that uses WebRTC or gQUIC to force UDP traffic to attacker-controlled IP addresse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0638] is not installed, no patches discovered._x000d__x000a__x000d__x000a__x000d__x000a_ * _x000d__x000a_      kernel-uek-firmware - version 4.1.12-94.3.9.el7uek is installed"/>
    <s v=""/>
    <s v="CVE-2019-10638"/>
    <s v="http://nvd.nist.gov/vuln/detail/CVE-2019-10638"/>
    <d v="2019-07-05T00:00:00"/>
    <s v="vv"/>
    <n v="0"/>
    <s v=""/>
    <s v=""/>
    <s v="3 Days"/>
    <m/>
    <m/>
    <s v="Fixed"/>
    <x v="4"/>
    <d v="2020-12-26T00:00:00"/>
    <m/>
    <x v="3"/>
    <s v="Unix"/>
    <e v="#N/A"/>
    <m/>
    <m/>
    <m/>
    <d v="2020-12-20T00:00:00"/>
    <e v="#N/A"/>
    <s v="Fixed"/>
    <x v="1"/>
    <x v="0"/>
    <x v="0"/>
  </r>
  <r>
    <s v="81.192.11.141/0/oracle_linux-cve-2019-1063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0639"/>
    <s v="Oracle Linux: (CVE-2019-10639) (Multiple Advisories): Unbreakable Enterprise kernel security update"/>
    <s v="The Linux kernel 4.x (starting from 4.1) and 5.x before 5.0.8 allows Information Exposure (partial kernel address disclosure), leading to a KASLR bypass. Specifically, it is possible to extract the KASLR kernel image offset using the IP ID values the kernel produces for connection-less protocols (e.g., UDP and ICMP). When such traffic is sent to multiple destination IP addresses, it is possible to obtain hash collisions (of indices to the counter array) and thereby obtain the hashing key (via enumeration). This key contains enough bits from a kernel address (of a static variable) so when the key is extracted (via enumeration), the offset of the kernel image is exposed. This attack can be carried out remotely, by the attacker forcing the target device to send UDP or ICMP (or certain other) traffic to attacker-controlled IP addresses. Forcing a server to send UDP traffic is trivial if the server is a DNS server. ICMP traffic is trivial if the server answers ICMP Echo requests (ping). For client targets, if the target visits the attacker's web page, then WebRTC or gQUIC can be used to force UDP traffic to attacker-controlled IP addresses. NOTE: this attack against KASLR became viable in 4.1 because IP ID generation was changed to have a dependency on an address associated with a network namespac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0639] is not installed, no patches discovered._x000d__x000a__x000d__x000a__x000d__x000a_ * _x000d__x000a_      kernel-uek-firmware - version 4.1.12-94.3.9.el7uek is installed"/>
    <s v=""/>
    <s v="CVE-2019-10639"/>
    <s v="http://nvd.nist.gov/vuln/detail/CVE-2019-10639"/>
    <d v="2019-07-05T00:00:00"/>
    <s v="vv"/>
    <n v="0"/>
    <s v=""/>
    <s v=""/>
    <s v="3 Days"/>
    <m/>
    <m/>
    <s v="Fixed"/>
    <x v="4"/>
    <d v="2020-12-26T00:00:00"/>
    <m/>
    <x v="3"/>
    <s v="Unix"/>
    <e v="#N/A"/>
    <m/>
    <m/>
    <m/>
    <d v="2020-12-20T00:00:00"/>
    <e v="#N/A"/>
    <s v="Fixed"/>
    <x v="1"/>
    <x v="0"/>
    <x v="0"/>
  </r>
  <r>
    <s v="81.192.11.141/0/oracle_linux-cve-2019-1109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1091"/>
    <s v="Oracle Linux: (CVE-2019-11091) (Multiple Advisories): libvirt security, bug fix, and enhancement update"/>
    <s v="Microarchitectural Data Sampling Uncacheable Memory (MDSUM): Uncacheable memory on some microprocessors utilizing speculative execution may allow an authenticated user to potentially enable information disclosure via a side channel with local access. A list of impacted products can be found here: https://www.intel.com/content/dam/www/public/us/en/documents/corporate-information/SA00233-microcode-update-guidance_05132019.pdf"/>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ivshmem-tools on Oracle Linux_x000d__x000a_      Upgrade ivshmem-tools_x000d__x000a__x000d__x000a_       Update ivshmem-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 on Oracle Linux_x000d__x000a_      Upgrade libvirt_x000d__x000a__x000d__x000a_       Update libvir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admin on Oracle Linux_x000d__x000a_      Upgrade libvirt-admin_x000d__x000a__x000d__x000a_       Update libvirt-admi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bash-completion on Oracle Linux_x000d__x000a_      Upgrade libvirt-bash-completion_x000d__x000a__x000d__x000a_       Update libvirt-bash-completi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client on Oracle Linux_x000d__x000a_      Upgrade libvirt-client_x000d__x000a__x000d__x000a_       Update libvirt-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 on Oracle Linux_x000d__x000a_      Upgrade libvirt-daemon_x000d__x000a__x000d__x000a_       Update libvirt-dae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etwork on Oracle Linux_x000d__x000a_      Upgrade libvirt-daemon-config-network_x000d__x000a__x000d__x000a_       Update libvirt-daemon-config-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config-nwfilter on Oracle Linux_x000d__x000a_      Upgrade libvirt-daemon-config-nwfilter_x000d__x000a__x000d__x000a_       Update libvirt-daemon-config-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interface on Oracle Linux_x000d__x000a_      Upgrade libvirt-daemon-driver-interface_x000d__x000a__x000d__x000a_       Update libvirt-daemon-driver-interfac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lxc on Oracle Linux_x000d__x000a_      Upgrade libvirt-daemon-driver-lxc_x000d__x000a__x000d__x000a_       Update libvirt-daemon-driver-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etwork on Oracle Linux_x000d__x000a_      Upgrade libvirt-daemon-driver-network_x000d__x000a__x000d__x000a_       Update libvirt-daemon-driver-networ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odedev on Oracle Linux_x000d__x000a_      Upgrade libvirt-daemon-driver-nodedev_x000d__x000a__x000d__x000a_       Update libvirt-daemon-driver-nodedev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nwfilter on Oracle Linux_x000d__x000a_      Upgrade libvirt-daemon-driver-nwfilter_x000d__x000a__x000d__x000a_       Update libvirt-daemon-driver-nwfil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qemu on Oracle Linux_x000d__x000a_      Upgrade libvirt-daemon-driver-qemu_x000d__x000a__x000d__x000a_       Update libvirt-daemon-driver-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ecret on Oracle Linux_x000d__x000a_      Upgrade libvirt-daemon-driver-secret_x000d__x000a__x000d__x000a_       Update libvirt-daemon-driver-secre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 on Oracle Linux_x000d__x000a_      Upgrade libvirt-daemon-driver-storage_x000d__x000a__x000d__x000a_       Update libvirt-daemon-driver-storag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core on Oracle Linux_x000d__x000a_      Upgrade libvirt-daemon-driver-storage-core_x000d__x000a__x000d__x000a_       Update libvirt-daemon-driver-storage-co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disk on Oracle Linux_x000d__x000a_      Upgrade libvirt-daemon-driver-storage-disk_x000d__x000a__x000d__x000a_       Update libvirt-daemon-driver-storage-dis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gluster on Oracle Linux_x000d__x000a_      Upgrade libvirt-daemon-driver-storage-gluster_x000d__x000a__x000d__x000a_       Update libvirt-daemon-driver-storage-glus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iscsi on Oracle Linux_x000d__x000a_      Upgrade libvirt-daemon-driver-storage-iscsi_x000d__x000a__x000d__x000a_       Update libvirt-daemon-driver-storage-i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logical on Oracle Linux_x000d__x000a_      Upgrade libvirt-daemon-driver-storage-logical_x000d__x000a__x000d__x000a_       Update libvirt-daemon-driver-storage-logica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mpath on Oracle Linux_x000d__x000a_      Upgrade libvirt-daemon-driver-storage-mpath_x000d__x000a__x000d__x000a_       Update libvirt-daemon-driver-storage-mpath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rbd on Oracle Linux_x000d__x000a_      Upgrade libvirt-daemon-driver-storage-rbd_x000d__x000a__x000d__x000a_       Update libvirt-daemon-driver-storage-rb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driver-storage-scsi on Oracle Linux_x000d__x000a_      Upgrade libvirt-daemon-driver-storage-scsi_x000d__x000a__x000d__x000a_       Update libvirt-daemon-driver-storage-scsi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kvm on Oracle Linux_x000d__x000a_      Upgrade libvirt-daemon-kvm_x000d__x000a__x000d__x000a_       Update libvirt-daemon-kvm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lxc on Oracle Linux_x000d__x000a_      Upgrade libvirt-daemon-lxc_x000d__x000a__x000d__x000a_       Update libvirt-daemon-lx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aemon-qemu on Oracle Linux_x000d__x000a_      Upgrade libvirt-daemon-qemu_x000d__x000a__x000d__x000a_       Update libvirt-daemon-qemu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evel on Oracle Linux_x000d__x000a_      Upgrade libvirt-devel_x000d__x000a__x000d__x000a_       Update libvir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docs on Oracle Linux_x000d__x000a_      Upgrade libvirt-docs_x000d__x000a__x000d__x000a_       Update libvirt-doc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virt-libs on Oracle Linux_x000d__x000a_      Upgrade libvirt"/>
    <s v="Vulnerable OS: Oracle Linux 7.9_x000d__x000a__x000d__x000a__x000d__x000a_Vulnerable software installed: Linux kernel-uek 4.1.12-94.3.9.el7uek_x000d__x000a__x000d__x000a_ * Required patch [CVE-2019-11091] is not installed, no patches discovered._x000d__x000a__x000d__x000a__x000d__x000a_ * _x000d__x000a_      kernel-uek-firmware - version 4.1.12-94.3.9.el7uek is installed"/>
    <s v=""/>
    <s v="CVE-2019-11091"/>
    <s v="http://nvd.nist.gov/vuln/detail/CVE-2019-11091"/>
    <d v="2019-05-14T00:00:00"/>
    <s v="vv"/>
    <n v="0"/>
    <s v=""/>
    <s v=""/>
    <s v="3 Days"/>
    <m/>
    <m/>
    <s v="Fixed"/>
    <x v="4"/>
    <d v="2020-12-26T00:00:00"/>
    <m/>
    <x v="3"/>
    <s v="Unix"/>
    <e v="#N/A"/>
    <m/>
    <m/>
    <m/>
    <d v="2020-12-20T00:00:00"/>
    <e v="#N/A"/>
    <s v="Fixed"/>
    <x v="1"/>
    <x v="0"/>
    <x v="0"/>
  </r>
  <r>
    <s v="81.192.11.141/0/oracle_linux-cve-2019-1113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11135"/>
    <s v="Oracle Linux: (CVE-2019-11135) (Multiple Advisories): qemu-kvm security, bug fix, and enhancement update"/>
    <s v="TSX Asynchronous Abort condition on some CPUs utilizing speculative execution may allow an authenticated user to potentially enable information disclosure via a side channel with local acces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microcode_ctl on Oracle Linux_x000d__x000a_      Upgrade microcode_ctl_x000d__x000a__x000d__x000a_       Update microcode_ct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img on Oracle Linux_x000d__x000a_      Upgrade qemu-img_x000d__x000a__x000d__x000a_       Update qemu-im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kvm on Oracle Linux_x000d__x000a_      Upgrade qemu-kvm_x000d__x000a__x000d__x000a_       Update qemu-kvm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kvm-common on Oracle Linux_x000d__x000a_      Upgrade qemu-kvm-common_x000d__x000a__x000d__x000a_       Update qemu-kvm-com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qemu-kvm-tools on Oracle Linux_x000d__x000a_      Upgrade qemu-kvm-tools_x000d__x000a__x000d__x000a_       Update qemu-kvm-tools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135] is not installed, no patches discovered._x000d__x000a__x000d__x000a__x000d__x000a_ * _x000d__x000a_      kernel-uek-firmware - version 4.1.12-94.3.9.el7uek is installed"/>
    <s v=""/>
    <s v="CVE-2019-11135"/>
    <s v="http://nvd.nist.gov/vuln/detail/CVE-2019-11135"/>
    <d v="2019-11-12T00:00:00"/>
    <s v="vv"/>
    <n v="0"/>
    <s v=""/>
    <s v=""/>
    <s v="3 Days"/>
    <m/>
    <m/>
    <s v="Fixed"/>
    <x v="4"/>
    <d v="2020-12-26T00:00:00"/>
    <m/>
    <x v="3"/>
    <s v="Unix"/>
    <e v="#N/A"/>
    <m/>
    <m/>
    <m/>
    <d v="2020-12-20T00:00:00"/>
    <e v="#N/A"/>
    <s v="Fixed"/>
    <x v="1"/>
    <x v="0"/>
    <x v="0"/>
  </r>
  <r>
    <s v="81.192.11.141/0/oracle_linux-cve-2019-1119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1190"/>
    <s v="Oracle Linux: (CVE-2019-11190) (Multiple Advisories): kernel security, bug fix, and enhancement update"/>
    <s v="The Linux kernel before 4.8 allows local users to bypass ASLR on setuid programs (such as /bin/su) because install_exec_creds() is called too late in load_elf_binary() in fs/binfmt_elf.c, and thus the ptrace_may_access() check has a race condition when reading /proc/pid/stat."/>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190] is not installed, no patches discovered._x000d__x000a__x000d__x000a__x000d__x000a_ * _x000d__x000a_      kernel-uek-firmware - version 4.1.12-94.3.9.el7uek is installed"/>
    <s v=""/>
    <s v="CVE-2019-11190"/>
    <s v="http://nvd.nist.gov/vuln/detail/CVE-2019-11190"/>
    <d v="2019-04-11T00:00:00"/>
    <s v="vv"/>
    <n v="0"/>
    <s v=""/>
    <s v=""/>
    <s v="3 Days"/>
    <m/>
    <m/>
    <s v="Fixed"/>
    <x v="4"/>
    <d v="2020-12-26T00:00:00"/>
    <m/>
    <x v="3"/>
    <s v="Unix"/>
    <e v="#N/A"/>
    <m/>
    <m/>
    <m/>
    <d v="2020-12-20T00:00:00"/>
    <e v="#N/A"/>
    <s v="Fixed"/>
    <x v="1"/>
    <x v="0"/>
    <x v="0"/>
  </r>
  <r>
    <s v="81.192.11.141/0/oracle_linux-cve-2019-112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1125"/>
    <s v="Oracle Linux: (CVE-2019-1125) (Multiple Advisories): kernel security and bug fix update"/>
    <s v="An information disclosure vulnerability exists when certain central processing units (CPU) speculatively access memory, aka 'Windows Kernel Information Disclosure Vulnerability'. This CVE ID is unique from CVE-2019-1071, CVE-2019-1073."/>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25] is not installed, no patches discovered._x000d__x000a__x000d__x000a__x000d__x000a_ * _x000d__x000a_      kernel-uek-firmware - version 4.1.12-94.3.9.el7uek is installed"/>
    <s v=""/>
    <s v="CVE-2019-1125"/>
    <s v="http://nvd.nist.gov/vuln/detail/CVE-2019-1125"/>
    <d v="2019-08-07T00:00:00"/>
    <s v="vv"/>
    <n v="1"/>
    <s v="Expert"/>
    <s v="http://www.exploit-db.com/exploits/48071"/>
    <s v="3 Days"/>
    <m/>
    <m/>
    <s v="Fixed"/>
    <x v="4"/>
    <d v="2020-12-26T00:00:00"/>
    <m/>
    <x v="3"/>
    <s v="Unix"/>
    <e v="#N/A"/>
    <m/>
    <m/>
    <m/>
    <d v="2020-12-20T00:00:00"/>
    <e v="#N/A"/>
    <s v="Fixed"/>
    <x v="1"/>
    <x v="0"/>
    <x v="0"/>
  </r>
  <r>
    <s v="81.192.11.141/0/oracle_linux-cve-2019-1147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8"/>
    <x v="2"/>
    <s v="oracle_linux-cve-2019-11477"/>
    <s v="Oracle Linux: (CVE-2019-11477) (Multiple Advisories): kernel security, bug fix, and enhancement update"/>
    <s v="Jonathan Looney discovered that the TCP_SKB_CB(skb)-&gt;tcp_gso_segs value was subject to an integer overflow in the Linux kernel when handling TCP Selective Acknowledgments (SACKs). A remote attacker could use this to cause a denial of service. This has been fixed in stable kernel releases 4.4.182, 4.9.182, 4.14.127, 4.19.52, 5.1.11, and is fixed in commit 3b4929f65b0d8249f19a50245cd88ed1a2f78cff."/>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477] is not installed, no patches discovered._x000d__x000a__x000d__x000a__x000d__x000a_ * _x000d__x000a_      kernel-uek-firmware - version 4.1.12-94.3.9.el7uek is installed"/>
    <s v=""/>
    <s v="CVE-2019-11477"/>
    <s v="http://nvd.nist.gov/vuln/detail/CVE-2019-11477"/>
    <d v="2019-06-17T00:00:00"/>
    <s v="vv"/>
    <n v="0"/>
    <s v=""/>
    <s v=""/>
    <s v="3 Days"/>
    <m/>
    <m/>
    <s v="Fixed"/>
    <x v="4"/>
    <d v="2020-12-26T00:00:00"/>
    <m/>
    <x v="3"/>
    <s v="Unix"/>
    <e v="#N/A"/>
    <m/>
    <m/>
    <m/>
    <d v="2020-12-20T00:00:00"/>
    <e v="#N/A"/>
    <s v="Fixed"/>
    <x v="1"/>
    <x v="0"/>
    <x v="0"/>
  </r>
  <r>
    <s v="81.192.11.141/0/oracle_linux-cve-2019-1147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1478"/>
    <s v="Oracle Linux: (CVE-2019-11478) (Multiple Advisories): Unbreakable Enterprise kernel security update"/>
    <s v="Jonathan Looney discovered that the TCP retransmission queue implementation in tcp_fragment in the Linux kernel could be fragmented when handling certain TCP Selective Acknowledgment (SACK) sequences. A remote attacker could use this to cause a denial of service. This has been fixed in stable kernel releases 4.4.182, 4.9.182, 4.14.127, 4.19.52, 5.1.11, and is fixed in commit f070ef2ac66716357066b683fb0baf55f8191a2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478] is not installed, no patches discovered._x000d__x000a__x000d__x000a__x000d__x000a_ * _x000d__x000a_      kernel-uek-firmware - version 4.1.12-94.3.9.el7uek is installed"/>
    <s v=""/>
    <s v="CVE-2019-11478"/>
    <s v="http://nvd.nist.gov/vuln/detail/CVE-2019-11478"/>
    <d v="2019-06-17T00:00:00"/>
    <s v="vv"/>
    <n v="0"/>
    <s v=""/>
    <s v=""/>
    <s v="3 Days"/>
    <m/>
    <m/>
    <s v="Fixed"/>
    <x v="4"/>
    <d v="2020-12-26T00:00:00"/>
    <m/>
    <x v="3"/>
    <s v="Unix"/>
    <e v="#N/A"/>
    <m/>
    <m/>
    <m/>
    <d v="2020-12-20T00:00:00"/>
    <e v="#N/A"/>
    <s v="Fixed"/>
    <x v="1"/>
    <x v="0"/>
    <x v="0"/>
  </r>
  <r>
    <s v="81.192.11.141/0/oracle_linux-cve-2019-1147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1479"/>
    <s v="Oracle Linux: (CVE-2019-11479) (Multiple Advisories): kernel security, bug fix, and enhancement update"/>
    <s v="Jonathan Looney discovered that the Linux kernel default MSS is hard-coded to 48 bytes. This allows a remote peer to fragment TCP resend queues significantly more than if a larger MSS were enforced. A remote attacker could use this to cause a denial of service. This has been fixed in stable kernel releases 4.4.182, 4.9.182, 4.14.127, 4.19.52, 5.1.11, and is fixed in commits 967c05aee439e6e5d7d805e195b3a20ef5c433d6 and 5f3e2bf008c2221478101ee72f5cb4654b9fc363."/>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479] is not installed, no patches discovered._x000d__x000a__x000d__x000a__x000d__x000a_ * _x000d__x000a_      kernel-uek-firmware - version 4.1.12-94.3.9.el7uek is installed"/>
    <s v=""/>
    <s v="CVE-2019-11479"/>
    <s v="http://nvd.nist.gov/vuln/detail/CVE-2019-11479"/>
    <d v="2019-06-17T00:00:00"/>
    <s v="vv"/>
    <n v="0"/>
    <s v=""/>
    <s v=""/>
    <s v="3 Days"/>
    <m/>
    <m/>
    <s v="Fixed"/>
    <x v="4"/>
    <d v="2020-12-26T00:00:00"/>
    <m/>
    <x v="3"/>
    <s v="Unix"/>
    <e v="#N/A"/>
    <m/>
    <m/>
    <m/>
    <d v="2020-12-20T00:00:00"/>
    <e v="#N/A"/>
    <s v="Fixed"/>
    <x v="1"/>
    <x v="0"/>
    <x v="0"/>
  </r>
  <r>
    <s v="81.192.11.141/0/oracle_linux-cve-2019-1148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9-11487"/>
    <s v="Oracle Linux: (CVE-2019-11487) (Multiple Advisories): kernel security and bug fix update"/>
    <s v="The Linux kernel before 5.1-rc5 allows page-&gt;_refcount reference count overflow, with resultant use-after-free issues, if about 140 GiB of RAM exists. This is related to fs/fuse/dev.c, fs/pipe.c, fs/splice.c, include/linux/mm.h, include/linux/pipe_fs_i.h, kernel/trace/trace.c, mm/gup.c, and mm/hugetlb.c. It can occur with FUSE request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487] is not installed, no patches discovered._x000d__x000a__x000d__x000a__x000d__x000a_ * _x000d__x000a_      kernel-uek-firmware - version 4.1.12-94.3.9.el7uek is installed"/>
    <s v=""/>
    <s v="CVE-2019-11487"/>
    <s v="http://nvd.nist.gov/vuln/detail/CVE-2019-11487"/>
    <d v="2019-04-23T00:00:00"/>
    <s v="vv"/>
    <n v="0"/>
    <s v=""/>
    <s v=""/>
    <s v="3 Days"/>
    <m/>
    <m/>
    <s v="Fixed"/>
    <x v="4"/>
    <d v="2020-12-26T00:00:00"/>
    <m/>
    <x v="3"/>
    <s v="Unix"/>
    <e v="#N/A"/>
    <m/>
    <m/>
    <m/>
    <d v="2020-12-20T00:00:00"/>
    <e v="#N/A"/>
    <s v="Fixed"/>
    <x v="1"/>
    <x v="0"/>
    <x v="0"/>
  </r>
  <r>
    <s v="81.192.11.141/0/oracle_linux-cve-2019-1181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8"/>
    <x v="2"/>
    <s v="oracle_linux-cve-2019-11810"/>
    <s v="Oracle Linux: (CVE-2019-11810) (Multiple Advisories): kernel security and bug fix update"/>
    <s v="An issue was discovered in the Linux kernel before 5.0.7. A NULL pointer dereference can occur when megasas_create_frame_pool() fails in megasas_alloc_cmds() in drivers/scsi/megaraid/megaraid_sas_base.c. This causes a Denial of Service, related to a use-after-fre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810] is not installed, no patches discovered._x000d__x000a__x000d__x000a__x000d__x000a_ * _x000d__x000a_      kernel-uek-firmware - version 4.1.12-94.3.9.el7uek is installed"/>
    <s v=""/>
    <s v="CVE-2019-11810"/>
    <s v="http://nvd.nist.gov/vuln/detail/CVE-2019-11810"/>
    <d v="2019-05-07T00:00:00"/>
    <s v="vv"/>
    <n v="0"/>
    <s v=""/>
    <s v=""/>
    <s v="3 Days"/>
    <m/>
    <m/>
    <s v="Fixed"/>
    <x v="4"/>
    <d v="2020-12-26T00:00:00"/>
    <m/>
    <x v="3"/>
    <s v="Unix"/>
    <e v="#N/A"/>
    <m/>
    <m/>
    <m/>
    <d v="2020-12-20T00:00:00"/>
    <e v="#N/A"/>
    <s v="Fixed"/>
    <x v="1"/>
    <x v="0"/>
    <x v="0"/>
  </r>
  <r>
    <s v="81.192.11.141/0/oracle_linux-cve-2019-1181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9"/>
    <x v="3"/>
    <s v="oracle_linux-cve-2019-11815"/>
    <s v="Oracle Linux: (CVE-2019-11815) (Multiple Advisories): Unbreakable Enterprise kernel security update"/>
    <s v="An issue was discovered in rds_tcp_kill_sock in net/rds/tcp.c in the Linux kernel before 5.0.8. There is a race condition leading to a use-after-free, related to net namespace cleanup."/>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815] is not installed, no patches discovered._x000d__x000a__x000d__x000a__x000d__x000a_ * _x000d__x000a_      kernel-uek-firmware - version 4.1.12-94.3.9.el7uek is installed"/>
    <s v=""/>
    <s v="CVE-2019-11815"/>
    <s v="http://nvd.nist.gov/vuln/detail/CVE-2019-11815"/>
    <d v="2019-05-08T00:00:00"/>
    <s v="vv"/>
    <n v="0"/>
    <s v=""/>
    <s v=""/>
    <s v="3 Days"/>
    <m/>
    <m/>
    <s v="Fixed"/>
    <x v="4"/>
    <d v="2020-12-26T00:00:00"/>
    <m/>
    <x v="3"/>
    <s v="Unix"/>
    <e v="#N/A"/>
    <m/>
    <m/>
    <m/>
    <d v="2020-12-20T00:00:00"/>
    <e v="#N/A"/>
    <s v="Fixed"/>
    <x v="1"/>
    <x v="0"/>
    <x v="0"/>
  </r>
  <r>
    <s v="81.192.11.141/0/oracle_linux-cve-2019-1183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11833"/>
    <s v="Oracle Linux: (CVE-2019-11833) (Multiple Advisories): Unbreakable Enterprise kernel security update"/>
    <s v="fs/ext4/extents.c in the Linux kernel through 5.1.2 does not zero out the unused memory region in the extent tree block, which might allow local users to obtain sensitive information by reading uninitialized data in the filesystem."/>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833] is not installed, no patches discovered._x000d__x000a__x000d__x000a__x000d__x000a_ * _x000d__x000a_      kernel-uek-firmware - version 4.1.12-94.3.9.el7uek is installed"/>
    <s v=""/>
    <s v="CVE-2019-11833"/>
    <s v="http://nvd.nist.gov/vuln/detail/CVE-2019-11833"/>
    <d v="2019-05-15T00:00:00"/>
    <s v="vv"/>
    <n v="0"/>
    <s v=""/>
    <s v=""/>
    <s v="3 Days"/>
    <m/>
    <m/>
    <s v="Fixed"/>
    <x v="4"/>
    <d v="2020-12-26T00:00:00"/>
    <m/>
    <x v="3"/>
    <s v="Unix"/>
    <e v="#N/A"/>
    <m/>
    <m/>
    <m/>
    <d v="2020-12-20T00:00:00"/>
    <e v="#N/A"/>
    <s v="Fixed"/>
    <x v="1"/>
    <x v="0"/>
    <x v="0"/>
  </r>
  <r>
    <s v="81.192.11.141/0/oracle_linux-cve-2019-1188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11884"/>
    <s v="Oracle Linux: (CVE-2019-11884) (Multiple Advisories): kernel security, bug fix, and enhancement update"/>
    <s v="The do_hidp_sock_ioctl function in net/bluetooth/hidp/sock.c in the Linux kernel before 5.0.15 allows a local user to obtain potentially sensitive information from kernel stack memory via a HIDPCONNADD command, because a name field may not end with a '\0' characte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1884] is not installed, no patches discovered._x000d__x000a__x000d__x000a__x000d__x000a_ * _x000d__x000a_      kernel-uek-firmware - version 4.1.12-94.3.9.el7uek is installed"/>
    <s v=""/>
    <s v="CVE-2019-11884"/>
    <s v="http://nvd.nist.gov/vuln/detail/CVE-2019-11884"/>
    <d v="2019-05-10T00:00:00"/>
    <s v="vv"/>
    <n v="0"/>
    <s v=""/>
    <s v=""/>
    <s v="3 Days"/>
    <m/>
    <m/>
    <s v="Fixed"/>
    <x v="4"/>
    <d v="2020-12-26T00:00:00"/>
    <m/>
    <x v="3"/>
    <s v="Unix"/>
    <e v="#N/A"/>
    <m/>
    <m/>
    <m/>
    <d v="2020-12-20T00:00:00"/>
    <e v="#N/A"/>
    <s v="Fixed"/>
    <x v="1"/>
    <x v="0"/>
    <x v="0"/>
  </r>
  <r>
    <s v="81.192.11.141/0/oracle_linux-cve-2019-1237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2378"/>
    <s v="Oracle Linux: (CVE-2019-12378) (Multiple Advisories): Unbreakable Enterprise kernel security update"/>
    <s v="** DISPUTED ** An issue was discovered in ip6_ra_control in net/ipv6/ipv6_sockglue.c in the Linux kernel through 5.1.5. There is an unchecked kmalloc of new_ra, which might allow an attacker to cause a denial of service (NULL pointer dereference and system crash). NOTE: This has been disputed as not an issu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2378] is not installed, no patches discovered._x000d__x000a__x000d__x000a__x000d__x000a_ * _x000d__x000a_      kernel-uek-firmware - version 4.1.12-94.3.9.el7uek is installed"/>
    <s v=""/>
    <s v="CVE-2019-12378"/>
    <s v="http://nvd.nist.gov/vuln/detail/CVE-2019-12378"/>
    <d v="2019-05-28T00:00:00"/>
    <s v="vv"/>
    <n v="0"/>
    <s v=""/>
    <s v=""/>
    <s v="3 Days"/>
    <m/>
    <m/>
    <s v="Fixed"/>
    <x v="4"/>
    <d v="2020-12-26T00:00:00"/>
    <m/>
    <x v="3"/>
    <s v="Unix"/>
    <e v="#N/A"/>
    <m/>
    <m/>
    <m/>
    <d v="2020-12-20T00:00:00"/>
    <e v="#N/A"/>
    <s v="Fixed"/>
    <x v="1"/>
    <x v="0"/>
    <x v="0"/>
  </r>
  <r>
    <s v="81.192.11.141/0/oracle_linux-cve-2019-1238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2381"/>
    <s v="Oracle Linux: (CVE-2019-12381) (Multiple Advisories): Unbreakable Enterprise kernel security update"/>
    <s v="An issue was discovered in ip_ra_control in net/ipv4/ip_sockglue.c in the Linux kernel through 5.1.5. There is an unchecked kmalloc of new_ra, which might allow an attacker to cause a denial of service (NULL pointer dereference and system crash)."/>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2381] is not installed, no patches discovered._x000d__x000a__x000d__x000a__x000d__x000a_ * _x000d__x000a_      kernel-uek-firmware - version 4.1.12-94.3.9.el7uek is installed"/>
    <s v=""/>
    <s v="CVE-2019-12381"/>
    <s v="http://nvd.nist.gov/vuln/detail/CVE-2019-12381"/>
    <d v="2019-05-28T00:00:00"/>
    <s v="vv"/>
    <n v="0"/>
    <s v=""/>
    <s v=""/>
    <s v="3 Days"/>
    <m/>
    <m/>
    <s v="Fixed"/>
    <x v="4"/>
    <d v="2020-12-26T00:00:00"/>
    <m/>
    <x v="3"/>
    <s v="Unix"/>
    <e v="#N/A"/>
    <m/>
    <m/>
    <m/>
    <d v="2020-12-20T00:00:00"/>
    <e v="#N/A"/>
    <s v="Fixed"/>
    <x v="1"/>
    <x v="0"/>
    <x v="0"/>
  </r>
  <r>
    <s v="81.192.11.141/0/oracle_linux-cve-2019-1281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12819"/>
    <s v="Oracle Linux: (CVE-2019-12819) ELSA-2020-5708: Unbreakable Enterprise kernel security update"/>
    <s v="An issue was discovered in the Linux kernel before 5.0. The function __mdiobus_register() in drivers/net/phy/mdio_bus.c calls put_device(), which will trigger a fixed_mdio_bus_init use-after-free. This will cause a denial of servic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2819] is not installed, no patches discovered._x000d__x000a__x000d__x000a__x000d__x000a_ * _x000d__x000a_      kernel-uek-firmware - version 4.1.12-94.3.9.el7uek is installed"/>
    <s v=""/>
    <s v="CVE-2019-12819"/>
    <s v="http://nvd.nist.gov/vuln/detail/CVE-2019-12819"/>
    <d v="2019-06-14T00:00:00"/>
    <s v="vv"/>
    <n v="0"/>
    <s v=""/>
    <s v=""/>
    <s v="3 Days"/>
    <m/>
    <m/>
    <s v="Fixed"/>
    <x v="4"/>
    <d v="2020-12-26T00:00:00"/>
    <m/>
    <x v="3"/>
    <s v="Unix"/>
    <e v="#N/A"/>
    <m/>
    <m/>
    <m/>
    <d v="2020-12-20T00:00:00"/>
    <e v="#N/A"/>
    <s v="Fixed"/>
    <x v="1"/>
    <x v="0"/>
    <x v="0"/>
  </r>
  <r>
    <s v="81.192.11.141/0/oracle_linux-cve-2019-1363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3631"/>
    <s v="Oracle Linux: (CVE-2019-13631) (Multiple Advisories): Unbreakable Enterprise kernel security update"/>
    <s v="In parse_hid_report_descriptor in drivers/input/tablet/gtco.c in the Linux kernel through 5.2.1, a malicious USB device can send an HID report that triggers an out-of-bounds write during generation of debugging message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3631] is not installed, no patches discovered._x000d__x000a__x000d__x000a__x000d__x000a_ * _x000d__x000a_      kernel-uek-firmware - version 4.1.12-94.3.9.el7uek is installed"/>
    <s v=""/>
    <s v="CVE-2019-13631"/>
    <s v="http://nvd.nist.gov/vuln/detail/CVE-2019-13631"/>
    <d v="2019-07-17T00:00:00"/>
    <s v="vv"/>
    <n v="0"/>
    <s v=""/>
    <s v=""/>
    <s v="3 Days"/>
    <m/>
    <m/>
    <s v="Fixed"/>
    <x v="4"/>
    <d v="2020-12-26T00:00:00"/>
    <m/>
    <x v="3"/>
    <s v="Unix"/>
    <e v="#N/A"/>
    <m/>
    <m/>
    <m/>
    <d v="2020-12-20T00:00:00"/>
    <e v="#N/A"/>
    <s v="Fixed"/>
    <x v="1"/>
    <x v="0"/>
    <x v="0"/>
  </r>
  <r>
    <s v="81.192.11.141/0/oracle_linux-cve-2019-1428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4283"/>
    <s v="Oracle Linux: (CVE-2019-14283) (Multiple Advisories): kernel security, bug fix, and enhancement update"/>
    <s v="In the Linux kernel before 5.2.3, set_geometry in drivers/block/floppy.c does not validate the sect and head fields, as demonstrated by an integer overflow and out-of-bounds read. It can be triggered by an unprivileged local user when a floppy disk has been inserted. NOTE: QEMU creates the floppy device by default."/>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283] is not installed, no patches discovered._x000d__x000a__x000d__x000a__x000d__x000a_ * _x000d__x000a_      kernel-uek-firmware - version 4.1.12-94.3.9.el7uek is installed"/>
    <s v=""/>
    <s v="CVE-2019-14283"/>
    <s v="http://nvd.nist.gov/vuln/detail/CVE-2019-14283"/>
    <d v="2019-07-26T00:00:00"/>
    <s v="vv"/>
    <n v="0"/>
    <s v=""/>
    <s v=""/>
    <s v="3 Days"/>
    <m/>
    <m/>
    <s v="Fixed"/>
    <x v="4"/>
    <d v="2020-12-26T00:00:00"/>
    <m/>
    <x v="3"/>
    <s v="Unix"/>
    <e v="#N/A"/>
    <m/>
    <m/>
    <m/>
    <d v="2020-12-20T00:00:00"/>
    <e v="#N/A"/>
    <s v="Fixed"/>
    <x v="1"/>
    <x v="0"/>
    <x v="0"/>
  </r>
  <r>
    <s v="81.192.11.141/0/oracle_linux-cve-2019-1428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14284"/>
    <s v="Oracle Linux: (CVE-2019-14284) (Multiple Advisories): Unbreakable Enterprise kernel security update"/>
    <s v="In the Linux kernel before 5.2.3, drivers/block/floppy.c allows a denial of service by setup_format_params division-by-zero. Two consecutive ioctls can trigger the bug: the first one should set the drive geometry with .sect and .rate values that make F_SECT_PER_TRACK be zero. Next, the floppy format operation should be called. It can be triggered by an unprivileged local user even when a floppy disk has not been inserted. NOTE: QEMU creates the floppy device by default."/>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284] is not installed, no patches discovered._x000d__x000a__x000d__x000a__x000d__x000a_ * _x000d__x000a_      kernel-uek-firmware - version 4.1.12-94.3.9.el7uek is installed"/>
    <s v=""/>
    <s v="CVE-2019-14284"/>
    <s v="http://nvd.nist.gov/vuln/detail/CVE-2019-14284"/>
    <d v="2019-07-26T00:00:00"/>
    <s v="vv"/>
    <n v="0"/>
    <s v=""/>
    <s v=""/>
    <s v="3 Days"/>
    <m/>
    <m/>
    <s v="Fixed"/>
    <x v="4"/>
    <d v="2020-12-26T00:00:00"/>
    <m/>
    <x v="3"/>
    <s v="Unix"/>
    <e v="#N/A"/>
    <m/>
    <m/>
    <m/>
    <d v="2020-12-20T00:00:00"/>
    <e v="#N/A"/>
    <s v="Fixed"/>
    <x v="1"/>
    <x v="0"/>
    <x v="0"/>
  </r>
  <r>
    <s v="81.192.11.141/0/oracle_linux-cve-2019-1481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9-14814"/>
    <s v="Oracle Linux: (CVE-2019-14814) ELSA-2020-5670: Unbreakable Enterprise kernel security update"/>
    <s v="There is heap-based buffer overflow in Linux kernel, all versions up to, excluding 5.3, in the marvell wifi chip driver in Linux kernel, that allows local users to cause a denial of service(system crash) or possibly execute arbitrary cod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814] is not installed, no patches discovered._x000d__x000a__x000d__x000a__x000d__x000a_ * _x000d__x000a_      kernel-uek-firmware - version 4.1.12-94.3.9.el7uek is installed"/>
    <s v=""/>
    <s v="CVE-2019-14814"/>
    <s v="http://nvd.nist.gov/vuln/detail/CVE-2019-14814"/>
    <d v="2019-09-20T00:00:00"/>
    <s v="vv"/>
    <n v="0"/>
    <s v=""/>
    <s v=""/>
    <s v="3 Days"/>
    <m/>
    <m/>
    <s v="Fixed"/>
    <x v="4"/>
    <d v="2020-12-26T00:00:00"/>
    <m/>
    <x v="3"/>
    <s v="Unix"/>
    <e v="#N/A"/>
    <m/>
    <m/>
    <m/>
    <d v="2020-12-20T00:00:00"/>
    <e v="#N/A"/>
    <s v="Fixed"/>
    <x v="1"/>
    <x v="0"/>
    <x v="0"/>
  </r>
  <r>
    <s v="81.192.11.141/0/oracle_linux-cve-2019-1481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9-14815"/>
    <s v="Oracle Linux: (CVE-2019-14815) ELSA-2020-5670: Unbreakable Enterprise kernel security update"/>
    <s v="A vulnerability was found in Linux Kernel, where a Heap Overflow was found in mwifiex_set_wmm_params() function of Marvell Wifi Driver."/>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815] is not installed, no patches discovered._x000d__x000a__x000d__x000a__x000d__x000a_ * _x000d__x000a_      kernel-uek-firmware - version 4.1.12-94.3.9.el7uek is installed"/>
    <s v=""/>
    <s v="CVE-2019-14815"/>
    <s v="http://nvd.nist.gov/vuln/detail/CVE-2019-14815"/>
    <d v="2019-09-20T00:00:00"/>
    <s v="vv"/>
    <n v="0"/>
    <s v=""/>
    <s v=""/>
    <s v="3 Days"/>
    <m/>
    <m/>
    <s v="Fixed"/>
    <x v="4"/>
    <d v="2020-12-26T00:00:00"/>
    <m/>
    <x v="3"/>
    <s v="Unix"/>
    <e v="#N/A"/>
    <m/>
    <m/>
    <m/>
    <d v="2020-12-20T00:00:00"/>
    <e v="#N/A"/>
    <s v="Fixed"/>
    <x v="1"/>
    <x v="0"/>
    <x v="0"/>
  </r>
  <r>
    <s v="81.192.11.141/0/oracle_linux-cve-2019-1481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9-14816"/>
    <s v="Oracle Linux: (CVE-2019-14816) (Multiple Advisories): Unbreakable Enterprise kernel security update"/>
    <s v="There is heap-based buffer overflow in kernel, all versions up to, excluding 5.3, in the marvell wifi chip driver in Linux kernel, that allows local users to cause a denial of service(system crash) or possibly execute arbitrary cod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816] is not installed, no patches discovered._x000d__x000a__x000d__x000a__x000d__x000a_ * _x000d__x000a_      kernel-uek-firmware - version 4.1.12-94.3.9.el7uek is installed"/>
    <s v=""/>
    <s v="CVE-2019-14816"/>
    <s v="http://nvd.nist.gov/vuln/detail/CVE-2019-14816"/>
    <d v="2019-09-20T00:00:00"/>
    <s v="vv"/>
    <n v="0"/>
    <s v=""/>
    <s v=""/>
    <s v="3 Days"/>
    <m/>
    <m/>
    <s v="Fixed"/>
    <x v="4"/>
    <d v="2020-12-26T00:00:00"/>
    <m/>
    <x v="3"/>
    <s v="Unix"/>
    <e v="#N/A"/>
    <m/>
    <m/>
    <m/>
    <d v="2020-12-20T00:00:00"/>
    <e v="#N/A"/>
    <s v="Fixed"/>
    <x v="1"/>
    <x v="0"/>
    <x v="0"/>
  </r>
  <r>
    <s v="81.192.11.141/0/oracle_linux-cve-2019-1482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9-14821"/>
    <s v="Oracle Linux: (CVE-2019-14821) (Multiple Advisories): kernel security and bug fix update"/>
    <s v="An out-of-bounds access issue was found in the Linux kernel, all versions through 5.3, in the way Linux kernel's KVM hypervisor implements the Coalesced MMIO write operation. It operates on an MMIO ring buffer 'struct kvm_coalesced_mmio' object, wherein write indices 'ring-&gt;first' and 'ring-&gt;last' value could be supplied by a host user-space process. An unprivileged host user or process with access to '/dev/kvm' device could use this flaw to crash the host kernel, resulting in a denial of service or potentially escalating privileges on the system."/>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821] is not installed, no patches discovered._x000d__x000a__x000d__x000a__x000d__x000a_ * _x000d__x000a_      kernel-uek-firmware - version 4.1.12-94.3.9.el7uek is installed"/>
    <s v=""/>
    <s v="CVE-2019-14821"/>
    <s v="http://nvd.nist.gov/vuln/detail/CVE-2019-14821"/>
    <d v="2019-09-19T00:00:00"/>
    <s v="vv"/>
    <n v="0"/>
    <s v=""/>
    <s v=""/>
    <s v="3 Days"/>
    <m/>
    <m/>
    <s v="Fixed"/>
    <x v="4"/>
    <d v="2020-12-26T00:00:00"/>
    <m/>
    <x v="3"/>
    <s v="Unix"/>
    <e v="#N/A"/>
    <m/>
    <m/>
    <m/>
    <d v="2020-12-20T00:00:00"/>
    <e v="#N/A"/>
    <s v="Fixed"/>
    <x v="1"/>
    <x v="0"/>
    <x v="0"/>
  </r>
  <r>
    <s v="81.192.11.141/0/oracle_linux-cve-2019-1483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9-14835"/>
    <s v="Oracle Linux: (CVE-2019-14835) (Multiple Advisories): Unbreakable Enterprise kernel security update"/>
    <s v="A buffer overflow flaw was found, in versions from 2.6.34 to 5.2.x, in the way Linux kernel's vhost functionality that translates virtqueue buffers to IOVs, logged the buffer descriptors during migration. A privileged guest user able to pass descriptors with invalid length to the host when migration is underway, could use this flaw to increase their privileges on the host."/>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835] is not installed, no patches discovered._x000d__x000a__x000d__x000a__x000d__x000a_ * _x000d__x000a_      kernel-uek-firmware - version 4.1.12-94.3.9.el7uek is installed"/>
    <s v=""/>
    <s v="CVE-2019-14835"/>
    <s v="http://nvd.nist.gov/vuln/detail/CVE-2019-14835"/>
    <d v="2019-09-17T00:00:00"/>
    <s v="vv"/>
    <n v="0"/>
    <s v=""/>
    <s v=""/>
    <s v="3 Days"/>
    <m/>
    <m/>
    <s v="Fixed"/>
    <x v="4"/>
    <d v="2020-12-26T00:00:00"/>
    <m/>
    <x v="3"/>
    <s v="Unix"/>
    <e v="#N/A"/>
    <m/>
    <m/>
    <m/>
    <d v="2020-12-20T00:00:00"/>
    <e v="#N/A"/>
    <s v="Fixed"/>
    <x v="1"/>
    <x v="0"/>
    <x v="0"/>
  </r>
  <r>
    <s v="81.192.11.141/0/oracle_linux-cve-2019-1489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8"/>
    <x v="2"/>
    <s v="oracle_linux-cve-2019-14897"/>
    <s v="Oracle Linux: (CVE-2019-14897) ELSA-2020-5708: Unbreakable Enterprise kernel security update"/>
    <s v="A stack-based buffer overflow was found in the Linux kernel, version kernel-2.6.32, in Marvell WiFi chip driver. An attacker is able to cause a denial of service (system crash) or, possibly execute arbitrary code, when a STA works in IBSS mode (allows connecting stations together without the use of an AP) and connects to another STA."/>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897] is not installed, no patches discovered._x000d__x000a__x000d__x000a__x000d__x000a_ * _x000d__x000a_      kernel-uek-firmware - version 4.1.12-94.3.9.el7uek is installed"/>
    <s v=""/>
    <s v="CVE-2019-14897"/>
    <s v="http://nvd.nist.gov/vuln/detail/CVE-2019-14897"/>
    <d v="2019-11-29T00:00:00"/>
    <s v="vv"/>
    <n v="0"/>
    <s v=""/>
    <s v=""/>
    <s v="3 Days"/>
    <m/>
    <m/>
    <s v="Fixed"/>
    <x v="4"/>
    <d v="2020-12-26T00:00:00"/>
    <m/>
    <x v="3"/>
    <s v="Unix"/>
    <e v="#N/A"/>
    <m/>
    <m/>
    <m/>
    <d v="2020-12-20T00:00:00"/>
    <e v="#N/A"/>
    <s v="Fixed"/>
    <x v="1"/>
    <x v="0"/>
    <x v="0"/>
  </r>
  <r>
    <s v="81.192.11.141/0/oracle_linux-cve-2019-1489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9-14898"/>
    <s v="Oracle Linux: (CVE-2019-14898) (Multiple Advisories): Unbreakable Enterprise kernel security update"/>
    <s v="The fix for CVE-2019-11599, affecting the Linux kernel before 5.0.10 was not complete. A local user could use this flaw to obtain sensitive information, cause a denial of service, or possibly have other unspecified impacts by triggering a race condition with mmget_not_zero or get_task_mm call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898] is not installed, no patches discovered._x000d__x000a__x000d__x000a__x000d__x000a_ * _x000d__x000a_      kernel-uek-firmware - version 4.1.12-94.3.9.el7uek is installed"/>
    <s v=""/>
    <s v="CVE-2019-14898"/>
    <s v="http://nvd.nist.gov/vuln/detail/CVE-2019-14898"/>
    <d v="2020-02-05T00:00:00"/>
    <s v="vv"/>
    <n v="0"/>
    <s v=""/>
    <s v=""/>
    <s v="3 Days"/>
    <m/>
    <m/>
    <s v="Fixed"/>
    <x v="4"/>
    <d v="2020-12-26T00:00:00"/>
    <m/>
    <x v="3"/>
    <s v="Unix"/>
    <e v="#N/A"/>
    <m/>
    <m/>
    <m/>
    <d v="2020-12-20T00:00:00"/>
    <e v="#N/A"/>
    <s v="Fixed"/>
    <x v="1"/>
    <x v="0"/>
    <x v="0"/>
  </r>
  <r>
    <s v="81.192.11.141/0/oracle_linux-cve-2019-1490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10"/>
    <x v="3"/>
    <s v="oracle_linux-cve-2019-14901"/>
    <s v="Oracle Linux: (CVE-2019-14901) ELSA-2020-0374: kernel security and bug fix update"/>
    <s v="A heap overflow flaw was found in the Linux kernel, all versions 3.x.x and 4.x.x before 4.18.0, in Marvell WiFi chip driver. The vulnerability allows a remote attacker to cause a system crash, resulting in a denial of service, or execute arbitrary code. The highest threat with this vulnerability is with the availability of the system. If code execution occurs, the code will run with the permissions of root. This will affect both confidentiality and integrity of files on the system."/>
    <s v="kernel on Oracle Linux_x000d__x000a__x000d__x000a_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4901] is not installed, no patches discovered._x000d__x000a__x000d__x000a__x000d__x000a_ * _x000d__x000a_      kernel-uek-firmware - version 4.1.12-94.3.9.el7uek is installed"/>
    <s v=""/>
    <s v="CVE-2019-14901"/>
    <s v="http://nvd.nist.gov/vuln/detail/CVE-2019-14901"/>
    <d v="2019-11-29T00:00:00"/>
    <s v="vv"/>
    <n v="0"/>
    <s v=""/>
    <s v=""/>
    <s v="3 Days"/>
    <m/>
    <m/>
    <s v="Fixed"/>
    <x v="4"/>
    <d v="2020-12-26T00:00:00"/>
    <m/>
    <x v="3"/>
    <s v="Unix"/>
    <e v="#N/A"/>
    <m/>
    <m/>
    <m/>
    <d v="2020-12-20T00:00:00"/>
    <e v="#N/A"/>
    <s v="Fixed"/>
    <x v="1"/>
    <x v="0"/>
    <x v="0"/>
  </r>
  <r>
    <s v="81.192.11.141/0/oracle_linux-cve-2019-1521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5213"/>
    <s v="Oracle Linux: (CVE-2019-15213) (Multiple Advisories): Unbreakable Enterprise kernel security update"/>
    <s v="An issue was discovered in the Linux kernel before 5.2.3. There is a use-after-free caused by a malicious USB device in the drivers/media/usb/dvb-usb/dvb-usb-init.c drive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213] is not installed, no patches discovered._x000d__x000a__x000d__x000a__x000d__x000a_ * _x000d__x000a_      kernel-uek-firmware - version 4.1.12-94.3.9.el7uek is installed"/>
    <s v=""/>
    <s v="CVE-2019-15213"/>
    <s v="http://nvd.nist.gov/vuln/detail/CVE-2019-15213"/>
    <d v="2019-08-19T00:00:00"/>
    <s v="vv"/>
    <n v="0"/>
    <s v=""/>
    <s v=""/>
    <s v="3 Days"/>
    <m/>
    <m/>
    <s v="Fixed"/>
    <x v="4"/>
    <d v="2020-12-26T00:00:00"/>
    <m/>
    <x v="3"/>
    <s v="Unix"/>
    <e v="#N/A"/>
    <m/>
    <m/>
    <m/>
    <d v="2020-12-20T00:00:00"/>
    <e v="#N/A"/>
    <s v="Fixed"/>
    <x v="1"/>
    <x v="0"/>
    <x v="0"/>
  </r>
  <r>
    <s v="81.192.11.141/0/oracle_linux-cve-2019-1521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9-15214"/>
    <s v="Oracle Linux: (CVE-2019-15214) (Multiple Advisories): Unbreakable Enterprise kernel security update"/>
    <s v="An issue was discovered in the Linux kernel before 5.0.10. There is a use-after-free in the sound subsystem because card disconnection causes certain data structures to be deleted too early. This is related to sound/core/init.c and sound/core/info.c."/>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214] is not installed, no patches discovered._x000d__x000a__x000d__x000a__x000d__x000a_ * _x000d__x000a_      kernel-uek-firmware - version 4.1.12-94.3.9.el7uek is installed"/>
    <s v=""/>
    <s v="CVE-2019-15214"/>
    <s v="http://nvd.nist.gov/vuln/detail/CVE-2019-15214"/>
    <d v="2019-08-19T00:00:00"/>
    <s v="vv"/>
    <n v="0"/>
    <s v=""/>
    <s v=""/>
    <s v="3 Days"/>
    <m/>
    <m/>
    <s v="Fixed"/>
    <x v="4"/>
    <d v="2020-12-26T00:00:00"/>
    <m/>
    <x v="3"/>
    <s v="Unix"/>
    <e v="#N/A"/>
    <m/>
    <m/>
    <m/>
    <d v="2020-12-20T00:00:00"/>
    <e v="#N/A"/>
    <s v="Fixed"/>
    <x v="1"/>
    <x v="0"/>
    <x v="0"/>
  </r>
  <r>
    <s v="81.192.11.141/0/oracle_linux-cve-2019-1521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5215"/>
    <s v="Oracle Linux: (CVE-2019-15215) (Multiple Advisories): Unbreakable Enterprise kernel security update"/>
    <s v="An issue was discovered in the Linux kernel before 5.2.6. There is a use-after-free caused by a malicious USB device in the drivers/media/usb/cpia2/cpia2_usb.c drive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215] is not installed, no patches discovered._x000d__x000a__x000d__x000a__x000d__x000a_ * _x000d__x000a_      kernel-uek-firmware - version 4.1.12-94.3.9.el7uek is installed"/>
    <s v=""/>
    <s v="CVE-2019-15215"/>
    <s v="http://nvd.nist.gov/vuln/detail/CVE-2019-15215"/>
    <d v="2019-08-19T00:00:00"/>
    <s v="vv"/>
    <n v="0"/>
    <s v=""/>
    <s v=""/>
    <s v="3 Days"/>
    <m/>
    <m/>
    <s v="Fixed"/>
    <x v="4"/>
    <d v="2020-12-26T00:00:00"/>
    <m/>
    <x v="3"/>
    <s v="Unix"/>
    <e v="#N/A"/>
    <m/>
    <m/>
    <m/>
    <d v="2020-12-20T00:00:00"/>
    <e v="#N/A"/>
    <s v="Fixed"/>
    <x v="1"/>
    <x v="0"/>
    <x v="0"/>
  </r>
  <r>
    <s v="81.192.11.141/0/oracle_linux-cve-2019-1521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5217"/>
    <s v="Oracle Linux: (CVE-2019-15217) (Multiple Advisories): kernel security, bug fix, and enhancement update"/>
    <s v="An issue was discovered in the Linux kernel before 5.2.3. There is a NULL pointer dereference caused by a malicious USB device in the drivers/media/usb/zr364xx/zr364xx.c drive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217] is not installed, no patches discovered._x000d__x000a__x000d__x000a__x000d__x000a_ * _x000d__x000a_      kernel-uek-firmware - version 4.1.12-94.3.9.el7uek is installed"/>
    <s v=""/>
    <s v="CVE-2019-15217"/>
    <s v="http://nvd.nist.gov/vuln/detail/CVE-2019-15217"/>
    <d v="2019-08-19T00:00:00"/>
    <s v="vv"/>
    <n v="0"/>
    <s v=""/>
    <s v=""/>
    <s v="3 Days"/>
    <m/>
    <m/>
    <s v="Fixed"/>
    <x v="4"/>
    <d v="2020-12-26T00:00:00"/>
    <m/>
    <x v="3"/>
    <s v="Unix"/>
    <e v="#N/A"/>
    <m/>
    <m/>
    <m/>
    <d v="2020-12-20T00:00:00"/>
    <e v="#N/A"/>
    <s v="Fixed"/>
    <x v="1"/>
    <x v="0"/>
    <x v="0"/>
  </r>
  <r>
    <s v="81.192.11.141/0/oracle_linux-cve-2019-1521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5218"/>
    <s v="Oracle Linux: (CVE-2019-15218) (Multiple Advisories): Unbreakable Enterprise kernel security update"/>
    <s v="An issue was discovered in the Linux kernel before 5.1.8. There is a NULL pointer dereference caused by a malicious USB device in the drivers/media/usb/siano/smsusb.c driver."/>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218] is not installed, no patches discovered._x000d__x000a__x000d__x000a__x000d__x000a_ * _x000d__x000a_      kernel-uek-firmware - version 4.1.12-94.3.9.el7uek is installed"/>
    <s v=""/>
    <s v="CVE-2019-15218"/>
    <s v="http://nvd.nist.gov/vuln/detail/CVE-2019-15218"/>
    <d v="2019-08-19T00:00:00"/>
    <s v="vv"/>
    <n v="0"/>
    <s v=""/>
    <s v=""/>
    <s v="3 Days"/>
    <m/>
    <m/>
    <s v="Fixed"/>
    <x v="4"/>
    <d v="2020-12-26T00:00:00"/>
    <m/>
    <x v="3"/>
    <s v="Unix"/>
    <e v="#N/A"/>
    <m/>
    <m/>
    <m/>
    <d v="2020-12-20T00:00:00"/>
    <e v="#N/A"/>
    <s v="Fixed"/>
    <x v="1"/>
    <x v="0"/>
    <x v="0"/>
  </r>
  <r>
    <s v="81.192.11.141/0/oracle_linux-cve-2019-1521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5219"/>
    <s v="Oracle Linux: (CVE-2019-15219) (Multiple Advisories): Unbreakable Enterprise kernel security update"/>
    <s v="An issue was discovered in the Linux kernel before 5.1.8. There is a NULL pointer dereference caused by a malicious USB device in the drivers/usb/misc/sisusbvga/sisusb.c drive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219] is not installed, no patches discovered._x000d__x000a__x000d__x000a__x000d__x000a_ * _x000d__x000a_      kernel-uek-firmware - version 4.1.12-94.3.9.el7uek is installed"/>
    <s v=""/>
    <s v="CVE-2019-15219"/>
    <s v="http://nvd.nist.gov/vuln/detail/CVE-2019-15219"/>
    <d v="2019-08-19T00:00:00"/>
    <s v="vv"/>
    <n v="0"/>
    <s v=""/>
    <s v=""/>
    <s v="3 Days"/>
    <m/>
    <m/>
    <s v="Fixed"/>
    <x v="4"/>
    <d v="2020-12-26T00:00:00"/>
    <m/>
    <x v="3"/>
    <s v="Unix"/>
    <e v="#N/A"/>
    <m/>
    <m/>
    <m/>
    <d v="2020-12-20T00:00:00"/>
    <e v="#N/A"/>
    <s v="Fixed"/>
    <x v="1"/>
    <x v="0"/>
    <x v="0"/>
  </r>
  <r>
    <s v="81.192.11.141/0/oracle_linux-cve-2019-1523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9-15239"/>
    <s v="Oracle Linux: (CVE-2019-15239) (Multiple Advisories): kernel security and bug fix update"/>
    <s v="In the Linux kernel, a certain net/ipv4/tcp_output.c change, which was properly incorporated into 4.16.12, was incorrectly backported to the earlier longterm kernels, introducing a new vulnerability that was potentially more severe than the issue that was intended to be fixed by backporting. Specifically, by adding to a write queue between disconnection and re-connection, a local attacker can trigger multiple use-after-free conditions. This can result in a kernel crash, or potentially in privilege escalation. NOTE: this affects (for example) Linux distributions that use 4.9.x longterm kernels before 4.9.190 or 4.14.x longterm kernels before 4.14.139."/>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239] is not installed, no patches discovered._x000d__x000a__x000d__x000a__x000d__x000a_ * _x000d__x000a_      kernel-uek-firmware - version 4.1.12-94.3.9.el7uek is installed"/>
    <s v=""/>
    <s v="CVE-2019-15239"/>
    <s v="http://nvd.nist.gov/vuln/detail/CVE-2019-15239"/>
    <d v="2019-08-20T00:00:00"/>
    <s v="vv"/>
    <n v="0"/>
    <s v=""/>
    <s v=""/>
    <s v="3 Days"/>
    <m/>
    <m/>
    <s v="Fixed"/>
    <x v="4"/>
    <d v="2020-12-26T00:00:00"/>
    <m/>
    <x v="3"/>
    <s v="Unix"/>
    <e v="#N/A"/>
    <m/>
    <m/>
    <m/>
    <d v="2020-12-20T00:00:00"/>
    <e v="#N/A"/>
    <s v="Fixed"/>
    <x v="1"/>
    <x v="0"/>
    <x v="0"/>
  </r>
  <r>
    <s v="81.192.11.141/0/oracle_linux-cve-2019-1529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5291"/>
    <s v="Oracle Linux: (CVE-2019-15291) (Multiple Advisories): Unbreakable Enterprise kernel security update"/>
    <s v="An issue was discovered in the Linux kernel through 5.2.9. There is a NULL pointer dereference caused by a malicious USB device in the flexcop_usb_probe function in the drivers/media/usb/b2c2/flexcop-usb.c driver."/>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291] is not installed, no patches discovered._x000d__x000a__x000d__x000a__x000d__x000a_ * _x000d__x000a_      kernel-uek-firmware - version 4.1.12-94.3.9.el7uek is installed"/>
    <s v=""/>
    <s v="CVE-2019-15291"/>
    <s v="http://nvd.nist.gov/vuln/detail/CVE-2019-15291"/>
    <d v="2019-08-20T00:00:00"/>
    <s v="vv"/>
    <n v="0"/>
    <s v=""/>
    <s v=""/>
    <s v="3 Days"/>
    <m/>
    <m/>
    <s v="Fixed"/>
    <x v="4"/>
    <d v="2020-12-26T00:00:00"/>
    <m/>
    <x v="3"/>
    <s v="Unix"/>
    <e v="#N/A"/>
    <m/>
    <m/>
    <m/>
    <d v="2020-12-20T00:00:00"/>
    <e v="#N/A"/>
    <s v="Fixed"/>
    <x v="1"/>
    <x v="0"/>
    <x v="0"/>
  </r>
  <r>
    <s v="81.192.11.141/0/oracle_linux-cve-2019-1550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10"/>
    <x v="3"/>
    <s v="oracle_linux-cve-2019-15505"/>
    <s v="Oracle Linux: (CVE-2019-15505) ELSA-2020-5866: Unbreakable Enterprise kernel security update"/>
    <s v="drivers/media/usb/dvb-usb/technisat-usb2.c in the Linux kernel through 5.2.9 has an out-of-bounds read via crafted USB device traffic (which may be remote via usbip or usbredir)."/>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505] is not installed, no patches discovered._x000d__x000a__x000d__x000a__x000d__x000a_ * _x000d__x000a_      kernel-uek-firmware - version 4.1.12-94.3.9.el7uek is installed"/>
    <s v=""/>
    <s v="CVE-2019-15505"/>
    <s v="http://nvd.nist.gov/vuln/detail/CVE-2019-15505"/>
    <d v="2019-08-23T00:00:00"/>
    <s v="vv"/>
    <n v="0"/>
    <s v=""/>
    <s v=""/>
    <s v="3 Days"/>
    <m/>
    <m/>
    <s v="Fixed"/>
    <x v="4"/>
    <d v="2020-12-26T00:00:00"/>
    <m/>
    <x v="3"/>
    <s v="Unix"/>
    <e v="#N/A"/>
    <m/>
    <m/>
    <m/>
    <d v="2020-12-20T00:00:00"/>
    <e v="#N/A"/>
    <s v="Fixed"/>
    <x v="1"/>
    <x v="0"/>
    <x v="0"/>
  </r>
  <r>
    <s v="81.192.11.141/0/oracle_linux-cve-2019-1566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5666"/>
    <s v="Oracle Linux: (CVE-2019-15666) ELSA-2019-4808: Unbreakable Enterprise kernel security update"/>
    <s v="An issue was discovered in the Linux kernel before 5.0.19. There is an out-of-bounds array access in __xfrm_policy_unlink, which will cause denial of service, because verify_newpolicy_info in net/xfrm/xfrm_user.c mishandles directory validation."/>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666] is not installed, no patches discovered._x000d__x000a__x000d__x000a__x000d__x000a_ * _x000d__x000a_      kernel-uek-firmware - version 4.1.12-94.3.9.el7uek is installed"/>
    <s v=""/>
    <s v="CVE-2019-15666"/>
    <s v="http://nvd.nist.gov/vuln/detail/CVE-2019-15666"/>
    <d v="2019-08-27T00:00:00"/>
    <s v="vv"/>
    <n v="0"/>
    <s v=""/>
    <s v=""/>
    <s v="3 Days"/>
    <m/>
    <m/>
    <s v="Fixed"/>
    <x v="4"/>
    <d v="2020-12-26T00:00:00"/>
    <m/>
    <x v="3"/>
    <s v="Unix"/>
    <e v="#N/A"/>
    <m/>
    <m/>
    <m/>
    <d v="2020-12-20T00:00:00"/>
    <e v="#N/A"/>
    <s v="Fixed"/>
    <x v="1"/>
    <x v="0"/>
    <x v="0"/>
  </r>
  <r>
    <s v="81.192.11.141/0/oracle_linux-cve-2019-1580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5807"/>
    <s v="Oracle Linux: (CVE-2019-15807) (Multiple Advisories): kernel security, bug fix, and enhancement update"/>
    <s v="In the Linux kernel before 5.1.13, there is a memory leak in drivers/scsi/libsas/sas_expander.c when SAS expander discovery fails. This will cause a BUG and denial of ser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807] is not installed, no patches discovered._x000d__x000a__x000d__x000a__x000d__x000a_ * _x000d__x000a_      kernel-uek-firmware - version 4.1.12-94.3.9.el7uek is installed"/>
    <s v=""/>
    <s v="CVE-2019-15807"/>
    <s v="http://nvd.nist.gov/vuln/detail/CVE-2019-15807"/>
    <d v="2019-08-29T00:00:00"/>
    <s v="vv"/>
    <n v="0"/>
    <s v=""/>
    <s v=""/>
    <s v="3 Days"/>
    <m/>
    <m/>
    <s v="Fixed"/>
    <x v="4"/>
    <d v="2020-12-26T00:00:00"/>
    <m/>
    <x v="3"/>
    <s v="Unix"/>
    <e v="#N/A"/>
    <m/>
    <m/>
    <m/>
    <d v="2020-12-20T00:00:00"/>
    <e v="#N/A"/>
    <s v="Fixed"/>
    <x v="1"/>
    <x v="0"/>
    <x v="0"/>
  </r>
  <r>
    <s v="81.192.11.141/0/oracle_linux-cve-2019-1591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8"/>
    <x v="2"/>
    <s v="oracle_linux-cve-2019-15916"/>
    <s v="Oracle Linux: (CVE-2019-15916) (Multiple Advisories): kernel security, bug fix, and enhancement update"/>
    <s v="An issue was discovered in the Linux kernel before 5.0.1. There is a memory leak in register_queue_kobjects() in net/core/net-sysfs.c, which will cause denial of servic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916] is not installed, no patches discovered._x000d__x000a__x000d__x000a__x000d__x000a_ * _x000d__x000a_      kernel-uek-firmware - version 4.1.12-94.3.9.el7uek is installed"/>
    <s v=""/>
    <s v="CVE-2019-15916"/>
    <s v="http://nvd.nist.gov/vuln/detail/CVE-2019-15916"/>
    <d v="2019-09-04T00:00:00"/>
    <s v="vv"/>
    <n v="0"/>
    <s v=""/>
    <s v=""/>
    <s v="3 Days"/>
    <m/>
    <m/>
    <s v="Fixed"/>
    <x v="4"/>
    <d v="2020-12-26T00:00:00"/>
    <m/>
    <x v="3"/>
    <s v="Unix"/>
    <e v="#N/A"/>
    <m/>
    <m/>
    <m/>
    <d v="2020-12-20T00:00:00"/>
    <e v="#N/A"/>
    <s v="Fixed"/>
    <x v="1"/>
    <x v="0"/>
    <x v="0"/>
  </r>
  <r>
    <s v="81.192.11.141/0/oracle_linux-cve-2019-1592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9-15927"/>
    <s v="Oracle Linux: (CVE-2019-15927) ELSA-2020-5866: Unbreakable Enterprise kernel security update"/>
    <s v="An issue was discovered in the Linux kernel before 4.20.2. An out-of-bounds access exists in the function build_audio_procunit in the file sound/usb/mixer.c."/>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5927] is not installed, no patches discovered._x000d__x000a__x000d__x000a__x000d__x000a_ * _x000d__x000a_      kernel-uek-firmware - version 4.1.12-94.3.9.el7uek is installed"/>
    <s v=""/>
    <s v="CVE-2019-15927"/>
    <s v="http://nvd.nist.gov/vuln/detail/CVE-2019-15927"/>
    <d v="2019-09-04T00:00:00"/>
    <s v="vv"/>
    <n v="0"/>
    <s v=""/>
    <s v=""/>
    <s v="3 Days"/>
    <m/>
    <m/>
    <s v="Fixed"/>
    <x v="4"/>
    <d v="2020-12-26T00:00:00"/>
    <m/>
    <x v="3"/>
    <s v="Unix"/>
    <e v="#N/A"/>
    <m/>
    <m/>
    <m/>
    <d v="2020-12-20T00:00:00"/>
    <e v="#N/A"/>
    <s v="Fixed"/>
    <x v="1"/>
    <x v="0"/>
    <x v="0"/>
  </r>
  <r>
    <s v="81.192.11.141/0/oracle_linux-cve-2019-1623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6233"/>
    <s v="Oracle Linux: (CVE-2019-16233) (Multiple Advisories): kernel security, bug fix, and enhancement update"/>
    <s v="drivers/scsi/qla2xxx/qla_os.c in the Linux kernel 5.2.14 does not check the alloc_workqueue return value, leading to a NULL pointer dereferenc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6233] is not installed, no patches discovered._x000d__x000a__x000d__x000a__x000d__x000a_ * _x000d__x000a_      kernel-uek-firmware - version 4.1.12-94.3.9.el7uek is installed"/>
    <s v=""/>
    <s v="CVE-2019-16233"/>
    <s v="http://nvd.nist.gov/vuln/detail/CVE-2019-16233"/>
    <d v="2019-09-11T00:00:00"/>
    <s v="vv"/>
    <n v="0"/>
    <s v=""/>
    <s v=""/>
    <s v="3 Days"/>
    <m/>
    <m/>
    <s v="Fixed"/>
    <x v="4"/>
    <d v="2020-12-26T00:00:00"/>
    <m/>
    <x v="3"/>
    <s v="Unix"/>
    <e v="#N/A"/>
    <m/>
    <m/>
    <m/>
    <d v="2020-12-20T00:00:00"/>
    <e v="#N/A"/>
    <s v="Fixed"/>
    <x v="1"/>
    <x v="0"/>
    <x v="0"/>
  </r>
  <r>
    <s v="81.192.11.141/0/oracle_linux-cve-2019-1674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8"/>
    <x v="2"/>
    <s v="oracle_linux-cve-2019-16746"/>
    <s v="Oracle Linux: (CVE-2019-16746) (Multiple Advisories): Unbreakable Enterprise kernel security update"/>
    <s v="An issue was discovered in net/wireless/nl80211.c in the Linux kernel through 5.2.17. It does not check the length of variable elements in a beacon head, leading to a buffer overflow."/>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6746] is not installed, no patches discovered._x000d__x000a__x000d__x000a__x000d__x000a_ * _x000d__x000a_      kernel-uek-firmware - version 4.1.12-94.3.9.el7uek is installed"/>
    <s v=""/>
    <s v="CVE-2019-16746"/>
    <s v="http://nvd.nist.gov/vuln/detail/CVE-2019-16746"/>
    <d v="2019-09-24T00:00:00"/>
    <s v="vv"/>
    <n v="0"/>
    <s v=""/>
    <s v=""/>
    <s v="3 Days"/>
    <m/>
    <m/>
    <s v="Fixed"/>
    <x v="4"/>
    <d v="2020-12-26T00:00:00"/>
    <m/>
    <x v="3"/>
    <s v="Unix"/>
    <e v="#N/A"/>
    <m/>
    <m/>
    <m/>
    <d v="2020-12-20T00:00:00"/>
    <e v="#N/A"/>
    <s v="Fixed"/>
    <x v="1"/>
    <x v="0"/>
    <x v="0"/>
  </r>
  <r>
    <s v="81.192.11.141/0/oracle_linux-cve-2019-1699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6994"/>
    <s v="Oracle Linux: (CVE-2019-16994) (Multiple Advisories): kernel security, bug fix, and enhancement update"/>
    <s v="In the Linux kernel before 5.0, a memory leak exists in sit_init_net() in net/ipv6/sit.c when register_netdev() fails to register sitn-&gt;fb_tunnel_dev, which may cause denial of service, aka CID-07f12b26e21a."/>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6994] is not installed, no patches discovered._x000d__x000a__x000d__x000a__x000d__x000a_ * _x000d__x000a_      kernel-uek-firmware - version 4.1.12-94.3.9.el7uek is installed"/>
    <s v=""/>
    <s v="CVE-2019-16994"/>
    <s v="http://nvd.nist.gov/vuln/detail/CVE-2019-16994"/>
    <d v="2019-09-30T00:00:00"/>
    <s v="vv"/>
    <n v="0"/>
    <s v=""/>
    <s v=""/>
    <s v="3 Days"/>
    <m/>
    <m/>
    <s v="Fixed"/>
    <x v="4"/>
    <d v="2020-12-26T00:00:00"/>
    <m/>
    <x v="3"/>
    <s v="Unix"/>
    <e v="#N/A"/>
    <m/>
    <m/>
    <m/>
    <d v="2020-12-20T00:00:00"/>
    <e v="#N/A"/>
    <s v="Fixed"/>
    <x v="1"/>
    <x v="0"/>
    <x v="0"/>
  </r>
  <r>
    <s v="81.192.11.141/0/oracle_linux-cve-2019-1699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8"/>
    <x v="2"/>
    <s v="oracle_linux-cve-2019-16995"/>
    <s v="Oracle Linux: (CVE-2019-16995) ELSA-2019-4850: Unbreakable Enterprise kernel security update"/>
    <s v="In the Linux kernel before 5.0.3, a memory leak exits in hsr_dev_finalize() in net/hsr/hsr_device.c if hsr_add_port fails to add a port, which may cause denial of service, aka CID-6caabe7f197d."/>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6995] is not installed, no patches discovered._x000d__x000a__x000d__x000a__x000d__x000a_ * _x000d__x000a_      kernel-uek-firmware - version 4.1.12-94.3.9.el7uek is installed"/>
    <s v=""/>
    <s v="CVE-2019-16995"/>
    <s v="http://nvd.nist.gov/vuln/detail/CVE-2019-16995"/>
    <d v="2019-09-30T00:00:00"/>
    <s v="vv"/>
    <n v="0"/>
    <s v=""/>
    <s v=""/>
    <s v="3 Days"/>
    <m/>
    <m/>
    <s v="Fixed"/>
    <x v="4"/>
    <d v="2020-12-26T00:00:00"/>
    <m/>
    <x v="3"/>
    <s v="Unix"/>
    <e v="#N/A"/>
    <m/>
    <m/>
    <m/>
    <d v="2020-12-20T00:00:00"/>
    <e v="#N/A"/>
    <s v="Fixed"/>
    <x v="1"/>
    <x v="0"/>
    <x v="0"/>
  </r>
  <r>
    <s v="81.192.11.141/0/oracle_linux-cve-2019-1705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17053"/>
    <s v="Oracle Linux: (CVE-2019-17053) (Multiple Advisories): kernel security, bug fix, and enhancement update"/>
    <s v="ieee802154_create in net/ieee802154/socket.c in the AF_IEEE802154 network module in the Linux kernel through 5.3.2 does not enforce CAP_NET_RAW, which means that unprivileged users can create a raw socket, aka CID-e69dbd4619e7."/>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7053] is not installed, no patches discovered._x000d__x000a__x000d__x000a__x000d__x000a_ * _x000d__x000a_      kernel-uek-firmware - version 4.1.12-94.3.9.el7uek is installed"/>
    <s v=""/>
    <s v="CVE-2019-17053"/>
    <s v="http://nvd.nist.gov/vuln/detail/CVE-2019-17053"/>
    <d v="2019-10-01T00:00:00"/>
    <s v="vv"/>
    <n v="0"/>
    <s v=""/>
    <s v=""/>
    <s v="3 Days"/>
    <m/>
    <m/>
    <s v="Fixed"/>
    <x v="4"/>
    <d v="2020-12-26T00:00:00"/>
    <m/>
    <x v="3"/>
    <s v="Unix"/>
    <e v="#N/A"/>
    <m/>
    <m/>
    <m/>
    <d v="2020-12-20T00:00:00"/>
    <e v="#N/A"/>
    <s v="Fixed"/>
    <x v="1"/>
    <x v="0"/>
    <x v="0"/>
  </r>
  <r>
    <s v="81.192.11.141/0/oracle_linux-cve-2019-1705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17055"/>
    <s v="Oracle Linux: (CVE-2019-17055) (Multiple Advisories): kernel security, bug fix, and enhancement update"/>
    <s v="base_sock_create in drivers/isdn/mISDN/socket.c in the AF_ISDN network module in the Linux kernel through 5.3.2 does not enforce CAP_NET_RAW, which means that unprivileged users can create a raw socket, aka CID-b91ee4aa2a21."/>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7055] is not installed, no patches discovered._x000d__x000a__x000d__x000a__x000d__x000a_ * _x000d__x000a_      kernel-uek-firmware - version 4.1.12-94.3.9.el7uek is installed"/>
    <s v=""/>
    <s v="CVE-2019-17055"/>
    <s v="http://nvd.nist.gov/vuln/detail/CVE-2019-17055"/>
    <d v="2019-10-01T00:00:00"/>
    <s v="vv"/>
    <n v="0"/>
    <s v=""/>
    <s v=""/>
    <s v="3 Days"/>
    <m/>
    <m/>
    <s v="Fixed"/>
    <x v="4"/>
    <d v="2020-12-26T00:00:00"/>
    <m/>
    <x v="3"/>
    <s v="Unix"/>
    <e v="#N/A"/>
    <m/>
    <m/>
    <m/>
    <d v="2020-12-20T00:00:00"/>
    <e v="#N/A"/>
    <s v="Fixed"/>
    <x v="1"/>
    <x v="0"/>
    <x v="0"/>
  </r>
  <r>
    <s v="81.192.11.141/0/oracle_linux-cve-2019-1707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9-17075"/>
    <s v="Oracle Linux: (CVE-2019-17075) (Multiple Advisories): Unbreakable Enterprise kernel security update"/>
    <s v="An issue was discovered in write_tpt_entry in drivers/infiniband/hw/cxgb4/mem.c in the Linux kernel through 5.3.2. The cxgb4 driver is directly calling dma_map_single (a DMA function) from a stack variable. This could allow an attacker to trigger a Denial of Service, exploitable if this driver is used on an architecture for which this stack/DMA interaction has security relevanc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7075] is not installed, no patches discovered._x000d__x000a__x000d__x000a__x000d__x000a_ * _x000d__x000a_      kernel-uek-firmware - version 4.1.12-94.3.9.el7uek is installed"/>
    <s v=""/>
    <s v="CVE-2019-17075"/>
    <s v="http://nvd.nist.gov/vuln/detail/CVE-2019-17075"/>
    <d v="2019-10-01T00:00:00"/>
    <s v="vv"/>
    <n v="0"/>
    <s v=""/>
    <s v=""/>
    <s v="3 Days"/>
    <m/>
    <m/>
    <s v="Fixed"/>
    <x v="4"/>
    <d v="2020-12-26T00:00:00"/>
    <m/>
    <x v="3"/>
    <s v="Unix"/>
    <e v="#N/A"/>
    <m/>
    <m/>
    <m/>
    <d v="2020-12-20T00:00:00"/>
    <e v="#N/A"/>
    <s v="Fixed"/>
    <x v="1"/>
    <x v="0"/>
    <x v="0"/>
  </r>
  <r>
    <s v="81.192.11.141/0/oracle_linux-cve-2019-1766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8"/>
    <x v="2"/>
    <s v="oracle_linux-cve-2019-17666"/>
    <s v="Oracle Linux: (CVE-2019-17666) (Multiple Advisories): kernel security update"/>
    <s v="rtl_p2p_noa_ie in drivers/net/wireless/realtek/rtlwifi/ps.c in the Linux kernel through 5.3.6 lacks a certain upper-bound check, leading to a buffer overflow."/>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7666] is not installed, no patches discovered._x000d__x000a__x000d__x000a__x000d__x000a_ * _x000d__x000a_      kernel-uek-firmware - version 4.1.12-94.3.9.el7uek is installed"/>
    <s v=""/>
    <s v="CVE-2019-17666"/>
    <s v="http://nvd.nist.gov/vuln/detail/CVE-2019-17666"/>
    <d v="2019-10-17T00:00:00"/>
    <s v="vv"/>
    <n v="0"/>
    <s v=""/>
    <s v=""/>
    <s v="3 Days"/>
    <m/>
    <m/>
    <s v="Fixed"/>
    <x v="4"/>
    <d v="2020-12-26T00:00:00"/>
    <m/>
    <x v="3"/>
    <s v="Unix"/>
    <e v="#N/A"/>
    <m/>
    <m/>
    <m/>
    <d v="2020-12-20T00:00:00"/>
    <e v="#N/A"/>
    <s v="Fixed"/>
    <x v="1"/>
    <x v="0"/>
    <x v="0"/>
  </r>
  <r>
    <s v="81.192.11.141/0/oracle_linux-cve-2019-1880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18806"/>
    <s v="Oracle Linux: (CVE-2019-18806) (Multiple Advisories): Unbreakable Enterprise kernel security update"/>
    <s v="A memory leak in the ql_alloc_large_buffers() function in drivers/net/ethernet/qlogic/qla3xxx.c in the Linux kernel before 5.3.5 allows local users to cause a denial of service (memory consumption) by triggering pci_dma_mapping_error() failures, aka CID-1acb8f2a7a9f."/>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8806] is not installed, no patches discovered._x000d__x000a__x000d__x000a__x000d__x000a_ * _x000d__x000a_      kernel-uek-firmware - version 4.1.12-94.3.9.el7uek is installed"/>
    <s v=""/>
    <s v="CVE-2019-18806"/>
    <s v="http://nvd.nist.gov/vuln/detail/CVE-2019-18806"/>
    <d v="2019-11-07T00:00:00"/>
    <s v="vv"/>
    <n v="0"/>
    <s v=""/>
    <s v=""/>
    <s v="3 Days"/>
    <m/>
    <m/>
    <s v="Fixed"/>
    <x v="4"/>
    <d v="2020-12-26T00:00:00"/>
    <m/>
    <x v="3"/>
    <s v="Unix"/>
    <e v="#N/A"/>
    <m/>
    <m/>
    <m/>
    <d v="2020-12-20T00:00:00"/>
    <e v="#N/A"/>
    <s v="Fixed"/>
    <x v="1"/>
    <x v="0"/>
    <x v="0"/>
  </r>
  <r>
    <s v="81.192.11.141/0/oracle_linux-cve-2019-1888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18885"/>
    <s v="Oracle Linux: (CVE-2019-18885) (Multiple Advisories): Unbreakable Enterprise kernel security update"/>
    <s v="fs/btrfs/volumes.c in the Linux kernel before 5.1 allows a btrfs_verify_dev_extents NULL pointer dereference via a crafted btrfs image because fs_devices-&gt;devices is mishandled within find_device, aka CID-09ba3bc9dd15."/>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8885] is not installed, no patches discovered._x000d__x000a__x000d__x000a__x000d__x000a_ * _x000d__x000a_      kernel-uek-firmware - version 4.1.12-94.3.9.el7uek is installed"/>
    <s v=""/>
    <s v="CVE-2019-18885"/>
    <s v="http://nvd.nist.gov/vuln/detail/CVE-2019-18885"/>
    <d v="2019-11-14T00:00:00"/>
    <s v="vv"/>
    <n v="0"/>
    <s v=""/>
    <s v=""/>
    <s v="3 Days"/>
    <m/>
    <m/>
    <s v="Fixed"/>
    <x v="4"/>
    <d v="2020-12-26T00:00:00"/>
    <m/>
    <x v="3"/>
    <s v="Unix"/>
    <e v="#N/A"/>
    <m/>
    <m/>
    <m/>
    <d v="2020-12-20T00:00:00"/>
    <e v="#N/A"/>
    <s v="Fixed"/>
    <x v="1"/>
    <x v="0"/>
    <x v="0"/>
  </r>
  <r>
    <s v="81.192.11.141/0/oracle_linux-cve-2019-1904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8"/>
    <x v="2"/>
    <s v="oracle_linux-cve-2019-19049"/>
    <s v="Oracle Linux: (CVE-2019-19049) (Multiple Advisories): Unbreakable Enterprise kernel security update"/>
    <s v="** DISPUTED ** A memory leak in the unittest_data_add() function in drivers/of/unittest.c in the Linux kernel before 5.3.10 allows attackers to cause a denial of service (memory consumption) by triggering of_fdt_unflatten_tree() failures, aka CID-e13de8fe0d6a. NOTE: third parties dispute the relevance of this because unittest.c can only be reached during boot."/>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049] is not installed, no patches discovered._x000d__x000a__x000d__x000a__x000d__x000a_ * _x000d__x000a_      kernel-uek-firmware - version 4.1.12-94.3.9.el7uek is installed"/>
    <s v=""/>
    <s v="CVE-2019-19049"/>
    <s v="http://nvd.nist.gov/vuln/detail/CVE-2019-19049"/>
    <d v="2019-11-18T00:00:00"/>
    <s v="vv"/>
    <n v="0"/>
    <s v=""/>
    <s v=""/>
    <s v="3 Days"/>
    <m/>
    <m/>
    <s v="Fixed"/>
    <x v="4"/>
    <d v="2020-12-26T00:00:00"/>
    <m/>
    <x v="3"/>
    <s v="Unix"/>
    <e v="#N/A"/>
    <m/>
    <m/>
    <m/>
    <d v="2020-12-20T00:00:00"/>
    <e v="#N/A"/>
    <s v="Fixed"/>
    <x v="1"/>
    <x v="0"/>
    <x v="0"/>
  </r>
  <r>
    <s v="81.192.11.141/0/oracle_linux-cve-2019-1905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8"/>
    <x v="2"/>
    <s v="oracle_linux-cve-2019-19052"/>
    <s v="Oracle Linux: (CVE-2019-19052) (Multiple Advisories): Unbreakable Enterprise kernel security update"/>
    <s v="A memory leak in the gs_can_open() function in drivers/net/can/usb/gs_usb.c in the Linux kernel before 5.3.11 allows attackers to cause a denial of service (memory consumption) by triggering usb_submit_urb() failures, aka CID-fb5be6a7b486."/>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052] is not installed, no patches discovered._x000d__x000a__x000d__x000a__x000d__x000a_ * _x000d__x000a_      kernel-uek-firmware - version 4.1.12-94.3.9.el7uek is installed"/>
    <s v=""/>
    <s v="CVE-2019-19052"/>
    <s v="http://nvd.nist.gov/vuln/detail/CVE-2019-19052"/>
    <d v="2019-11-18T00:00:00"/>
    <s v="vv"/>
    <n v="0"/>
    <s v=""/>
    <s v=""/>
    <s v="3 Days"/>
    <m/>
    <m/>
    <s v="Fixed"/>
    <x v="4"/>
    <d v="2020-12-26T00:00:00"/>
    <m/>
    <x v="3"/>
    <s v="Unix"/>
    <e v="#N/A"/>
    <m/>
    <m/>
    <m/>
    <d v="2020-12-20T00:00:00"/>
    <e v="#N/A"/>
    <s v="Fixed"/>
    <x v="1"/>
    <x v="0"/>
    <x v="0"/>
  </r>
  <r>
    <s v="81.192.11.141/0/oracle_linux-cve-2019-1905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9054"/>
    <s v="Oracle Linux: (CVE-2019-19054) (Multiple Advisories): Unbreakable Enterprise kernel security update"/>
    <s v="A memory leak in the cx23888_ir_probe() function in drivers/media/pci/cx23885/cx23888-ir.c in the Linux kernel through 5.3.11 allows attackers to cause a denial of service (memory consumption) by triggering kfifo_alloc() failures, aka CID-a7b2df76b42b."/>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054] is not installed, no patches discovered._x000d__x000a__x000d__x000a__x000d__x000a_ * _x000d__x000a_      kernel-uek-firmware - version 4.1.12-94.3.9.el7uek is installed"/>
    <s v=""/>
    <s v="CVE-2019-19054"/>
    <s v="http://nvd.nist.gov/vuln/detail/CVE-2019-19054"/>
    <d v="2019-11-18T00:00:00"/>
    <s v="vv"/>
    <n v="0"/>
    <s v=""/>
    <s v=""/>
    <s v="3 Days"/>
    <m/>
    <m/>
    <s v="Fixed"/>
    <x v="4"/>
    <d v="2020-12-26T00:00:00"/>
    <m/>
    <x v="3"/>
    <s v="Unix"/>
    <e v="#N/A"/>
    <m/>
    <m/>
    <m/>
    <d v="2020-12-20T00:00:00"/>
    <e v="#N/A"/>
    <s v="Fixed"/>
    <x v="1"/>
    <x v="0"/>
    <x v="0"/>
  </r>
  <r>
    <s v="81.192.11.141/0/oracle_linux-cve-2019-1905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9056"/>
    <s v="Oracle Linux: (CVE-2019-19056) ELSA-2020-5670: Unbreakable Enterprise kernel security update"/>
    <s v="A memory leak in the mwifiex_pcie_alloc_cmdrsp_buf() function in drivers/net/wireless/marvell/mwifiex/pcie.c in the Linux kernel through 5.3.11 allows attackers to cause a denial of service (memory consumption) by triggering mwifiex_map_pci_memory() failures, aka CID-db8fd2cde932."/>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056] is not installed, no patches discovered._x000d__x000a__x000d__x000a__x000d__x000a_ * _x000d__x000a_      kernel-uek-firmware - version 4.1.12-94.3.9.el7uek is installed"/>
    <s v=""/>
    <s v="CVE-2019-19056"/>
    <s v="http://nvd.nist.gov/vuln/detail/CVE-2019-19056"/>
    <d v="2019-11-18T00:00:00"/>
    <s v="vv"/>
    <n v="0"/>
    <s v=""/>
    <s v=""/>
    <s v="3 Days"/>
    <m/>
    <m/>
    <s v="Fixed"/>
    <x v="4"/>
    <d v="2020-12-26T00:00:00"/>
    <m/>
    <x v="3"/>
    <s v="Unix"/>
    <e v="#N/A"/>
    <m/>
    <m/>
    <m/>
    <d v="2020-12-20T00:00:00"/>
    <e v="#N/A"/>
    <s v="Fixed"/>
    <x v="1"/>
    <x v="0"/>
    <x v="0"/>
  </r>
  <r>
    <s v="81.192.11.141/0/oracle_linux-cve-2019-1905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19057"/>
    <s v="Oracle Linux: (CVE-2019-19057) ELSA-2020-5708: Unbreakable Enterprise kernel security update"/>
    <s v="Two memory leaks in the mwifiex_pcie_init_evt_ring() function in drivers/net/wireless/marvell/mwifiex/pcie.c in the Linux kernel through 5.3.11 allow attackers to cause a denial of service (memory consumption) by triggering mwifiex_map_pci_memory() failures, aka CID-d10dcb615c8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057] is not installed, no patches discovered._x000d__x000a__x000d__x000a__x000d__x000a_ * _x000d__x000a_      kernel-uek-firmware - version 4.1.12-94.3.9.el7uek is installed"/>
    <s v=""/>
    <s v="CVE-2019-19057"/>
    <s v="http://nvd.nist.gov/vuln/detail/CVE-2019-19057"/>
    <d v="2019-11-18T00:00:00"/>
    <s v="vv"/>
    <n v="0"/>
    <s v=""/>
    <s v=""/>
    <s v="3 Days"/>
    <m/>
    <m/>
    <s v="Fixed"/>
    <x v="4"/>
    <d v="2020-12-26T00:00:00"/>
    <m/>
    <x v="3"/>
    <s v="Unix"/>
    <e v="#N/A"/>
    <m/>
    <m/>
    <m/>
    <d v="2020-12-20T00:00:00"/>
    <e v="#N/A"/>
    <s v="Fixed"/>
    <x v="1"/>
    <x v="0"/>
    <x v="0"/>
  </r>
  <r>
    <s v="81.192.11.141/0/oracle_linux-cve-2019-1906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9062"/>
    <s v="Oracle Linux: (CVE-2019-19062) (Multiple Advisories): kernel security, bug fix, and enhancement update"/>
    <s v="A memory leak in the crypto_report() function in crypto/crypto_user_base.c in the Linux kernel through 5.3.11 allows attackers to cause a denial of service (memory consumption) by triggering crypto_report_alg() failures, aka CID-ffdde5932042."/>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062] is not installed, no patches discovered._x000d__x000a__x000d__x000a__x000d__x000a_ * _x000d__x000a_      kernel-uek-firmware - version 4.1.12-94.3.9.el7uek is installed"/>
    <s v=""/>
    <s v="CVE-2019-19062"/>
    <s v="http://nvd.nist.gov/vuln/detail/CVE-2019-19062"/>
    <d v="2019-11-18T00:00:00"/>
    <s v="vv"/>
    <n v="0"/>
    <s v=""/>
    <s v=""/>
    <s v="3 Days"/>
    <m/>
    <m/>
    <s v="Fixed"/>
    <x v="4"/>
    <d v="2020-12-26T00:00:00"/>
    <m/>
    <x v="3"/>
    <s v="Unix"/>
    <e v="#N/A"/>
    <m/>
    <m/>
    <m/>
    <d v="2020-12-20T00:00:00"/>
    <e v="#N/A"/>
    <s v="Fixed"/>
    <x v="1"/>
    <x v="0"/>
    <x v="0"/>
  </r>
  <r>
    <s v="81.192.11.141/0/oracle_linux-cve-2019-1907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19073"/>
    <s v="Oracle Linux: (CVE-2019-19073) (Multiple Advisories): Unbreakable Enterprise kernel security update"/>
    <s v="Memory leaks in drivers/net/wireless/ath/ath9k/htc_hst.c in the Linux kernel through 5.3.11 allow attackers to cause a denial of service (memory consumption) by triggering wait_for_completion_timeout() failures. This affects the htc_config_pipe_credits() function, the htc_setup_complete() function, and the htc_connect_service() function, aka CID-853acf7caf10."/>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073] is not installed, no patches discovered._x000d__x000a__x000d__x000a__x000d__x000a_ * _x000d__x000a_      kernel-uek-firmware - version 4.1.12-94.3.9.el7uek is installed"/>
    <s v=""/>
    <s v="CVE-2019-19073"/>
    <s v="http://nvd.nist.gov/vuln/detail/CVE-2019-19073"/>
    <d v="2019-11-18T00:00:00"/>
    <s v="vv"/>
    <n v="0"/>
    <s v=""/>
    <s v=""/>
    <s v="3 Days"/>
    <m/>
    <m/>
    <s v="Fixed"/>
    <x v="4"/>
    <d v="2020-12-26T00:00:00"/>
    <m/>
    <x v="3"/>
    <s v="Unix"/>
    <e v="#N/A"/>
    <m/>
    <m/>
    <m/>
    <d v="2020-12-20T00:00:00"/>
    <e v="#N/A"/>
    <s v="Fixed"/>
    <x v="1"/>
    <x v="0"/>
    <x v="0"/>
  </r>
  <r>
    <s v="81.192.11.141/0/oracle_linux-cve-2019-1933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6"/>
    <x v="1"/>
    <s v="oracle_linux-cve-2019-19332"/>
    <s v="Oracle Linux: (CVE-2019-19332) (Multiple Advisories): kernel security, bug fix, and enhancement update"/>
    <s v="An out-of-bounds memory write issue was found in the Linux Kernel, version 3.13 through 5.4, in the way the Linux kernel's KVM hypervisor handled the 'KVM_GET_EMULATED_CPUID' ioctl(2) request to get CPUID features emulated by the KVM hypervisor. A user or process able to access the '/dev/kvm' device could use this flaw to crash the system, resulting in a denial of servic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332] is not installed, no patches discovered._x000d__x000a__x000d__x000a__x000d__x000a_ * _x000d__x000a_      kernel-uek-firmware - version 4.1.12-94.3.9.el7uek is installed"/>
    <s v=""/>
    <s v="CVE-2019-19332"/>
    <s v="http://nvd.nist.gov/vuln/detail/CVE-2019-19332"/>
    <d v="2019-12-17T00:00:00"/>
    <s v="vv"/>
    <n v="0"/>
    <s v=""/>
    <s v=""/>
    <s v="3 Days"/>
    <m/>
    <m/>
    <s v="Fixed"/>
    <x v="4"/>
    <d v="2020-12-26T00:00:00"/>
    <m/>
    <x v="3"/>
    <s v="Unix"/>
    <e v="#N/A"/>
    <m/>
    <m/>
    <m/>
    <d v="2020-12-20T00:00:00"/>
    <e v="#N/A"/>
    <s v="Fixed"/>
    <x v="1"/>
    <x v="0"/>
    <x v="0"/>
  </r>
  <r>
    <s v="81.192.11.141/0/oracle_linux-cve-2019-1952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9523"/>
    <s v="Oracle Linux: (CVE-2019-19523) (Multiple Advisories): kernel security, bug fix, and enhancement update"/>
    <s v="In the Linux kernel before 5.3.7, there is a use-after-free bug that can be caused by a malicious USB device in the drivers/usb/misc/adutux.c driver, aka CID-44efc269db79."/>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23] is not installed, no patches discovered._x000d__x000a__x000d__x000a__x000d__x000a_ * _x000d__x000a_      kernel-uek-firmware - version 4.1.12-94.3.9.el7uek is installed"/>
    <s v=""/>
    <s v="CVE-2019-19523"/>
    <s v="http://nvd.nist.gov/vuln/detail/CVE-2019-19523"/>
    <d v="2019-12-03T00:00:00"/>
    <s v="vv"/>
    <n v="0"/>
    <s v=""/>
    <s v=""/>
    <s v="3 Days"/>
    <m/>
    <m/>
    <s v="Fixed"/>
    <x v="4"/>
    <d v="2020-12-26T00:00:00"/>
    <m/>
    <x v="3"/>
    <s v="Unix"/>
    <e v="#N/A"/>
    <m/>
    <m/>
    <m/>
    <d v="2020-12-20T00:00:00"/>
    <e v="#N/A"/>
    <s v="Fixed"/>
    <x v="1"/>
    <x v="0"/>
    <x v="0"/>
  </r>
  <r>
    <s v="81.192.11.141/0/oracle_linux-cve-2019-1952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9524"/>
    <s v="Oracle Linux: (CVE-2019-19524) (Multiple Advisories): kernel security, bug fix, and enhancement update"/>
    <s v="In the Linux kernel before 5.3.12, there is a use-after-free bug that can be caused by a malicious USB device in the drivers/input/ff-memless.c driver, aka CID-fa3a5a1880c9."/>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24] is not installed, no patches discovered._x000d__x000a__x000d__x000a__x000d__x000a_ * _x000d__x000a_      kernel-uek-firmware - version 4.1.12-94.3.9.el7uek is installed"/>
    <s v=""/>
    <s v="CVE-2019-19524"/>
    <s v="http://nvd.nist.gov/vuln/detail/CVE-2019-19524"/>
    <d v="2019-12-03T00:00:00"/>
    <s v="vv"/>
    <n v="0"/>
    <s v=""/>
    <s v=""/>
    <s v="3 Days"/>
    <m/>
    <m/>
    <s v="Fixed"/>
    <x v="4"/>
    <d v="2020-12-26T00:00:00"/>
    <m/>
    <x v="3"/>
    <s v="Unix"/>
    <e v="#N/A"/>
    <m/>
    <m/>
    <m/>
    <d v="2020-12-20T00:00:00"/>
    <e v="#N/A"/>
    <s v="Fixed"/>
    <x v="1"/>
    <x v="0"/>
    <x v="0"/>
  </r>
  <r>
    <s v="81.192.11.141/0/oracle_linux-cve-2019-1952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9-19527"/>
    <s v="Oracle Linux: (CVE-2019-19527) (Multiple Advisories): kernel security and bug fix update"/>
    <s v="In the Linux kernel before 5.2.10, there is a use-after-free bug that can be caused by a malicious USB device in the drivers/hid/usbhid/hiddev.c driver, aka CID-9c09b214f30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27] is not installed, no patches discovered._x000d__x000a__x000d__x000a__x000d__x000a_ * _x000d__x000a_      kernel-uek-firmware - version 4.1.12-94.3.9.el7uek is installed"/>
    <s v=""/>
    <s v="CVE-2019-19527"/>
    <s v="http://nvd.nist.gov/vuln/detail/CVE-2019-19527"/>
    <d v="2019-12-03T00:00:00"/>
    <s v="vv"/>
    <n v="0"/>
    <s v=""/>
    <s v=""/>
    <s v="3 Days"/>
    <m/>
    <m/>
    <s v="Fixed"/>
    <x v="4"/>
    <d v="2020-12-26T00:00:00"/>
    <m/>
    <x v="3"/>
    <s v="Unix"/>
    <e v="#N/A"/>
    <m/>
    <m/>
    <m/>
    <d v="2020-12-20T00:00:00"/>
    <e v="#N/A"/>
    <s v="Fixed"/>
    <x v="1"/>
    <x v="0"/>
    <x v="0"/>
  </r>
  <r>
    <s v="81.192.11.141/0/oracle_linux-cve-2019-1952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6"/>
    <x v="1"/>
    <s v="oracle_linux-cve-2019-19528"/>
    <s v="Oracle Linux: (CVE-2019-19528) (Multiple Advisories): Unbreakable Enterprise kernel security update"/>
    <s v="In the Linux kernel before 5.3.7, there is a use-after-free bug that can be caused by a malicious USB device in the drivers/usb/misc/iowarrior.c driver, aka CID-edc4746f253d."/>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28] is not installed, no patches discovered._x000d__x000a__x000d__x000a__x000d__x000a_ * _x000d__x000a_      kernel-uek-firmware - version 4.1.12-94.3.9.el7uek is installed"/>
    <s v=""/>
    <s v="CVE-2019-19528"/>
    <s v="http://nvd.nist.gov/vuln/detail/CVE-2019-19528"/>
    <d v="2019-12-03T00:00:00"/>
    <s v="vv"/>
    <n v="0"/>
    <s v=""/>
    <s v=""/>
    <s v="3 Days"/>
    <m/>
    <m/>
    <s v="Fixed"/>
    <x v="4"/>
    <d v="2020-12-26T00:00:00"/>
    <m/>
    <x v="3"/>
    <s v="Unix"/>
    <e v="#N/A"/>
    <m/>
    <m/>
    <m/>
    <d v="2020-12-20T00:00:00"/>
    <e v="#N/A"/>
    <s v="Fixed"/>
    <x v="1"/>
    <x v="0"/>
    <x v="0"/>
  </r>
  <r>
    <s v="81.192.11.141/0/oracle_linux-cve-2019-1953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9530"/>
    <s v="Oracle Linux: (CVE-2019-19530) (Multiple Advisories): Unbreakable Enterprise kernel security update"/>
    <s v="In the Linux kernel before 5.2.10, there is a use-after-free bug that can be caused by a malicious USB device in the drivers/usb/class/cdc-acm.c driver, aka CID-c52873e5a1ef."/>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30] is not installed, no patches discovered._x000d__x000a__x000d__x000a__x000d__x000a_ * _x000d__x000a_      kernel-uek-firmware - version 4.1.12-94.3.9.el7uek is installed"/>
    <s v=""/>
    <s v="CVE-2019-19530"/>
    <s v="http://nvd.nist.gov/vuln/detail/CVE-2019-19530"/>
    <d v="2019-12-03T00:00:00"/>
    <s v="vv"/>
    <n v="0"/>
    <s v=""/>
    <s v=""/>
    <s v="3 Days"/>
    <m/>
    <m/>
    <s v="Fixed"/>
    <x v="4"/>
    <d v="2020-12-26T00:00:00"/>
    <m/>
    <x v="3"/>
    <s v="Unix"/>
    <e v="#N/A"/>
    <m/>
    <m/>
    <m/>
    <d v="2020-12-20T00:00:00"/>
    <e v="#N/A"/>
    <s v="Fixed"/>
    <x v="1"/>
    <x v="0"/>
    <x v="0"/>
  </r>
  <r>
    <s v="81.192.11.141/0/oracle_linux-cve-2019-1953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9532"/>
    <s v="Oracle Linux: (CVE-2019-19532) (Multiple Advisories): Unbreakable Enterprise kernel security update"/>
    <s v="In the Linux kernel before 5.3.9, there are multiple out-of-bounds write bugs that can be caused by a malicious USB device in the Linux kernel HID drivers, aka CID-d9d4b1e46d95. This affects drivers/hid/hid-axff.c, drivers/hid/hid-dr.c, drivers/hid/hid-emsff.c, drivers/hid/hid-gaff.c, drivers/hid/hid-holtekff.c, drivers/hid/hid-lg2ff.c, drivers/hid/hid-lg3ff.c, drivers/hid/hid-lg4ff.c, drivers/hid/hid-lgff.c, drivers/hid/hid-logitech-hidpp.c, drivers/hid/hid-microsoft.c, drivers/hid/hid-sony.c, drivers/hid/hid-tmff.c, and drivers/hid/hid-zpff.c."/>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32] is not installed, no patches discovered._x000d__x000a__x000d__x000a__x000d__x000a_ * _x000d__x000a_      kernel-uek-firmware - version 4.1.12-94.3.9.el7uek is installed"/>
    <s v=""/>
    <s v="CVE-2019-19532"/>
    <s v="http://nvd.nist.gov/vuln/detail/CVE-2019-19532"/>
    <d v="2019-12-03T00:00:00"/>
    <s v="vv"/>
    <n v="0"/>
    <s v=""/>
    <s v=""/>
    <s v="3 Days"/>
    <m/>
    <m/>
    <s v="Fixed"/>
    <x v="4"/>
    <d v="2020-12-26T00:00:00"/>
    <m/>
    <x v="3"/>
    <s v="Unix"/>
    <e v="#N/A"/>
    <m/>
    <m/>
    <m/>
    <d v="2020-12-20T00:00:00"/>
    <e v="#N/A"/>
    <s v="Fixed"/>
    <x v="1"/>
    <x v="0"/>
    <x v="0"/>
  </r>
  <r>
    <s v="81.192.11.141/0/oracle_linux-cve-2019-1953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19533"/>
    <s v="Oracle Linux: (CVE-2019-19533) (Multiple Advisories): Unbreakable Enterprise kernel security update"/>
    <s v="In the Linux kernel before 5.3.4, there is an info-leak bug that can be caused by a malicious USB device in the drivers/media/usb/ttusb-dec/ttusb_dec.c driver, aka CID-a10feaf8c464."/>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33] is not installed, no patches discovered._x000d__x000a__x000d__x000a__x000d__x000a_ * _x000d__x000a_      kernel-uek-firmware - version 4.1.12-94.3.9.el7uek is installed"/>
    <s v=""/>
    <s v="CVE-2019-19533"/>
    <s v="http://nvd.nist.gov/vuln/detail/CVE-2019-19533"/>
    <d v="2019-12-03T00:00:00"/>
    <s v="vv"/>
    <n v="0"/>
    <s v=""/>
    <s v=""/>
    <s v="3 Days"/>
    <m/>
    <m/>
    <s v="Fixed"/>
    <x v="4"/>
    <d v="2020-12-26T00:00:00"/>
    <m/>
    <x v="3"/>
    <s v="Unix"/>
    <e v="#N/A"/>
    <m/>
    <m/>
    <m/>
    <d v="2020-12-20T00:00:00"/>
    <e v="#N/A"/>
    <s v="Fixed"/>
    <x v="1"/>
    <x v="0"/>
    <x v="0"/>
  </r>
  <r>
    <s v="81.192.11.141/0/oracle_linux-cve-2019-1953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19534"/>
    <s v="Oracle Linux: (CVE-2019-19534) (Multiple Advisories): kernel security, bug fix, and enhancement update"/>
    <s v="In the Linux kernel before 5.3.11, there is an info-leak bug that can be caused by a malicious USB device in the drivers/net/can/usb/peak_usb/pcan_usb_core.c driver, aka CID-f7a1337f0d29."/>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34] is not installed, no patches discovered._x000d__x000a__x000d__x000a__x000d__x000a_ * _x000d__x000a_      kernel-uek-firmware - version 4.1.12-94.3.9.el7uek is installed"/>
    <s v=""/>
    <s v="CVE-2019-19534"/>
    <s v="http://nvd.nist.gov/vuln/detail/CVE-2019-19534"/>
    <d v="2019-12-03T00:00:00"/>
    <s v="vv"/>
    <n v="0"/>
    <s v=""/>
    <s v=""/>
    <s v="3 Days"/>
    <m/>
    <m/>
    <s v="Fixed"/>
    <x v="4"/>
    <d v="2020-12-26T00:00:00"/>
    <m/>
    <x v="3"/>
    <s v="Unix"/>
    <e v="#N/A"/>
    <m/>
    <m/>
    <m/>
    <d v="2020-12-20T00:00:00"/>
    <e v="#N/A"/>
    <s v="Fixed"/>
    <x v="1"/>
    <x v="0"/>
    <x v="0"/>
  </r>
  <r>
    <s v="81.192.11.141/0/oracle_linux-cve-2019-1953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19535"/>
    <s v="Oracle Linux: (CVE-2019-19535) (Multiple Advisories): Unbreakable Enterprise kernel security update"/>
    <s v="In the Linux kernel before 5.2.9, there is an info-leak bug that can be caused by a malicious USB device in the drivers/net/can/usb/peak_usb/pcan_usb_fd.c driver, aka CID-30a8beeb3042."/>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35] is not installed, no patches discovered._x000d__x000a__x000d__x000a__x000d__x000a_ * _x000d__x000a_      kernel-uek-firmware - version 4.1.12-94.3.9.el7uek is installed"/>
    <s v=""/>
    <s v="CVE-2019-19535"/>
    <s v="http://nvd.nist.gov/vuln/detail/CVE-2019-19535"/>
    <d v="2019-12-03T00:00:00"/>
    <s v="vv"/>
    <n v="0"/>
    <s v=""/>
    <s v=""/>
    <s v="3 Days"/>
    <m/>
    <m/>
    <s v="Fixed"/>
    <x v="4"/>
    <d v="2020-12-26T00:00:00"/>
    <m/>
    <x v="3"/>
    <s v="Unix"/>
    <e v="#N/A"/>
    <m/>
    <m/>
    <m/>
    <d v="2020-12-20T00:00:00"/>
    <e v="#N/A"/>
    <s v="Fixed"/>
    <x v="1"/>
    <x v="0"/>
    <x v="0"/>
  </r>
  <r>
    <s v="81.192.11.141/0/oracle_linux-cve-2019-1953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19536"/>
    <s v="Oracle Linux: (CVE-2019-19536) (Multiple Advisories): Unbreakable Enterprise kernel security update"/>
    <s v="In the Linux kernel before 5.2.9, there is an info-leak bug that can be caused by a malicious USB device in the drivers/net/can/usb/peak_usb/pcan_usb_pro.c driver, aka CID-ead16e53c2f0."/>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36] is not installed, no patches discovered._x000d__x000a__x000d__x000a__x000d__x000a_ * _x000d__x000a_      kernel-uek-firmware - version 4.1.12-94.3.9.el7uek is installed"/>
    <s v=""/>
    <s v="CVE-2019-19536"/>
    <s v="http://nvd.nist.gov/vuln/detail/CVE-2019-19536"/>
    <d v="2019-12-03T00:00:00"/>
    <s v="vv"/>
    <n v="0"/>
    <s v=""/>
    <s v=""/>
    <s v="3 Days"/>
    <m/>
    <m/>
    <s v="Fixed"/>
    <x v="4"/>
    <d v="2020-12-26T00:00:00"/>
    <m/>
    <x v="3"/>
    <s v="Unix"/>
    <e v="#N/A"/>
    <m/>
    <m/>
    <m/>
    <d v="2020-12-20T00:00:00"/>
    <e v="#N/A"/>
    <s v="Fixed"/>
    <x v="1"/>
    <x v="0"/>
    <x v="0"/>
  </r>
  <r>
    <s v="81.192.11.141/0/oracle_linux-cve-2019-1953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9537"/>
    <s v="Oracle Linux: (CVE-2019-19537) (Multiple Advisories): kernel security, bug fix, and enhancement update"/>
    <s v="In the Linux kernel before 5.2.10, there is a race condition bug that can be caused by a malicious USB device in the USB character device driver layer, aka CID-303911cfc5b9. This affects drivers/usb/core/file.c."/>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537] is not installed, no patches discovered._x000d__x000a__x000d__x000a__x000d__x000a_ * _x000d__x000a_      kernel-uek-firmware - version 4.1.12-94.3.9.el7uek is installed"/>
    <s v=""/>
    <s v="CVE-2019-19537"/>
    <s v="http://nvd.nist.gov/vuln/detail/CVE-2019-19537"/>
    <d v="2019-12-03T00:00:00"/>
    <s v="vv"/>
    <n v="0"/>
    <s v=""/>
    <s v=""/>
    <s v="3 Days"/>
    <m/>
    <m/>
    <s v="Fixed"/>
    <x v="4"/>
    <d v="2020-12-26T00:00:00"/>
    <m/>
    <x v="3"/>
    <s v="Unix"/>
    <e v="#N/A"/>
    <m/>
    <m/>
    <m/>
    <d v="2020-12-20T00:00:00"/>
    <e v="#N/A"/>
    <s v="Fixed"/>
    <x v="1"/>
    <x v="0"/>
    <x v="0"/>
  </r>
  <r>
    <s v="81.192.11.141/0/oracle_linux-cve-2019-1976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19768"/>
    <s v="Oracle Linux: (CVE-2019-19768) (Multiple Advisories): Unbreakable Enterprise kernel security update"/>
    <s v="In the Linux kernel 5.4.0-rc2, there is a use-after-free (read) in the __blk_add_trace function in kernel/trace/blktrace.c (which is used to fill out a blk_io_trace structure and place it in a per-cpu sub-buffer)."/>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768] is not installed, no patches discovered._x000d__x000a__x000d__x000a__x000d__x000a_ * _x000d__x000a_      kernel-uek-firmware - version 4.1.12-94.3.9.el7uek is installed"/>
    <s v=""/>
    <s v="CVE-2019-19768"/>
    <s v="http://nvd.nist.gov/vuln/detail/CVE-2019-19768"/>
    <d v="2019-12-12T00:00:00"/>
    <s v="vv"/>
    <n v="0"/>
    <s v=""/>
    <s v=""/>
    <s v="3 Days"/>
    <m/>
    <m/>
    <s v="Fixed"/>
    <x v="4"/>
    <d v="2020-12-26T00:00:00"/>
    <m/>
    <x v="3"/>
    <s v="Unix"/>
    <e v="#N/A"/>
    <m/>
    <m/>
    <m/>
    <d v="2020-12-20T00:00:00"/>
    <e v="#N/A"/>
    <s v="Fixed"/>
    <x v="1"/>
    <x v="0"/>
    <x v="0"/>
  </r>
  <r>
    <s v="81.192.11.141/0/oracle_linux-cve-2019-1996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19965"/>
    <s v="Oracle Linux: (CVE-2019-19965) (Multiple Advisories): Unbreakable Enterprise kernel security update"/>
    <s v="In the Linux kernel through 5.4.6, there is a NULL pointer dereference in drivers/scsi/libsas/sas_discover.c because of mishandling of port disconnection during discovery, related to a PHY down race condition, aka CID-f70267f379b5."/>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19965] is not installed, no patches discovered._x000d__x000a__x000d__x000a__x000d__x000a_ * _x000d__x000a_      kernel-uek-firmware - version 4.1.12-94.3.9.el7uek is installed"/>
    <s v=""/>
    <s v="CVE-2019-19965"/>
    <s v="http://nvd.nist.gov/vuln/detail/CVE-2019-19965"/>
    <d v="2019-12-25T00:00:00"/>
    <s v="vv"/>
    <n v="0"/>
    <s v=""/>
    <s v=""/>
    <s v="3 Days"/>
    <m/>
    <m/>
    <s v="Fixed"/>
    <x v="4"/>
    <d v="2020-12-26T00:00:00"/>
    <m/>
    <x v="3"/>
    <s v="Unix"/>
    <e v="#N/A"/>
    <m/>
    <m/>
    <m/>
    <d v="2020-12-20T00:00:00"/>
    <e v="#N/A"/>
    <s v="Fixed"/>
    <x v="1"/>
    <x v="0"/>
    <x v="0"/>
  </r>
  <r>
    <s v="81.192.11.141/0/oracle_linux-cve-2019-2005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20054"/>
    <s v="Oracle Linux: (CVE-2019-20054) (Multiple Advisories): Unbreakable Enterprise kernel security update"/>
    <s v="In the Linux kernel before 5.0.6, there is a NULL pointer dereference in drop_sysctl_table() in fs/proc/proc_sysctl.c, related to put_links, aka CID-23da9588037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20054] is not installed, no patches discovered._x000d__x000a__x000d__x000a__x000d__x000a_ * _x000d__x000a_      kernel-uek-firmware - version 4.1.12-94.3.9.el7uek is installed"/>
    <s v=""/>
    <s v="CVE-2019-20054"/>
    <s v="http://nvd.nist.gov/vuln/detail/CVE-2019-20054"/>
    <d v="2019-12-28T00:00:00"/>
    <s v="vv"/>
    <n v="0"/>
    <s v=""/>
    <s v=""/>
    <s v="3 Days"/>
    <m/>
    <m/>
    <s v="Fixed"/>
    <x v="4"/>
    <d v="2020-12-26T00:00:00"/>
    <m/>
    <x v="3"/>
    <s v="Unix"/>
    <e v="#N/A"/>
    <m/>
    <m/>
    <m/>
    <d v="2020-12-20T00:00:00"/>
    <e v="#N/A"/>
    <s v="Fixed"/>
    <x v="1"/>
    <x v="0"/>
    <x v="0"/>
  </r>
  <r>
    <s v="81.192.11.141/0/oracle_linux-cve-2019-2009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20096"/>
    <s v="Oracle Linux: (CVE-2019-20096) ELSA-2020-5866: Unbreakable Enterprise kernel security update"/>
    <s v="In the Linux kernel before 5.1, there is a memory leak in __feat_register_sp() in net/dccp/feat.c, which may cause denial of service, aka CID-1d3ff0950e2b."/>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20096] is not installed, no patches discovered._x000d__x000a__x000d__x000a__x000d__x000a_ * _x000d__x000a_      kernel-uek-firmware - version 4.1.12-94.3.9.el7uek is installed"/>
    <s v=""/>
    <s v="CVE-2019-20096"/>
    <s v="http://nvd.nist.gov/vuln/detail/CVE-2019-20096"/>
    <d v="2019-12-30T00:00:00"/>
    <s v="vv"/>
    <n v="0"/>
    <s v=""/>
    <s v=""/>
    <s v="3 Days"/>
    <m/>
    <m/>
    <s v="Fixed"/>
    <x v="4"/>
    <d v="2020-12-26T00:00:00"/>
    <m/>
    <x v="3"/>
    <s v="Unix"/>
    <e v="#N/A"/>
    <m/>
    <m/>
    <m/>
    <d v="2020-12-20T00:00:00"/>
    <e v="#N/A"/>
    <s v="Fixed"/>
    <x v="1"/>
    <x v="0"/>
    <x v="0"/>
  </r>
  <r>
    <s v="81.192.11.141/0/oracle_linux-cve-2019-2063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9-20636"/>
    <s v="Oracle Linux: (CVE-2019-20636) (Multiple Advisories): kernel security, bug fix, and enhancement update"/>
    <s v="In the Linux kernel before 5.4.12, drivers/input/input.c has out-of-bounds writes via a crafted keycode table, as demonstrated by input_set_keycode, aka CID-cb222aed03d7."/>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20636] is not installed, no patches discovered._x000d__x000a__x000d__x000a__x000d__x000a_ * _x000d__x000a_      kernel-uek-firmware - version 4.1.12-94.3.9.el7uek is installed"/>
    <s v=""/>
    <s v="CVE-2019-20636"/>
    <s v="http://nvd.nist.gov/vuln/detail/CVE-2019-20636"/>
    <d v="2020-04-08T00:00:00"/>
    <s v="vv"/>
    <n v="0"/>
    <s v=""/>
    <s v=""/>
    <s v="3 Days"/>
    <m/>
    <m/>
    <s v="Fixed"/>
    <x v="4"/>
    <d v="2020-12-26T00:00:00"/>
    <m/>
    <x v="3"/>
    <s v="Unix"/>
    <e v="#N/A"/>
    <m/>
    <m/>
    <m/>
    <d v="2020-12-20T00:00:00"/>
    <e v="#N/A"/>
    <s v="Fixed"/>
    <x v="1"/>
    <x v="0"/>
    <x v="0"/>
  </r>
  <r>
    <s v="81.192.11.141/0/oracle_linux-cve-2019-2081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20811"/>
    <s v="Oracle Linux: (CVE-2019-20811) (Multiple Advisories): kernel security and bug fix update"/>
    <s v="An issue was discovered in the Linux kernel before 5.0.6. In rx_queue_add_kobject() and netdev_queue_add_kobject() in net/core/net-sysfs.c, a reference count is mishandled, aka CID-a3e23f719f5c."/>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20811] is not installed, no patches discovered._x000d__x000a__x000d__x000a__x000d__x000a_ * _x000d__x000a_      kernel-uek-firmware - version 4.1.12-94.3.9.el7uek is installed"/>
    <s v=""/>
    <s v="CVE-2019-20811"/>
    <s v="http://nvd.nist.gov/vuln/detail/CVE-2019-20811"/>
    <d v="2020-06-03T00:00:00"/>
    <s v="vv"/>
    <n v="0"/>
    <s v=""/>
    <s v=""/>
    <s v="3 Days"/>
    <m/>
    <m/>
    <s v="Fixed"/>
    <x v="4"/>
    <d v="2020-12-26T00:00:00"/>
    <m/>
    <x v="3"/>
    <s v="Unix"/>
    <e v="#N/A"/>
    <m/>
    <m/>
    <m/>
    <d v="2020-12-20T00:00:00"/>
    <e v="#N/A"/>
    <s v="Fixed"/>
    <x v="1"/>
    <x v="0"/>
    <x v="0"/>
  </r>
  <r>
    <s v="81.192.11.141/0/oracle_linux-cve-2019-2081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20812"/>
    <s v="Oracle Linux: (CVE-2019-20812) (Multiple Advisories): Unbreakable Enterprise kernel security update"/>
    <s v="An issue was discovered in the Linux kernel before 5.4.7. The prb_calc_retire_blk_tmo() function in net/packet/af_packet.c can result in a denial of service (CPU consumption and soft lockup) in a certain failure case involving TPACKET_V3, aka CID-b43d1f9f7067."/>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20812] is not installed, no patches discovered._x000d__x000a__x000d__x000a__x000d__x000a_ * _x000d__x000a_      kernel-uek-firmware - version 4.1.12-94.3.9.el7uek is installed"/>
    <s v=""/>
    <s v="CVE-2019-20812"/>
    <s v="http://nvd.nist.gov/vuln/detail/CVE-2019-20812"/>
    <d v="2020-06-03T00:00:00"/>
    <s v="vv"/>
    <n v="0"/>
    <s v=""/>
    <s v=""/>
    <s v="3 Days"/>
    <m/>
    <m/>
    <s v="Fixed"/>
    <x v="4"/>
    <d v="2020-12-26T00:00:00"/>
    <m/>
    <x v="3"/>
    <s v="Unix"/>
    <e v="#N/A"/>
    <m/>
    <m/>
    <m/>
    <d v="2020-12-20T00:00:00"/>
    <e v="#N/A"/>
    <s v="Fixed"/>
    <x v="1"/>
    <x v="0"/>
    <x v="0"/>
  </r>
  <r>
    <s v="81.192.11.141/0/oracle_linux-cve-2019-2090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20907"/>
    <s v="Oracle Linux: (CVE-2019-20907) (Multiple Advisories): python3 security update"/>
    <s v="In Lib/tarfile.py in Python through 3.8.3, an attacker is able to craft a TAR archive leading to an infinite loop when opened by tarfile.open, because _proc_pax lacks header validation."/>
    <s v="* platform-python on Oracle Linux_x000d__x000a_      Upgrade platform-python_x000d__x000a__x000d__x000a_       Update platform-pyth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latform-python-debug on Oracle Linux_x000d__x000a_      Upgrade platform-python-debug_x000d__x000a__x000d__x000a_       Update platform-python-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latform-python-devel on Oracle Linux_x000d__x000a_      Upgrade platform-python-devel_x000d__x000a__x000d__x000a_       Update platform-python-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 on Oracle Linux_x000d__x000a_      Upgrade python_x000d__x000a__x000d__x000a_       Update pyth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debug on Oracle Linux_x000d__x000a_      Upgrade python-debug_x000d__x000a__x000d__x000a_       Update python-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devel on Oracle Linux_x000d__x000a_      Upgrade python-devel_x000d__x000a__x000d__x000a_       Update python-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libs on Oracle Linux_x000d__x000a_      Upgrade python-libs_x000d__x000a__x000d__x000a_       Update python-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test on Oracle Linux_x000d__x000a_      Upgrade python-test_x000d__x000a__x000d__x000a_       Update python-tes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tools on Oracle Linux_x000d__x000a_      Upgrade python-tools_x000d__x000a__x000d__x000a_       Update python-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 on Oracle Linux_x000d__x000a_      Upgrade python3_x000d__x000a__x000d__x000a_       Update python3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debug on Oracle Linux_x000d__x000a_      Upgrade python3-debug_x000d__x000a__x000d__x000a_       Update python3-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devel on Oracle Linux_x000d__x000a_      Upgrade python3-devel_x000d__x000a__x000d__x000a_       Update python3-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idle on Oracle Linux_x000d__x000a_      Upgrade python3-idle_x000d__x000a__x000d__x000a_       Update python3-idl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libs on Oracle Linux_x000d__x000a_      Upgrade python3-libs_x000d__x000a__x000d__x000a_       Update python3-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test on Oracle Linux_x000d__x000a_      Upgrade python3-test_x000d__x000a__x000d__x000a_       Update python3-tes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tkinter on Oracle Linux_x000d__x000a_      Upgrade python3-tkinter_x000d__x000a__x000d__x000a_       Update python3-tkint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tkinter on Oracle Linux_x000d__x000a_      Upgrade tkinter_x000d__x000a__x000d__x000a_       Update tkinter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python - version 2.7.5-89.0.1.el7 is installed"/>
    <s v=""/>
    <s v="CVE-2019-20907"/>
    <s v="http://nvd.nist.gov/vuln/detail/CVE-2019-20907"/>
    <d v="2020-07-13T00:00:00"/>
    <s v="vv"/>
    <n v="0"/>
    <s v=""/>
    <s v=""/>
    <s v="3 Days"/>
    <m/>
    <m/>
    <s v="Fixed"/>
    <x v="4"/>
    <d v="2020-12-26T00:00:00"/>
    <m/>
    <x v="3"/>
    <s v="Unix"/>
    <e v="#N/A"/>
    <m/>
    <m/>
    <m/>
    <d v="2020-12-20T00:00:00"/>
    <e v="#N/A"/>
    <s v="Fixed"/>
    <x v="1"/>
    <x v="0"/>
    <x v="0"/>
  </r>
  <r>
    <s v="81.192.11.141/0/oracle_linux-cve-2019-345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3"/>
    <x v="0"/>
    <s v="oracle_linux-cve-2019-3459"/>
    <s v="Oracle Linux: (CVE-2019-3459) (Multiple Advisories): kernel security, bug fix, and enhancement update"/>
    <s v="A heap address information leak while using L2CAP_GET_CONF_OPT was discovered in the Linux kernel before 5.1-rc1."/>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3459] is not installed, no patches discovered._x000d__x000a__x000d__x000a__x000d__x000a_ * _x000d__x000a_      kernel-uek-firmware - version 4.1.12-94.3.9.el7uek is installed"/>
    <s v=""/>
    <s v="CVE-2019-3459"/>
    <s v="http://nvd.nist.gov/vuln/detail/CVE-2019-3459"/>
    <d v="2019-02-07T00:00:00"/>
    <s v="vv"/>
    <n v="0"/>
    <s v=""/>
    <s v=""/>
    <s v="3 Days"/>
    <m/>
    <m/>
    <s v="Fixed"/>
    <x v="4"/>
    <d v="2020-12-26T00:00:00"/>
    <m/>
    <x v="3"/>
    <s v="Unix"/>
    <e v="#N/A"/>
    <m/>
    <m/>
    <m/>
    <d v="2020-12-20T00:00:00"/>
    <e v="#N/A"/>
    <s v="Fixed"/>
    <x v="1"/>
    <x v="0"/>
    <x v="0"/>
  </r>
  <r>
    <s v="81.192.11.141/0/oracle_linux-cve-2019-370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3701"/>
    <s v="Oracle Linux: (CVE-2019-3701) (Multiple Advisories): Unbreakable Enterprise kernel security update"/>
    <s v="An issue was discovered in can_can_gw_rcv in net/can/gw.c in the Linux kernel through 4.19.13. The CAN frame modification rules allow bitwise logical operations that can be also applied to the can_dlc field. The privileged user &quot;root&quot; with CAP_NET_ADMIN can create a CAN frame modification rule that makes the data length code a higher value than the available CAN frame data size. In combination with a configured checksum calculation where the result is stored relatively to the end of the data (e.g. cgw_csum_xor_rel) the tail of the skb (e.g. frag_list pointer in skb_shared_info) can be rewritten which finally can cause a system crash. Because of a missing check, the CAN drivers may write arbitrary content beyond the data registers in the CAN controller's I/O memory when processing can-gw manipulated outgoing frame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3701] is not installed, no patches discovered._x000d__x000a__x000d__x000a__x000d__x000a_ * _x000d__x000a_      kernel-uek-firmware - version 4.1.12-94.3.9.el7uek is installed"/>
    <s v=""/>
    <s v="CVE-2019-3701"/>
    <s v="http://nvd.nist.gov/vuln/detail/CVE-2019-3701"/>
    <d v="2019-01-03T00:00:00"/>
    <s v="vv"/>
    <n v="0"/>
    <s v=""/>
    <s v=""/>
    <s v="3 Days"/>
    <m/>
    <m/>
    <s v="Fixed"/>
    <x v="4"/>
    <d v="2020-12-26T00:00:00"/>
    <m/>
    <x v="3"/>
    <s v="Unix"/>
    <e v="#N/A"/>
    <m/>
    <m/>
    <m/>
    <d v="2020-12-20T00:00:00"/>
    <e v="#N/A"/>
    <s v="Fixed"/>
    <x v="1"/>
    <x v="0"/>
    <x v="0"/>
  </r>
  <r>
    <s v="81.192.11.141/0/oracle_linux-cve-2019-381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3819"/>
    <s v="Oracle Linux: (CVE-2019-3819) ELSA-2019-4670: Unbreakable Enterprise kernel security update"/>
    <s v="A flaw was found in the Linux kernel in the function hid_debug_events_read() in drivers/hid/hid-debug.c file which may enter an infinite loop with certain parameters passed from a userspace. A local privileged user (&quot;root&quot;) can cause a system lock up and a denial of service. Versions from v4.18 and newer are vulnerabl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3819] is not installed, no patches discovered._x000d__x000a__x000d__x000a__x000d__x000a_ * _x000d__x000a_      kernel-uek-firmware - version 4.1.12-94.3.9.el7uek is installed"/>
    <s v=""/>
    <s v="CVE-2019-3819"/>
    <s v="http://nvd.nist.gov/vuln/detail/CVE-2019-3819"/>
    <d v="2019-01-25T00:00:00"/>
    <s v="vv"/>
    <n v="0"/>
    <s v=""/>
    <s v=""/>
    <s v="3 Days"/>
    <m/>
    <m/>
    <s v="Fixed"/>
    <x v="4"/>
    <d v="2020-12-26T00:00:00"/>
    <m/>
    <x v="3"/>
    <s v="Unix"/>
    <e v="#N/A"/>
    <m/>
    <m/>
    <m/>
    <d v="2020-12-20T00:00:00"/>
    <e v="#N/A"/>
    <s v="Fixed"/>
    <x v="1"/>
    <x v="0"/>
    <x v="0"/>
  </r>
  <r>
    <s v="81.192.11.141/0/oracle_linux-cve-2019-384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8"/>
    <x v="2"/>
    <s v="oracle_linux-cve-2019-3846"/>
    <s v="Oracle Linux: (CVE-2019-3846) (Multiple Advisories): Unbreakable Enterprise kernel security update"/>
    <s v="A flaw that allowed an attacker to corrupt memory and possibly escalate privileges was found in the mwifiex kernel module while connecting to a malicious wireless network."/>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3846] is not installed, no patches discovered._x000d__x000a__x000d__x000a__x000d__x000a_ * _x000d__x000a_      kernel-uek-firmware - version 4.1.12-94.3.9.el7uek is installed"/>
    <s v=""/>
    <s v="CVE-2019-3846"/>
    <s v="http://nvd.nist.gov/vuln/detail/CVE-2019-3846"/>
    <d v="2019-06-03T00:00:00"/>
    <s v="vv"/>
    <n v="0"/>
    <s v=""/>
    <s v=""/>
    <s v="3 Days"/>
    <m/>
    <m/>
    <s v="Fixed"/>
    <x v="4"/>
    <d v="2020-12-26T00:00:00"/>
    <m/>
    <x v="3"/>
    <s v="Unix"/>
    <e v="#N/A"/>
    <m/>
    <m/>
    <m/>
    <d v="2020-12-20T00:00:00"/>
    <e v="#N/A"/>
    <s v="Fixed"/>
    <x v="1"/>
    <x v="0"/>
    <x v="0"/>
  </r>
  <r>
    <s v="81.192.11.141/0/oracle_linux-cve-2019-387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3"/>
    <x v="0"/>
    <s v="oracle_linux-cve-2019-3874"/>
    <s v="Oracle Linux: (CVE-2019-3874) (Multiple Advisories): Unbreakable Enterprise kernel security update"/>
    <s v="The SCTP socket buffer used by a userspace application is not accounted by the cgroups subsystem. An attacker can use this flaw to cause a denial of service attack. Kernel 3.10.x and 4.18.x branches are believed to be vulnerabl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3874] is not installed, no patches discovered._x000d__x000a__x000d__x000a__x000d__x000a_ * _x000d__x000a_      kernel-uek-firmware - version 4.1.12-94.3.9.el7uek is installed"/>
    <s v=""/>
    <s v="CVE-2019-3874"/>
    <s v="http://nvd.nist.gov/vuln/detail/CVE-2019-3874"/>
    <d v="2019-03-25T00:00:00"/>
    <s v="vv"/>
    <n v="0"/>
    <s v=""/>
    <s v=""/>
    <s v="3 Days"/>
    <m/>
    <m/>
    <s v="Fixed"/>
    <x v="4"/>
    <d v="2020-12-26T00:00:00"/>
    <m/>
    <x v="3"/>
    <s v="Unix"/>
    <e v="#N/A"/>
    <m/>
    <m/>
    <m/>
    <d v="2020-12-20T00:00:00"/>
    <e v="#N/A"/>
    <s v="Fixed"/>
    <x v="1"/>
    <x v="0"/>
    <x v="0"/>
  </r>
  <r>
    <s v="81.192.11.141/0/oracle_linux-cve-2019-510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3"/>
    <x v="0"/>
    <s v="oracle_linux-cve-2019-5108"/>
    <s v="Oracle Linux: (CVE-2019-5108) (Multiple Advisories): Unbreakable Enterprise kernel security update"/>
    <s v="An exploitable denial-of-service vulnerability exists in the Linux kernel prior to mainline 5.3. An attacker could exploit this vulnerability by triggering AP to send IAPP location updates for stations before the required authentication process has completed. This could lead to different denial-of-service scenarios, either by causing CAM table attacks, or by leading to traffic flapping if faking already existing clients in other nearby APs of the same wireless infrastructure. An attacker can forge Authentication and Association Request packets to trigger this vulnerability."/>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5108] is not installed, no patches discovered._x000d__x000a__x000d__x000a__x000d__x000a_ * _x000d__x000a_      kernel-uek-firmware - version 4.1.12-94.3.9.el7uek is installed"/>
    <s v=""/>
    <s v="CVE-2019-5108"/>
    <s v="http://nvd.nist.gov/vuln/detail/CVE-2019-5108"/>
    <d v="2019-12-23T00:00:00"/>
    <s v="vv"/>
    <n v="0"/>
    <s v=""/>
    <s v=""/>
    <s v="3 Days"/>
    <m/>
    <m/>
    <s v="Fixed"/>
    <x v="4"/>
    <d v="2020-12-26T00:00:00"/>
    <m/>
    <x v="3"/>
    <s v="Unix"/>
    <e v="#N/A"/>
    <m/>
    <m/>
    <m/>
    <d v="2020-12-20T00:00:00"/>
    <e v="#N/A"/>
    <s v="Fixed"/>
    <x v="1"/>
    <x v="0"/>
    <x v="0"/>
  </r>
  <r>
    <s v="81.192.11.141/0/oracle_linux-cve-2019-548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5489"/>
    <s v="Oracle Linux: (CVE-2019-5489) (Multiple Advisories): kernel security and bug fix update"/>
    <s v="The mincore() implementation in mm/mincore.c in the Linux kernel through 4.19.13 allowed local attackers to observe page cache access patterns of other processes on the same system, potentially allowing sniffing of secret information. (Fixing this affects the output of the fincore program.) Limited remote exploitation may be possible, as demonstrated by latency differences in accessing public files from an Apache HTTP Server."/>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5489] is not installed, no patches discovered._x000d__x000a__x000d__x000a__x000d__x000a_ * _x000d__x000a_      kernel-uek-firmware - version 4.1.12-94.3.9.el7uek is installed"/>
    <s v=""/>
    <s v="CVE-2019-5489"/>
    <s v="http://nvd.nist.gov/vuln/detail/CVE-2019-5489"/>
    <d v="2019-01-07T00:00:00"/>
    <s v="vv"/>
    <n v="0"/>
    <s v=""/>
    <s v=""/>
    <s v="3 Days"/>
    <m/>
    <m/>
    <s v="Fixed"/>
    <x v="4"/>
    <d v="2020-12-26T00:00:00"/>
    <m/>
    <x v="3"/>
    <s v="Unix"/>
    <e v="#N/A"/>
    <m/>
    <m/>
    <m/>
    <d v="2020-12-20T00:00:00"/>
    <e v="#N/A"/>
    <s v="Fixed"/>
    <x v="1"/>
    <x v="0"/>
    <x v="0"/>
  </r>
  <r>
    <s v="81.192.11.141/0/oracle_linux-cve-2019-613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19-6133"/>
    <s v="Oracle Linux: (CVE-2019-6133) (Multiple Advisories): Unbreakable Enterprise kernel security update"/>
    <s v="In PolicyKit (aka polkit) 0.115, the &quot;start time&quot; protection mechanism can be bypassed because fork() is not atomic, and therefore authorization decisions are improperly cached. This is related to lack of uid checking in polkitbackend/polkitbackendinteractiveauthority.c."/>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olkit on Oracle Linux_x000d__x000a_      Upgrade polkit_x000d__x000a__x000d__x000a_       Update polki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olkit-desktop-policy on Oracle Linux_x000d__x000a_      Upgrade polkit-desktop-policy_x000d__x000a__x000d__x000a_       Update polkit-desktop-policy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olkit-devel on Oracle Linux_x000d__x000a_      Upgrade polkit-devel_x000d__x000a__x000d__x000a_       Update polki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olkit-docs on Oracle Linux_x000d__x000a_      Upgrade polkit-docs_x000d__x000a__x000d__x000a_       Update polkit-doc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6133] is not installed, no patches discovered._x000d__x000a__x000d__x000a__x000d__x000a_ * _x000d__x000a_      kernel-uek-firmware - version 4.1.12-94.3.9.el7uek is installed"/>
    <s v=""/>
    <s v="CVE-2019-6133"/>
    <s v="http://nvd.nist.gov/vuln/detail/CVE-2019-6133"/>
    <d v="2019-01-11T00:00:00"/>
    <s v="vv"/>
    <n v="0"/>
    <s v=""/>
    <s v=""/>
    <s v="3 Days"/>
    <m/>
    <m/>
    <s v="Fixed"/>
    <x v="4"/>
    <d v="2020-12-26T00:00:00"/>
    <m/>
    <x v="3"/>
    <s v="Unix"/>
    <e v="#N/A"/>
    <m/>
    <m/>
    <m/>
    <d v="2020-12-20T00:00:00"/>
    <e v="#N/A"/>
    <s v="Fixed"/>
    <x v="1"/>
    <x v="0"/>
    <x v="0"/>
  </r>
  <r>
    <s v="81.192.11.141/0/oracle_linux-cve-2019-697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19-6974"/>
    <s v="Oracle Linux: (CVE-2019-6974) (Multiple Advisories): Unbreakable Enterprise kernel security update"/>
    <s v="In the Linux kernel before 4.20.8, kvm_ioctl_create_device in virt/kvm/kvm_main.c mishandles reference counting because of a race condition, leading to a use-after-fre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6974] is not installed, no patches discovered._x000d__x000a__x000d__x000a__x000d__x000a_ * _x000d__x000a_      kernel-uek-firmware - version 4.1.12-94.3.9.el7uek is installed"/>
    <s v=""/>
    <s v="CVE-2019-6974"/>
    <s v="http://nvd.nist.gov/vuln/detail/CVE-2019-6974"/>
    <d v="2019-02-15T00:00:00"/>
    <s v="vv"/>
    <n v="1"/>
    <s v="Expert"/>
    <s v="http://www.exploit-db.com/exploits/46388"/>
    <s v="3 Days"/>
    <m/>
    <m/>
    <s v="Fixed"/>
    <x v="4"/>
    <d v="2020-12-26T00:00:00"/>
    <m/>
    <x v="3"/>
    <s v="Unix"/>
    <e v="#N/A"/>
    <m/>
    <m/>
    <m/>
    <d v="2020-12-20T00:00:00"/>
    <e v="#N/A"/>
    <s v="Fixed"/>
    <x v="1"/>
    <x v="0"/>
    <x v="0"/>
  </r>
  <r>
    <s v="81.192.11.141/0/oracle_linux-cve-2019-722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19-7221"/>
    <s v="Oracle Linux: (CVE-2019-7221) (Multiple Advisories): Unbreakable Enterprise kernel security update"/>
    <s v="The KVM implementation in the Linux kernel through 4.20.5 has a Use-after-Fre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7221] is not installed, no patches discovered._x000d__x000a__x000d__x000a__x000d__x000a_ * _x000d__x000a_      kernel-uek-firmware - version 4.1.12-94.3.9.el7uek is installed"/>
    <s v=""/>
    <s v="CVE-2019-7221"/>
    <s v="http://nvd.nist.gov/vuln/detail/CVE-2019-7221"/>
    <d v="2019-02-18T00:00:00"/>
    <s v="vv"/>
    <n v="0"/>
    <s v=""/>
    <s v=""/>
    <s v="3 Days"/>
    <m/>
    <m/>
    <s v="Fixed"/>
    <x v="4"/>
    <d v="2020-12-26T00:00:00"/>
    <m/>
    <x v="3"/>
    <s v="Unix"/>
    <e v="#N/A"/>
    <m/>
    <m/>
    <m/>
    <d v="2020-12-20T00:00:00"/>
    <e v="#N/A"/>
    <s v="Fixed"/>
    <x v="1"/>
    <x v="0"/>
    <x v="0"/>
  </r>
  <r>
    <s v="81.192.11.141/0/oracle_linux-cve-2019-722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19-7222"/>
    <s v="Oracle Linux: (CVE-2019-7222) (Multiple Advisories): Unbreakable Enterprise kernel security update"/>
    <s v="The KVM implementation in the Linux kernel through 4.20.5 has an Information Leak."/>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7222] is not installed, no patches discovered._x000d__x000a__x000d__x000a__x000d__x000a_ * _x000d__x000a_      kernel-uek-firmware - version 4.1.12-94.3.9.el7uek is installed"/>
    <s v=""/>
    <s v="CVE-2019-7222"/>
    <s v="http://nvd.nist.gov/vuln/detail/CVE-2019-7222"/>
    <d v="2019-02-18T00:00:00"/>
    <s v="vv"/>
    <n v="0"/>
    <s v=""/>
    <s v=""/>
    <s v="3 Days"/>
    <m/>
    <m/>
    <s v="Fixed"/>
    <x v="4"/>
    <d v="2020-12-26T00:00:00"/>
    <m/>
    <x v="3"/>
    <s v="Unix"/>
    <e v="#N/A"/>
    <m/>
    <m/>
    <m/>
    <d v="2020-12-20T00:00:00"/>
    <e v="#N/A"/>
    <s v="Fixed"/>
    <x v="1"/>
    <x v="0"/>
    <x v="0"/>
  </r>
  <r>
    <s v="81.192.11.141/0/oracle_linux-cve-2019-950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8"/>
    <x v="2"/>
    <s v="oracle_linux-cve-2019-9503"/>
    <s v="Oracle Linux: (CVE-2019-9503) (Multiple Advisories): Unbreakable Enterprise kernel security update"/>
    <s v="The Broadcom brcmfmac WiFi driver prior to commit a4176ec356c73a46c07c181c6d04039fafa34a9f is vulnerable to a frame validation bypass. If the brcmfmac driver receives a firmware event frame from a remote source, the is_wlc_event_frame function will cause this frame to be discarded and unprocessed. If the driver receives the firmware event frame from the host, the appropriate handler is called. This frame validation can be bypassed if the bus used is USB (for instance by a wifi dongle). This can allow firmware event frames from a remote source to be processed. In the worst case scenario, by sending specially-crafted WiFi packets, a remote, unauthenticated attacker may be able to execute arbitrary code on a vulnerable system. More typically, this vulnerability will result in denial-of-service conditions."/>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19-9503] is not installed, no patches discovered._x000d__x000a__x000d__x000a__x000d__x000a_ * _x000d__x000a_      kernel-uek-firmware - version 4.1.12-94.3.9.el7uek is installed"/>
    <s v=""/>
    <s v="CVE-2019-9503"/>
    <s v="http://nvd.nist.gov/vuln/detail/CVE-2019-9503"/>
    <d v="2019-05-15T00:00:00"/>
    <s v="vv"/>
    <n v="0"/>
    <s v=""/>
    <s v=""/>
    <s v="3 Days"/>
    <m/>
    <m/>
    <s v="Fixed"/>
    <x v="4"/>
    <d v="2020-12-26T00:00:00"/>
    <m/>
    <x v="3"/>
    <s v="Unix"/>
    <e v="#N/A"/>
    <m/>
    <m/>
    <m/>
    <d v="2020-12-20T00:00:00"/>
    <e v="#N/A"/>
    <s v="Fixed"/>
    <x v="1"/>
    <x v="0"/>
    <x v="0"/>
  </r>
  <r>
    <s v="81.192.11.141/0/oracle_linux-cve-2020-054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20-0543"/>
    <s v="Oracle Linux: (CVE-2020-0543) (Multiple Advisories): Unbreakable Enterprise kernel security update"/>
    <s v="Incomplete cleanup from specific special register read operations in some Intel(R) Processors may allow an authenticated user to potentially enable information disclosure via local acces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microcode_ctl on Oracle Linux_x000d__x000a_      Upgrade microcode_ctl_x000d__x000a__x000d__x000a_       Update microcode_ct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0543] is not installed, no patches discovered._x000d__x000a__x000d__x000a__x000d__x000a_ * _x000d__x000a_      kernel-uek-firmware - version 4.1.12-94.3.9.el7uek is installed"/>
    <s v=""/>
    <s v="CVE-2020-0543"/>
    <s v="http://nvd.nist.gov/vuln/detail/CVE-2020-0543"/>
    <d v="2020-06-10T00:00:00"/>
    <s v="vv"/>
    <n v="0"/>
    <s v=""/>
    <s v=""/>
    <s v="3 Days"/>
    <m/>
    <m/>
    <s v="Fixed"/>
    <x v="4"/>
    <d v="2020-12-26T00:00:00"/>
    <m/>
    <x v="3"/>
    <s v="Unix"/>
    <e v="#N/A"/>
    <m/>
    <m/>
    <m/>
    <d v="2020-12-20T00:00:00"/>
    <e v="#N/A"/>
    <s v="Fixed"/>
    <x v="1"/>
    <x v="0"/>
    <x v="0"/>
  </r>
  <r>
    <s v="81.192.11.141/0/oracle_linux-cve-2020-10720"/>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20-10720"/>
    <s v="Oracle Linux: (CVE-2020-10720) ELSA-2020-5866: Unbreakable Enterprise kernel security update"/>
    <s v="A flaw was found in the Linux kernel's implementation of GRO in versions before 5.2. This flaw allows an attacker with local access to crash the system."/>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0720] is not installed, no patches discovered._x000d__x000a__x000d__x000a__x000d__x000a_ * _x000d__x000a_      kernel-uek-firmware - version 4.1.12-94.3.9.el7uek is installed"/>
    <s v=""/>
    <s v="CVE-2020-10720"/>
    <s v="http://nvd.nist.gov/vuln/detail/CVE-2020-10720"/>
    <d v="2020-05-12T00:00:00"/>
    <s v="vv"/>
    <n v="0"/>
    <s v=""/>
    <s v=""/>
    <s v="3 Days"/>
    <m/>
    <m/>
    <s v="Fixed"/>
    <x v="4"/>
    <d v="2020-12-26T00:00:00"/>
    <m/>
    <x v="3"/>
    <s v="Unix"/>
    <e v="#N/A"/>
    <m/>
    <m/>
    <m/>
    <d v="2020-12-20T00:00:00"/>
    <e v="#N/A"/>
    <s v="Fixed"/>
    <x v="1"/>
    <x v="0"/>
    <x v="0"/>
  </r>
  <r>
    <s v="81.192.11.141/0/oracle_linux-cve-2020-1073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20-10732"/>
    <s v="Oracle Linux: (CVE-2020-10732) (Multiple Advisories): kernel security, bug fix, and enhancement update"/>
    <s v="A flaw was found in the Linux kernel's implementation of Userspace core dumps. This flaw allows an attacker with a local account to crash a trivial program and exfiltrate private kernel data."/>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0732] is not installed, no patches discovered._x000d__x000a__x000d__x000a__x000d__x000a_ * _x000d__x000a_      kernel-uek-firmware - version 4.1.12-94.3.9.el7uek is installed"/>
    <s v=""/>
    <s v="CVE-2020-10732"/>
    <s v="http://nvd.nist.gov/vuln/detail/CVE-2020-10732"/>
    <d v="2020-06-10T00:00:00"/>
    <s v="vv"/>
    <n v="0"/>
    <s v=""/>
    <s v=""/>
    <s v="3 Days"/>
    <m/>
    <m/>
    <s v="Fixed"/>
    <x v="4"/>
    <d v="2020-12-26T00:00:00"/>
    <m/>
    <x v="3"/>
    <s v="Unix"/>
    <e v="#N/A"/>
    <m/>
    <m/>
    <m/>
    <d v="2020-12-20T00:00:00"/>
    <e v="#N/A"/>
    <s v="Fixed"/>
    <x v="1"/>
    <x v="0"/>
    <x v="0"/>
  </r>
  <r>
    <s v="81.192.11.141/0/oracle_linux-cve-2020-1075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20-10751"/>
    <s v="Oracle Linux: (CVE-2020-10751) (Multiple Advisories): Unbreakable Enterprise kernel security update"/>
    <s v="A flaw was found in the Linux kernels SELinux LSM hook implementation before version 5.7, where it incorrectly assumed that an skb would only contain a single netlink message. The hook would incorrectly only validate the first netlink message in the skb and allow or deny the rest of the messages within the skb with the granted permission without further processing."/>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0751] is not installed, no patches discovered._x000d__x000a__x000d__x000a__x000d__x000a_ * _x000d__x000a_      kernel-uek-firmware - version 4.1.12-94.3.9.el7uek is installed"/>
    <s v=""/>
    <s v="CVE-2020-10751"/>
    <s v="http://nvd.nist.gov/vuln/detail/CVE-2020-10751"/>
    <d v="2020-05-26T00:00:00"/>
    <s v="vv"/>
    <n v="0"/>
    <s v=""/>
    <s v=""/>
    <s v="3 Days"/>
    <m/>
    <m/>
    <s v="Fixed"/>
    <x v="4"/>
    <d v="2020-12-26T00:00:00"/>
    <m/>
    <x v="3"/>
    <s v="Unix"/>
    <e v="#N/A"/>
    <m/>
    <m/>
    <m/>
    <d v="2020-12-20T00:00:00"/>
    <e v="#N/A"/>
    <s v="Fixed"/>
    <x v="1"/>
    <x v="0"/>
    <x v="0"/>
  </r>
  <r>
    <s v="81.192.11.141/0/oracle_linux-cve-2020-1076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20-10769"/>
    <s v="Oracle Linux: (CVE-2020-10769) (Multiple Advisories): kernel security and bug fix update"/>
    <s v="A buffer over-read flaw was found in RH kernel versions before 5.0 in crypto_authenc_extractkeys in crypto/authenc.c in the IPsec Cryptographic algorithm's module, authenc. When a payload longer than 4 bytes, and is not following 4-byte alignment boundary guidelines, it causes a buffer over-read threat, leading to a system crash. This flaw allows a local attacker with user privileges to cause a denial of service."/>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0769] is not installed, no patches discovered._x000d__x000a__x000d__x000a__x000d__x000a_ * _x000d__x000a_      kernel-uek-firmware - version 4.1.12-94.3.9.el7uek is installed"/>
    <s v=""/>
    <s v="CVE-2020-10769"/>
    <s v="http://nvd.nist.gov/vuln/detail/CVE-2020-10769"/>
    <d v="2020-06-26T00:00:00"/>
    <s v="vv"/>
    <n v="0"/>
    <s v=""/>
    <s v=""/>
    <s v="3 Days"/>
    <m/>
    <m/>
    <s v="Fixed"/>
    <x v="4"/>
    <d v="2020-12-26T00:00:00"/>
    <m/>
    <x v="3"/>
    <s v="Unix"/>
    <e v="#N/A"/>
    <m/>
    <m/>
    <m/>
    <d v="2020-12-20T00:00:00"/>
    <e v="#N/A"/>
    <s v="Fixed"/>
    <x v="1"/>
    <x v="0"/>
    <x v="0"/>
  </r>
  <r>
    <s v="81.192.11.141/0/oracle_linux-cve-2020-1094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20-10942"/>
    <s v="Oracle Linux: (CVE-2020-10942) (Multiple Advisories): kernel security, bug fix, and enhancement update"/>
    <s v="In the Linux kernel before 5.5.8, get_raw_socket in drivers/vhost/net.c lacks validation of an sk_family field, which might allow attackers to trigger kernel stack corruption via crafted system calls."/>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0942] is not installed, no patches discovered._x000d__x000a__x000d__x000a__x000d__x000a_ * _x000d__x000a_      kernel-uek-firmware - version 4.1.12-94.3.9.el7uek is installed"/>
    <s v=""/>
    <s v="CVE-2020-10942"/>
    <s v="http://nvd.nist.gov/vuln/detail/CVE-2020-10942"/>
    <d v="2020-03-24T00:00:00"/>
    <s v="vv"/>
    <n v="0"/>
    <s v=""/>
    <s v=""/>
    <s v="3 Days"/>
    <m/>
    <m/>
    <s v="Fixed"/>
    <x v="4"/>
    <d v="2020-12-26T00:00:00"/>
    <m/>
    <x v="3"/>
    <s v="Unix"/>
    <e v="#N/A"/>
    <m/>
    <m/>
    <m/>
    <d v="2020-12-20T00:00:00"/>
    <e v="#N/A"/>
    <s v="Fixed"/>
    <x v="1"/>
    <x v="0"/>
    <x v="0"/>
  </r>
  <r>
    <s v="81.192.11.141/0/oracle_linux-cve-2020-1149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20-11494"/>
    <s v="Oracle Linux: (CVE-2020-11494) ELSA-2020-5670: Unbreakable Enterprise kernel security update"/>
    <s v="An issue was discovered in slc_bump in drivers/net/can/slcan.c in the Linux kernel through 5.6.2. It allows attackers to read uninitialized can_frame data, potentially containing sensitive information from kernel stack memory, if the configuration lacks CONFIG_INIT_STACK_ALL, aka CID-b9258a2cece4."/>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1494] is not installed, no patches discovered._x000d__x000a__x000d__x000a__x000d__x000a_ * _x000d__x000a_      kernel-uek-firmware - version 4.1.12-94.3.9.el7uek is installed"/>
    <s v=""/>
    <s v="CVE-2020-11494"/>
    <s v="http://nvd.nist.gov/vuln/detail/CVE-2020-11494"/>
    <d v="2020-04-02T00:00:00"/>
    <s v="vv"/>
    <n v="0"/>
    <s v=""/>
    <s v=""/>
    <s v="3 Days"/>
    <m/>
    <m/>
    <s v="Fixed"/>
    <x v="4"/>
    <d v="2020-12-26T00:00:00"/>
    <m/>
    <x v="3"/>
    <s v="Unix"/>
    <e v="#N/A"/>
    <m/>
    <m/>
    <m/>
    <d v="2020-12-20T00:00:00"/>
    <e v="#N/A"/>
    <s v="Fixed"/>
    <x v="1"/>
    <x v="0"/>
    <x v="0"/>
  </r>
  <r>
    <s v="81.192.11.141/0/oracle_linux-cve-2020-1160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20-11608"/>
    <s v="Oracle Linux: (CVE-2020-11608) ELSA-2020-5708: Unbreakable Enterprise kernel security update"/>
    <s v="An issue was discovered in the Linux kernel before 5.6.1. drivers/media/usb/gspca/ov519.c allows NULL pointer dereferences in ov511_mode_init_regs and ov518_mode_init_regs when there are zero endpoints, aka CID-998912346c0d."/>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1608] is not installed, no patches discovered._x000d__x000a__x000d__x000a__x000d__x000a_ * _x000d__x000a_      kernel-uek-firmware - version 4.1.12-94.3.9.el7uek is installed"/>
    <s v=""/>
    <s v="CVE-2020-11608"/>
    <s v="http://nvd.nist.gov/vuln/detail/CVE-2020-11608"/>
    <d v="2020-04-07T00:00:00"/>
    <s v="vv"/>
    <n v="0"/>
    <s v=""/>
    <s v=""/>
    <s v="3 Days"/>
    <m/>
    <m/>
    <s v="Fixed"/>
    <x v="4"/>
    <d v="2020-12-26T00:00:00"/>
    <m/>
    <x v="3"/>
    <s v="Unix"/>
    <e v="#N/A"/>
    <m/>
    <m/>
    <m/>
    <d v="2020-12-20T00:00:00"/>
    <e v="#N/A"/>
    <s v="Fixed"/>
    <x v="1"/>
    <x v="0"/>
    <x v="0"/>
  </r>
  <r>
    <s v="81.192.11.141/0/oracle_linux-cve-2020-1160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20-11609"/>
    <s v="Oracle Linux: (CVE-2020-11609) ELSA-2020-5708: Unbreakable Enterprise kernel security update"/>
    <s v="An issue was discovered in the stv06xx subsystem in the Linux kernel before 5.6.1. drivers/media/usb/gspca/stv06xx/stv06xx.c and drivers/media/usb/gspca/stv06xx/stv06xx_pb0100.c mishandle invalid descriptors, as demonstrated by a NULL pointer dereference, aka CID-485b06aadb93."/>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1609] is not installed, no patches discovered._x000d__x000a__x000d__x000a__x000d__x000a_ * _x000d__x000a_      kernel-uek-firmware - version 4.1.12-94.3.9.el7uek is installed"/>
    <s v=""/>
    <s v="CVE-2020-11609"/>
    <s v="http://nvd.nist.gov/vuln/detail/CVE-2020-11609"/>
    <d v="2020-04-07T00:00:00"/>
    <s v="vv"/>
    <n v="0"/>
    <s v=""/>
    <s v=""/>
    <s v="3 Days"/>
    <m/>
    <m/>
    <s v="Fixed"/>
    <x v="4"/>
    <d v="2020-12-26T00:00:00"/>
    <m/>
    <x v="3"/>
    <s v="Unix"/>
    <e v="#N/A"/>
    <m/>
    <m/>
    <m/>
    <d v="2020-12-20T00:00:00"/>
    <e v="#N/A"/>
    <s v="Fixed"/>
    <x v="1"/>
    <x v="0"/>
    <x v="0"/>
  </r>
  <r>
    <s v="81.192.11.141/0/oracle_linux-cve-2020-1166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6"/>
    <x v="1"/>
    <s v="oracle_linux-cve-2020-11668"/>
    <s v="Oracle Linux: (CVE-2020-11668) ELSA-2020-5708: Unbreakable Enterprise kernel security update"/>
    <s v="In the Linux kernel before 5.6.1, drivers/media/usb/gspca/xirlink_cit.c (aka the Xirlink camera USB driver) mishandles invalid descriptors, aka CID-a246b4d54770."/>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1668] is not installed, no patches discovered._x000d__x000a__x000d__x000a__x000d__x000a_ * _x000d__x000a_      kernel-uek-firmware - version 4.1.12-94.3.9.el7uek is installed"/>
    <s v=""/>
    <s v="CVE-2020-11668"/>
    <s v="http://nvd.nist.gov/vuln/detail/CVE-2020-11668"/>
    <d v="2020-04-09T00:00:00"/>
    <s v="vv"/>
    <n v="0"/>
    <s v=""/>
    <s v=""/>
    <s v="3 Days"/>
    <m/>
    <m/>
    <s v="Fixed"/>
    <x v="4"/>
    <d v="2020-12-26T00:00:00"/>
    <m/>
    <x v="3"/>
    <s v="Unix"/>
    <e v="#N/A"/>
    <m/>
    <m/>
    <m/>
    <d v="2020-12-20T00:00:00"/>
    <e v="#N/A"/>
    <s v="Fixed"/>
    <x v="1"/>
    <x v="0"/>
    <x v="0"/>
  </r>
  <r>
    <s v="81.192.11.141/0/oracle_linux-cve-2020-1288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20-12888"/>
    <s v="Oracle Linux: (CVE-2020-12888) (Multiple Advisories): Unbreakable Enterprise kernel security update"/>
    <s v="The VFIO PCI driver in the Linux kernel through 5.6.13 mishandles attempts to access disabled memory space."/>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2888] is not installed, no patches discovered._x000d__x000a__x000d__x000a__x000d__x000a_ * _x000d__x000a_      kernel-uek-firmware - version 4.1.12-94.3.9.el7uek is installed"/>
    <s v=""/>
    <s v="CVE-2020-12888"/>
    <s v="http://nvd.nist.gov/vuln/detail/CVE-2020-12888"/>
    <d v="2020-05-15T00:00:00"/>
    <s v="vv"/>
    <n v="0"/>
    <s v=""/>
    <s v=""/>
    <s v="3 Days"/>
    <m/>
    <m/>
    <s v="Fixed"/>
    <x v="4"/>
    <d v="2020-12-26T00:00:00"/>
    <m/>
    <x v="3"/>
    <s v="Unix"/>
    <e v="#N/A"/>
    <m/>
    <m/>
    <m/>
    <d v="2020-12-20T00:00:00"/>
    <e v="#N/A"/>
    <s v="Fixed"/>
    <x v="1"/>
    <x v="0"/>
    <x v="0"/>
  </r>
  <r>
    <s v="81.192.11.141/0/oracle_linux-cve-2020-1431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20-14314"/>
    <s v="Oracle Linux: (CVE-2020-14314) (Multiple Advisories): kernel security and bug fix update"/>
    <s v="A memory out-of-bounds read flaw was found in the Linux kernel before 5.9-rc2 with the ext3/ext4 file system, in the way it accesses a directory with broken indexing. This flaw allows a local user to crash the system if the directory exists. The highest threat from this vulnerability is to system availability."/>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4314] is not installed, no patches discovered._x000d__x000a__x000d__x000a__x000d__x000a_ * _x000d__x000a_      kernel-uek-firmware - version 4.1.12-94.3.9.el7uek is installed"/>
    <s v=""/>
    <s v="CVE-2020-14314"/>
    <s v="http://nvd.nist.gov/vuln/detail/CVE-2020-14314"/>
    <d v="2020-09-02T00:00:00"/>
    <s v="vv"/>
    <n v="0"/>
    <s v=""/>
    <s v=""/>
    <s v="3 Days"/>
    <m/>
    <m/>
    <s v="Fixed"/>
    <x v="4"/>
    <d v="2020-12-26T00:00:00"/>
    <m/>
    <x v="3"/>
    <s v="Unix"/>
    <e v="#N/A"/>
    <m/>
    <m/>
    <m/>
    <d v="2020-12-20T00:00:00"/>
    <e v="#N/A"/>
    <s v="Fixed"/>
    <x v="1"/>
    <x v="0"/>
    <x v="0"/>
  </r>
  <r>
    <s v="81.192.11.141/0/oracle_linux-cve-2020-1431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20-14318"/>
    <s v="Oracle Linux: (CVE-2020-14318) ELSA-2020-5439: samba security and bug fix update"/>
    <s v="A flaw was found in the way samba handled file and directory permissions. An authenticated user could use this flaw to gain access to certain file and directory information which otherwise would be unavailable to the attacker."/>
    <s v="* ctdb on Oracle Linux_x000d__x000a_      Upgrade ctdb_x000d__x000a__x000d__x000a_       Update ctdb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ctdb-tests on Oracle Linux_x000d__x000a_      Upgrade ctdb-tests_x000d__x000a__x000d__x000a_       Update ctdb-te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smbclient on Oracle Linux_x000d__x000a_      Upgrade libsmbclient_x000d__x000a__x000d__x000a_       Update libsmb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smbclient-devel on Oracle Linux_x000d__x000a_      Upgrade libsmbclient-devel_x000d__x000a__x000d__x000a_       Update libsmbclien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wbclient on Oracle Linux_x000d__x000a_      Upgrade libwbclient_x000d__x000a__x000d__x000a_       Update libwb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wbclient-devel on Oracle Linux_x000d__x000a_      Upgrade libwbclient-devel_x000d__x000a__x000d__x000a_       Update libwbclien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 on Oracle Linux_x000d__x000a_      Upgrade samba_x000d__x000a__x000d__x000a_       Update samba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lient on Oracle Linux_x000d__x000a_      Upgrade samba-client_x000d__x000a__x000d__x000a_       Update samba-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lient-libs on Oracle Linux_x000d__x000a_      Upgrade samba-client-libs_x000d__x000a__x000d__x000a_       Update samba-clien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ommon on Oracle Linux_x000d__x000a_      Upgrade samba-common_x000d__x000a__x000d__x000a_       Update samba-com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ommon-libs on Oracle Linux_x000d__x000a_      Upgrade samba-common-libs_x000d__x000a__x000d__x000a_       Update samba-common-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ommon-tools on Oracle Linux_x000d__x000a_      Upgrade samba-common-tools_x000d__x000a__x000d__x000a_       Update samba-common-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dc on Oracle Linux_x000d__x000a_      Upgrade samba-dc_x000d__x000a__x000d__x000a_       Update samba-d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dc-libs on Oracle Linux_x000d__x000a_      Upgrade samba-dc-libs_x000d__x000a__x000d__x000a_       Update samba-dc-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devel on Oracle Linux_x000d__x000a_      Upgrade samba-devel_x000d__x000a__x000d__x000a_       Update samba-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krb5-printing on Oracle Linux_x000d__x000a_      Upgrade samba-krb5-printing_x000d__x000a__x000d__x000a_       Update samba-krb5-printin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libs on Oracle Linux_x000d__x000a_      Upgrade samba-libs_x000d__x000a__x000d__x000a_       Update samba-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pidl on Oracle Linux_x000d__x000a_      Upgrade samba-pidl_x000d__x000a__x000d__x000a_       Update samba-pid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python on Oracle Linux_x000d__x000a_      Upgrade samba-python_x000d__x000a__x000d__x000a_       Update samba-pyth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python-test on Oracle Linux_x000d__x000a_      Upgrade samba-python-test_x000d__x000a__x000d__x000a_       Update samba-python-tes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test on Oracle Linux_x000d__x000a_      Upgrade samba-test_x000d__x000a__x000d__x000a_       Update samba-tes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test-libs on Oracle Linux_x000d__x000a_      Upgrade samba-test-libs_x000d__x000a__x000d__x000a_       Update samba-tes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vfs-glusterfs on Oracle Linux_x000d__x000a_      Upgrade samba-vfs-glusterfs_x000d__x000a__x000d__x000a_       Update samba-vfs-glusterf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 on Oracle Linux_x000d__x000a_      Upgrade samba-winbind_x000d__x000a__x000d__x000a_       Update samba-winbin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clients on Oracle Linux_x000d__x000a_      Upgrade samba-winbind-clients_x000d__x000a__x000d__x000a_       Update samba-winbind-clien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krb5-locator on Oracle Linux_x000d__x000a_      Upgrade samba-winbind-krb5-locator_x000d__x000a__x000d__x000a_       Update samba-winbind-krb5-locato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modules on Oracle Linux_x000d__x000a_      Upgrade samba-winbind-modules_x000d__x000a__x000d__x000a_       Update samba-winbind-modules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samba - version 0:4.10.16-7.el7_9 is installed"/>
    <s v=""/>
    <s v="CVE-2020-14318"/>
    <s v="http://nvd.nist.gov/vuln/detail/CVE-2020-14318"/>
    <d v="2020-10-30T00:00:00"/>
    <s v="vv"/>
    <n v="0"/>
    <s v=""/>
    <s v=""/>
    <s v="3 Days"/>
    <m/>
    <m/>
    <s v="Fixed"/>
    <x v="4"/>
    <d v="2020-12-26T00:00:00"/>
    <m/>
    <x v="3"/>
    <s v="Unix"/>
    <e v="#N/A"/>
    <m/>
    <m/>
    <m/>
    <d v="2020-12-20T00:00:00"/>
    <e v="#N/A"/>
    <s v="Fixed"/>
    <x v="1"/>
    <x v="0"/>
    <x v="0"/>
  </r>
  <r>
    <s v="81.192.11.141/0/oracle_linux-cve-2020-1432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20-14323"/>
    <s v="Oracle Linux: (CVE-2020-14323) ELSA-2020-5439: samba security and bug fix update"/>
    <s v="A null pointer dereference flaw was found in samba's Winbind service in versions before 4.11.15, before 4.12.9 and before 4.13.1. A local user could use this flaw to crash the winbind service causing denial of service."/>
    <s v="* ctdb on Oracle Linux_x000d__x000a_      Upgrade ctdb_x000d__x000a__x000d__x000a_       Update ctdb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ctdb-tests on Oracle Linux_x000d__x000a_      Upgrade ctdb-tests_x000d__x000a__x000d__x000a_       Update ctdb-te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smbclient on Oracle Linux_x000d__x000a_      Upgrade libsmbclient_x000d__x000a__x000d__x000a_       Update libsmb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smbclient-devel on Oracle Linux_x000d__x000a_      Upgrade libsmbclient-devel_x000d__x000a__x000d__x000a_       Update libsmbclien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wbclient on Oracle Linux_x000d__x000a_      Upgrade libwbclient_x000d__x000a__x000d__x000a_       Update libwb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wbclient-devel on Oracle Linux_x000d__x000a_      Upgrade libwbclient-devel_x000d__x000a__x000d__x000a_       Update libwbclien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 on Oracle Linux_x000d__x000a_      Upgrade samba_x000d__x000a__x000d__x000a_       Update samba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lient on Oracle Linux_x000d__x000a_      Upgrade samba-client_x000d__x000a__x000d__x000a_       Update samba-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lient-libs on Oracle Linux_x000d__x000a_      Upgrade samba-client-libs_x000d__x000a__x000d__x000a_       Update samba-clien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ommon on Oracle Linux_x000d__x000a_      Upgrade samba-common_x000d__x000a__x000d__x000a_       Update samba-com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ommon-libs on Oracle Linux_x000d__x000a_      Upgrade samba-common-libs_x000d__x000a__x000d__x000a_       Update samba-common-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ommon-tools on Oracle Linux_x000d__x000a_      Upgrade samba-common-tools_x000d__x000a__x000d__x000a_       Update samba-common-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dc on Oracle Linux_x000d__x000a_      Upgrade samba-dc_x000d__x000a__x000d__x000a_       Update samba-d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dc-libs on Oracle Linux_x000d__x000a_      Upgrade samba-dc-libs_x000d__x000a__x000d__x000a_       Update samba-dc-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devel on Oracle Linux_x000d__x000a_      Upgrade samba-devel_x000d__x000a__x000d__x000a_       Update samba-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krb5-printing on Oracle Linux_x000d__x000a_      Upgrade samba-krb5-printing_x000d__x000a__x000d__x000a_       Update samba-krb5-printin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libs on Oracle Linux_x000d__x000a_      Upgrade samba-libs_x000d__x000a__x000d__x000a_       Update samba-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pidl on Oracle Linux_x000d__x000a_      Upgrade samba-pidl_x000d__x000a__x000d__x000a_       Update samba-pid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python on Oracle Linux_x000d__x000a_      Upgrade samba-python_x000d__x000a__x000d__x000a_       Update samba-pyth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python-test on Oracle Linux_x000d__x000a_      Upgrade samba-python-test_x000d__x000a__x000d__x000a_       Update samba-python-tes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test on Oracle Linux_x000d__x000a_      Upgrade samba-test_x000d__x000a__x000d__x000a_       Update samba-tes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test-libs on Oracle Linux_x000d__x000a_      Upgrade samba-test-libs_x000d__x000a__x000d__x000a_       Update samba-tes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vfs-glusterfs on Oracle Linux_x000d__x000a_      Upgrade samba-vfs-glusterfs_x000d__x000a__x000d__x000a_       Update samba-vfs-glusterf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 on Oracle Linux_x000d__x000a_      Upgrade samba-winbind_x000d__x000a__x000d__x000a_       Update samba-winbin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clients on Oracle Linux_x000d__x000a_      Upgrade samba-winbind-clients_x000d__x000a__x000d__x000a_       Update samba-winbind-clien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krb5-locator on Oracle Linux_x000d__x000a_      Upgrade samba-winbind-krb5-locator_x000d__x000a__x000d__x000a_       Update samba-winbind-krb5-locato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modules on Oracle Linux_x000d__x000a_      Upgrade samba-winbind-modules_x000d__x000a__x000d__x000a_       Update samba-winbind-modules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samba - version 0:4.10.16-7.el7_9 is installed"/>
    <s v=""/>
    <s v="CVE-2020-14323"/>
    <s v="http://nvd.nist.gov/vuln/detail/CVE-2020-14323"/>
    <d v="2020-10-29T00:00:00"/>
    <s v="vv"/>
    <n v="0"/>
    <s v=""/>
    <s v=""/>
    <s v="3 Days"/>
    <m/>
    <m/>
    <s v="Fixed"/>
    <x v="4"/>
    <d v="2020-12-26T00:00:00"/>
    <m/>
    <x v="3"/>
    <s v="Unix"/>
    <e v="#N/A"/>
    <m/>
    <m/>
    <m/>
    <d v="2020-12-20T00:00:00"/>
    <e v="#N/A"/>
    <s v="Fixed"/>
    <x v="1"/>
    <x v="0"/>
    <x v="0"/>
  </r>
  <r>
    <s v="81.192.11.141/0/oracle_linux-cve-2020-1433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oracle_linux-cve-2020-14331"/>
    <s v="Oracle Linux: (CVE-2020-14331) (Multiple Advisories): kernel security and bug fix update"/>
    <s v="A flaw was found in the Linux kernelâ€™s implementation of the invert video code on VGA consoles when a local attacker attempts to resize the console, calling an ioctl VT_RESIZE, which causes an out-of-bounds write to occur. This flaw allows a local user with access to the VGA console to crash the system, potentially escalating their privileges on the system. The highest threat from this vulnerability is to data confidentiality and integrity as well as system availability."/>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4331] is not installed, no patches discovered._x000d__x000a__x000d__x000a__x000d__x000a_ * _x000d__x000a_      kernel-uek-firmware - version 4.1.12-94.3.9.el7uek is installed"/>
    <s v=""/>
    <s v="CVE-2020-14331"/>
    <s v="http://nvd.nist.gov/vuln/detail/CVE-2020-14331"/>
    <d v="2020-07-31T00:00:00"/>
    <s v="vv"/>
    <n v="0"/>
    <s v=""/>
    <s v=""/>
    <s v="3 Days"/>
    <m/>
    <m/>
    <s v="Fixed"/>
    <x v="4"/>
    <d v="2020-12-26T00:00:00"/>
    <m/>
    <x v="3"/>
    <s v="Unix"/>
    <e v="#N/A"/>
    <m/>
    <m/>
    <m/>
    <d v="2020-12-20T00:00:00"/>
    <e v="#N/A"/>
    <s v="Fixed"/>
    <x v="1"/>
    <x v="0"/>
    <x v="0"/>
  </r>
  <r>
    <s v="81.192.11.141/0/oracle_linux-cve-2020-1436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20-14363"/>
    <s v="Oracle Linux: (CVE-2020-14363) (Multiple Advisories): libX11 security update"/>
    <s v="An integer overflow vulnerability leading to a double-free was found in libX11. This flaw allows a local privileged attacker to cause an application compiled with libX11 to crash, or in some cases, result in arbitrary code execution. The highest threat from this flaw is to confidentiality, integrity as well as system availability."/>
    <s v="* libX11 on Oracle Linux_x000d__x000a_      Upgrade libX11_x000d__x000a__x000d__x000a_       Update libX11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X11-common on Oracle Linux_x000d__x000a_      Upgrade libX11-common_x000d__x000a__x000d__x000a_       Update libX11-com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X11-devel on Oracle Linux_x000d__x000a_      Upgrade libX11-devel_x000d__x000a__x000d__x000a_       Update libX11-devel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libX11 - version 1.6.7-2.el7 is installed"/>
    <s v=""/>
    <s v="CVE-2020-14363"/>
    <s v="http://nvd.nist.gov/vuln/detail/CVE-2020-14363"/>
    <d v="2020-08-25T00:00:00"/>
    <s v="vv"/>
    <n v="0"/>
    <s v=""/>
    <s v=""/>
    <s v="3 Days"/>
    <m/>
    <m/>
    <s v="Fixed"/>
    <x v="4"/>
    <d v="2020-12-26T00:00:00"/>
    <m/>
    <x v="3"/>
    <s v="Unix"/>
    <e v="#N/A"/>
    <m/>
    <m/>
    <m/>
    <d v="2020-12-20T00:00:00"/>
    <e v="#N/A"/>
    <s v="Fixed"/>
    <x v="1"/>
    <x v="0"/>
    <x v="0"/>
  </r>
  <r>
    <s v="81.192.11.141/0/oracle_linux-cve-2020-1441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20-14416"/>
    <s v="Oracle Linux: (CVE-2020-14416) ELSA-2020-5801: Unbreakable Enterprise kernel security update"/>
    <s v="In the Linux kernel before 5.4.16, a race condition in tty-&gt;disc_data handling in the slip and slcan line discipline could lead to a use-after-free, aka CID-0ace17d56824. This affects drivers/net/slip/slip.c and drivers/net/can/slcan.c."/>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4416] is not installed, no patches discovered._x000d__x000a__x000d__x000a__x000d__x000a_ * _x000d__x000a_      kernel-uek-firmware - version 4.1.12-94.3.9.el7uek is installed"/>
    <s v=""/>
    <s v="CVE-2020-14416"/>
    <s v="http://nvd.nist.gov/vuln/detail/CVE-2020-14416"/>
    <d v="2020-06-18T00:00:00"/>
    <s v="vv"/>
    <n v="0"/>
    <s v=""/>
    <s v=""/>
    <s v="3 Days"/>
    <m/>
    <m/>
    <s v="Fixed"/>
    <x v="4"/>
    <d v="2020-12-26T00:00:00"/>
    <m/>
    <x v="3"/>
    <s v="Unix"/>
    <e v="#N/A"/>
    <m/>
    <m/>
    <m/>
    <d v="2020-12-20T00:00:00"/>
    <e v="#N/A"/>
    <s v="Fixed"/>
    <x v="1"/>
    <x v="0"/>
    <x v="0"/>
  </r>
  <r>
    <s v="81.192.11.141/0/oracle_linux-cve-2020-147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9"/>
    <x v="3"/>
    <s v="oracle_linux-cve-2020-1472"/>
    <s v="Oracle Linux: (CVE-2020-1472) ELSA-2020-5439: samba security and bug fix update"/>
    <s v="An elevation of privilege vulnerability exists when an attacker establishes a vulnerable Netlogon secure channel connection to a domain controller, using the Netlogon Remote Protocol (MS-NRPC), aka 'Netlogon Elevation of Privilege Vulnerability'."/>
    <s v="* ctdb on Oracle Linux_x000d__x000a_      Upgrade ctdb_x000d__x000a__x000d__x000a_       Update ctdb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ctdb-tests on Oracle Linux_x000d__x000a_      Upgrade ctdb-tests_x000d__x000a__x000d__x000a_       Update ctdb-tes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smbclient on Oracle Linux_x000d__x000a_      Upgrade libsmbclient_x000d__x000a__x000d__x000a_       Update libsmb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smbclient-devel on Oracle Linux_x000d__x000a_      Upgrade libsmbclient-devel_x000d__x000a__x000d__x000a_       Update libsmbclien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wbclient on Oracle Linux_x000d__x000a_      Upgrade libwbclient_x000d__x000a__x000d__x000a_       Update libwb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wbclient-devel on Oracle Linux_x000d__x000a_      Upgrade libwbclient-devel_x000d__x000a__x000d__x000a_       Update libwbclien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 on Oracle Linux_x000d__x000a_      Upgrade samba_x000d__x000a__x000d__x000a_       Update samba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lient on Oracle Linux_x000d__x000a_      Upgrade samba-client_x000d__x000a__x000d__x000a_       Update samba-clien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lient-libs on Oracle Linux_x000d__x000a_      Upgrade samba-client-libs_x000d__x000a__x000d__x000a_       Update samba-clien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ommon on Oracle Linux_x000d__x000a_      Upgrade samba-common_x000d__x000a__x000d__x000a_       Update samba-comm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ommon-libs on Oracle Linux_x000d__x000a_      Upgrade samba-common-libs_x000d__x000a__x000d__x000a_       Update samba-common-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common-tools on Oracle Linux_x000d__x000a_      Upgrade samba-common-tools_x000d__x000a__x000d__x000a_       Update samba-common-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dc on Oracle Linux_x000d__x000a_      Upgrade samba-dc_x000d__x000a__x000d__x000a_       Update samba-d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dc-libs on Oracle Linux_x000d__x000a_      Upgrade samba-dc-libs_x000d__x000a__x000d__x000a_       Update samba-dc-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devel on Oracle Linux_x000d__x000a_      Upgrade samba-devel_x000d__x000a__x000d__x000a_       Update samba-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krb5-printing on Oracle Linux_x000d__x000a_      Upgrade samba-krb5-printing_x000d__x000a__x000d__x000a_       Update samba-krb5-printin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libs on Oracle Linux_x000d__x000a_      Upgrade samba-libs_x000d__x000a__x000d__x000a_       Update samba-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pidl on Oracle Linux_x000d__x000a_      Upgrade samba-pidl_x000d__x000a__x000d__x000a_       Update samba-pid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python on Oracle Linux_x000d__x000a_      Upgrade samba-python_x000d__x000a__x000d__x000a_       Update samba-python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python-test on Oracle Linux_x000d__x000a_      Upgrade samba-python-test_x000d__x000a__x000d__x000a_       Update samba-python-tes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test on Oracle Linux_x000d__x000a_      Upgrade samba-test_x000d__x000a__x000d__x000a_       Update samba-tes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test-libs on Oracle Linux_x000d__x000a_      Upgrade samba-test-libs_x000d__x000a__x000d__x000a_       Update samba-tes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vfs-glusterfs on Oracle Linux_x000d__x000a_      Upgrade samba-vfs-glusterfs_x000d__x000a__x000d__x000a_       Update samba-vfs-glusterf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 on Oracle Linux_x000d__x000a_      Upgrade samba-winbind_x000d__x000a__x000d__x000a_       Update samba-winbin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clients on Oracle Linux_x000d__x000a_      Upgrade samba-winbind-clients_x000d__x000a__x000d__x000a_       Update samba-winbind-client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krb5-locator on Oracle Linux_x000d__x000a_      Upgrade samba-winbind-krb5-locator_x000d__x000a__x000d__x000a_       Update samba-winbind-krb5-locato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samba-winbind-modules on Oracle Linux_x000d__x000a_      Upgrade samba-winbind-modules_x000d__x000a__x000d__x000a_       Update samba-winbind-modules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samba - version 0:4.10.16-7.el7_9 is installed"/>
    <s v=""/>
    <s v="CVE-2020-1472"/>
    <s v="http://nvd.nist.gov/vuln/detail/CVE-2020-1472"/>
    <d v="2020-08-17T00:00:00"/>
    <s v="vv"/>
    <n v="2"/>
    <s v="Intermediate"/>
    <s v="http://www.exploit-db.com/exploits/49071,http://www.rapid7.com/db/modules/auxiliary/admin/dcerpc/cve_2020_1472_zerologon"/>
    <s v="3 Days"/>
    <m/>
    <m/>
    <s v="Fixed"/>
    <x v="4"/>
    <d v="2020-12-26T00:00:00"/>
    <m/>
    <x v="3"/>
    <s v="Unix"/>
    <e v="#N/A"/>
    <m/>
    <m/>
    <m/>
    <d v="2020-12-20T00:00:00"/>
    <e v="#N/A"/>
    <s v="Fixed"/>
    <x v="1"/>
    <x v="0"/>
    <x v="0"/>
  </r>
  <r>
    <s v="81.192.11.141/0/oracle_linux-cve-2020-1599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20-15999"/>
    <s v="Oracle Linux: (CVE-2020-15999) (Multiple Advisories): freetype security update"/>
    <s v="Heap buffer overflow in Freetype in Google Chrome prior to 86.0.4240.111 allowed a remote attacker to potentially exploit heap corruption via a crafted HTML page."/>
    <s v="* freetype on Oracle Linux_x000d__x000a_      Upgrade freetype_x000d__x000a__x000d__x000a_       Update freetyp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freetype-demos on Oracle Linux_x000d__x000a_      Upgrade freetype-demos_x000d__x000a__x000d__x000a_       Update freetype-demo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freetype-devel on Oracle Linux_x000d__x000a_      Upgrade freetype-devel_x000d__x000a__x000d__x000a_       Update freetype-devel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freetype - version 2.8-14.el7 is installed"/>
    <s v=""/>
    <s v="CVE-2020-15999"/>
    <s v="http://nvd.nist.gov/vuln/detail/CVE-2020-15999"/>
    <d v="2020-10-20T00:00:00"/>
    <s v="vv"/>
    <n v="0"/>
    <s v=""/>
    <s v=""/>
    <s v="3 Days"/>
    <m/>
    <m/>
    <s v="Fixed"/>
    <x v="4"/>
    <d v="2020-12-26T00:00:00"/>
    <m/>
    <x v="3"/>
    <s v="Unix"/>
    <e v="#N/A"/>
    <m/>
    <m/>
    <m/>
    <d v="2020-12-20T00:00:00"/>
    <e v="#N/A"/>
    <s v="Fixed"/>
    <x v="1"/>
    <x v="0"/>
    <x v="0"/>
  </r>
  <r>
    <s v="81.192.11.141/0/oracle_linux-cve-2020-1616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20-16166"/>
    <s v="Oracle Linux: (CVE-2020-16166) (Multiple Advisories): kernel security and bug fix update"/>
    <s v="The Linux kernel through 5.7.11 allows remote attackers to make observations that help to obtain sensitive information about the internal state of the network RNG, aka CID-f227e3ec3b5c. This is related to drivers/char/random.c and kernel/time/timer.c."/>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6166] is not installed, no patches discovered._x000d__x000a__x000d__x000a__x000d__x000a_ * _x000d__x000a_      kernel-uek-firmware - version 4.1.12-94.3.9.el7uek is installed"/>
    <s v=""/>
    <s v="CVE-2020-16166"/>
    <s v="http://nvd.nist.gov/vuln/detail/CVE-2020-16166"/>
    <d v="2020-07-30T00:00:00"/>
    <s v="vv"/>
    <n v="0"/>
    <s v=""/>
    <s v=""/>
    <s v="3 Days"/>
    <m/>
    <m/>
    <s v="Fixed"/>
    <x v="4"/>
    <d v="2020-12-26T00:00:00"/>
    <m/>
    <x v="3"/>
    <s v="Unix"/>
    <e v="#N/A"/>
    <m/>
    <m/>
    <m/>
    <d v="2020-12-20T00:00:00"/>
    <e v="#N/A"/>
    <s v="Fixed"/>
    <x v="1"/>
    <x v="0"/>
    <x v="0"/>
  </r>
  <r>
    <s v="81.192.11.141/0/oracle_linux-cve-2020-174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20-1749"/>
    <s v="Oracle Linux: (CVE-2020-1749) (Multiple Advisories): Unbreakable Enterprise kernel security update"/>
    <s v="A flaw was found in the Linux kernel's implementation of some networking protocols in IPsec, such as VXLAN and GENEVE tunnels over IPv6. When an encrypted tunnel is created between two hosts, the kernel isn't correctly routing tunneled data over the encrypted link; rather sending the data unencrypted. This would allow anyone in between the two endpoints to read the traffic unencrypted. The main threat from this vulnerability is to data confidentiality."/>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1749] is not installed, no patches discovered._x000d__x000a__x000d__x000a__x000d__x000a_ * _x000d__x000a_      kernel-uek-firmware - version 4.1.12-94.3.9.el7uek is installed"/>
    <s v=""/>
    <s v="CVE-2020-1749"/>
    <s v="http://nvd.nist.gov/vuln/detail/CVE-2020-1749"/>
    <d v="2020-04-03T00:00:00"/>
    <s v="vv"/>
    <n v="0"/>
    <s v=""/>
    <s v=""/>
    <s v="3 Days"/>
    <m/>
    <m/>
    <s v="Fixed"/>
    <x v="4"/>
    <d v="2020-12-26T00:00:00"/>
    <m/>
    <x v="3"/>
    <s v="Unix"/>
    <e v="#N/A"/>
    <m/>
    <m/>
    <m/>
    <d v="2020-12-20T00:00:00"/>
    <e v="#N/A"/>
    <s v="Fixed"/>
    <x v="1"/>
    <x v="0"/>
    <x v="0"/>
  </r>
  <r>
    <s v="81.192.11.141/0/oracle_linux-cve-2020-197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20-1971"/>
    <s v="Oracle Linux: (CVE-2020-1971) (Multiple Advisories): openssl security update"/>
    <s v="The X.509 GeneralName type is a generic type for representing different types of names. One of those name types is known as EDIPartyName. OpenSSL provides a function GENERAL_NAME_cmp which compares different instances of a GENERAL_NAME to see if they are equal or not. This function behaves incorrectly when both GENERAL_NAMEs contain an EDIPARTYNAME. A NULL pointer dereference and a crash may occur leading to a possible denial of service attack. OpenSSL itself uses the GENERAL_NAME_cmp function for two purposes: 1) Comparing CRL distribution point names between an available CRL and a CRL distribution point embedded in an X509 certificate 2) When verifying that a timestamp response token signer matches the timestamp authority name (exposed via the API functions TS_RESP_verify_response and TS_RESP_verify_token) If an attacker can control both items being compared then that attacker could trigger a crash. For example if the attacker can trick a client or server into checking a malicious certificate against a malicious CRL then this may occur. Note that some applications automatically download CRLs based on a URL embedded in a certificate. This checking happens prior to the signatures on the certificate and CRL being verified. OpenSSL's s_server, s_client and verify tools have support for the &quot;-crl_download&quot; option which implements automatic CRL downloading and this attack has been demonstrated to work against those tools. Note that an unrelated bug means that affected versions of OpenSSL cannot parse or construct correct encodings of EDIPARTYNAME. However it is possible to construct a malformed EDIPARTYNAME that OpenSSL's parser will accept and hence trigger this attack. All OpenSSL 1.1.1 and 1.0.2 versions are affected by this issue. Other OpenSSL releases are out of support and have not been checked. Fixed in OpenSSL 1.1.1i (Affected 1.1.1-1.1.1h). Fixed in OpenSSL 1.0.2x (Affected 1.0.2-1.0.2w)."/>
    <s v="* openssl on Oracle Linux_x000d__x000a_      Upgrade openssl_x000d__x000a__x000d__x000a_       Update openss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openssl-devel on Oracle Linux_x000d__x000a_      Upgrade openssl-devel_x000d__x000a__x000d__x000a_       Update openss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openssl-libs on Oracle Linux_x000d__x000a_      Upgrade openssl-libs_x000d__x000a__x000d__x000a_       Update openssl-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openssl-perl on Oracle Linux_x000d__x000a_      Upgrade openssl-perl_x000d__x000a__x000d__x000a_       Update openssl-per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openssl-static on Oracle Linux_x000d__x000a_      Upgrade openssl-static_x000d__x000a__x000d__x000a_       Update openssl-static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openssl - version 1:1.0.2k-19.0.1.el7 is installed"/>
    <s v=""/>
    <s v="CVE-2020-1971"/>
    <s v="http://nvd.nist.gov/vuln/detail/CVE-2020-1971"/>
    <d v="2020-12-08T00:00:00"/>
    <s v="vv"/>
    <n v="0"/>
    <s v=""/>
    <s v=""/>
    <s v="3 Days"/>
    <m/>
    <m/>
    <s v="Fixed"/>
    <x v="4"/>
    <d v="2020-12-26T00:00:00"/>
    <m/>
    <x v="3"/>
    <s v="Unix"/>
    <e v="#N/A"/>
    <m/>
    <m/>
    <m/>
    <d v="2020-12-20T00:00:00"/>
    <e v="#N/A"/>
    <s v="Fixed"/>
    <x v="1"/>
    <x v="0"/>
    <x v="0"/>
  </r>
  <r>
    <s v="81.192.11.141/0/oracle_linux-cve-2020-2521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20-25211"/>
    <s v="Oracle Linux: (CVE-2020-25211) (Multiple Advisories): Unbreakable Enterprise kernel security update"/>
    <s v="In the Linux kernel through 5.8.7, local attackers able to inject conntrack netlink configuration could overflow a local buffer, causing crashes or triggering use of incorrect protocol numbers in ctnetlink_parse_tuple_filter in net/netfilter/nf_conntrack_netlink.c, aka CID-1cc5ef91d2ff."/>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25211] is not installed, no patches discovered._x000d__x000a__x000d__x000a__x000d__x000a_ * _x000d__x000a_      kernel-uek-firmware - version 4.1.12-94.3.9.el7uek is installed"/>
    <s v=""/>
    <s v="CVE-2020-25211"/>
    <s v="http://nvd.nist.gov/vuln/detail/CVE-2020-25211"/>
    <d v="2020-09-09T00:00:00"/>
    <s v="vv"/>
    <n v="0"/>
    <s v=""/>
    <s v=""/>
    <s v="3 Days"/>
    <m/>
    <m/>
    <s v="Fixed"/>
    <x v="4"/>
    <d v="2020-12-26T00:00:00"/>
    <m/>
    <x v="3"/>
    <s v="Unix"/>
    <e v="#N/A"/>
    <m/>
    <m/>
    <m/>
    <d v="2020-12-20T00:00:00"/>
    <e v="#N/A"/>
    <s v="Fixed"/>
    <x v="1"/>
    <x v="0"/>
    <x v="0"/>
  </r>
  <r>
    <s v="81.192.11.141/0/oracle_linux-cve-2020-2521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20-25212"/>
    <s v="Oracle Linux: (CVE-2020-25212) (Multiple Advisories): kernel security and bug fix update"/>
    <s v="A TOCTOU mismatch in the NFS client code in the Linux kernel before 5.8.3 could be used by local attackers to corrupt memory or possibly have unspecified other impact because a size check is in fs/nfs/nfs4proc.c instead of fs/nfs/nfs4xdr.c, aka CID-b4487b935452."/>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25212] is not installed, no patches discovered._x000d__x000a__x000d__x000a__x000d__x000a_ * _x000d__x000a_      kernel-uek-firmware - version 4.1.12-94.3.9.el7uek is installed"/>
    <s v=""/>
    <s v="CVE-2020-25212"/>
    <s v="http://nvd.nist.gov/vuln/detail/CVE-2020-25212"/>
    <d v="2020-09-09T00:00:00"/>
    <s v="vv"/>
    <n v="0"/>
    <s v=""/>
    <s v=""/>
    <s v="3 Days"/>
    <m/>
    <m/>
    <s v="Fixed"/>
    <x v="4"/>
    <d v="2020-12-26T00:00:00"/>
    <m/>
    <x v="3"/>
    <s v="Unix"/>
    <e v="#N/A"/>
    <m/>
    <m/>
    <m/>
    <d v="2020-12-20T00:00:00"/>
    <e v="#N/A"/>
    <s v="Fixed"/>
    <x v="1"/>
    <x v="0"/>
    <x v="0"/>
  </r>
  <r>
    <s v="81.192.11.141/0/oracle_linux-cve-2020-2528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20-25284"/>
    <s v="Oracle Linux: (CVE-2020-25284) (Multiple Advisories): Unbreakable Enterprise kernel security update"/>
    <s v="The rbd block device driver in drivers/block/rbd.c in the Linux kernel through 5.8.9 used incomplete permission checking for access to rbd devices, which could be leveraged by local attackers to map or unmap rbd block devices, aka CID-f44d04e696fe."/>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25284] is not installed, no patches discovered._x000d__x000a__x000d__x000a__x000d__x000a_ * _x000d__x000a_      kernel-uek-firmware - version 4.1.12-94.3.9.el7uek is installed"/>
    <s v=""/>
    <s v="CVE-2020-25284"/>
    <s v="http://nvd.nist.gov/vuln/detail/CVE-2020-25284"/>
    <d v="2020-09-13T00:00:00"/>
    <s v="vv"/>
    <n v="0"/>
    <s v=""/>
    <s v=""/>
    <s v="3 Days"/>
    <m/>
    <m/>
    <s v="Fixed"/>
    <x v="4"/>
    <d v="2020-12-26T00:00:00"/>
    <m/>
    <x v="3"/>
    <s v="Unix"/>
    <e v="#N/A"/>
    <m/>
    <m/>
    <m/>
    <d v="2020-12-20T00:00:00"/>
    <e v="#N/A"/>
    <s v="Fixed"/>
    <x v="1"/>
    <x v="0"/>
    <x v="0"/>
  </r>
  <r>
    <s v="81.192.11.141/0/oracle_linux-cve-2020-2528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20-25285"/>
    <s v="Oracle Linux: (CVE-2020-25285) (Multiple Advisories): Unbreakable Enterprise kernel security update"/>
    <s v="A race condition between hugetlb sysctl handlers in mm/hugetlb.c in the Linux kernel before 5.8.8 could be used by local attackers to corrupt memory, cause a NULL pointer dereference, or possibly have unspecified other impact, aka CID-17743798d812."/>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25285] is not installed, no patches discovered._x000d__x000a__x000d__x000a__x000d__x000a_ * _x000d__x000a_      kernel-uek-firmware - version 4.1.12-94.3.9.el7uek is installed"/>
    <s v=""/>
    <s v="CVE-2020-25285"/>
    <s v="http://nvd.nist.gov/vuln/detail/CVE-2020-25285"/>
    <d v="2020-09-13T00:00:00"/>
    <s v="vv"/>
    <n v="0"/>
    <s v=""/>
    <s v=""/>
    <s v="3 Days"/>
    <m/>
    <m/>
    <s v="Fixed"/>
    <x v="4"/>
    <d v="2020-12-26T00:00:00"/>
    <m/>
    <x v="3"/>
    <s v="Unix"/>
    <e v="#N/A"/>
    <m/>
    <m/>
    <m/>
    <d v="2020-12-20T00:00:00"/>
    <e v="#N/A"/>
    <s v="Fixed"/>
    <x v="1"/>
    <x v="0"/>
    <x v="0"/>
  </r>
  <r>
    <s v="81.192.11.141/0/oracle_linux-cve-2020-273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20-2732"/>
    <s v="Oracle Linux: (CVE-2020-2732) (Multiple Advisories): kernel security, bug fix, and enhancement update"/>
    <s v="A flaw was discovered in the way that the KVM hypervisor handled instruction emulation for an L2 guest when nested virtualisation is enabled. Under some circumstances, an L2 guest may trick the L0 guest into accessing sensitive L1 resources that should be inaccessible to the L2 guest."/>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2732] is not installed, no patches discovered._x000d__x000a__x000d__x000a__x000d__x000a_ * _x000d__x000a_      kernel-uek-firmware - version 4.1.12-94.3.9.el7uek is installed"/>
    <s v=""/>
    <s v="CVE-2020-2732"/>
    <s v="http://nvd.nist.gov/vuln/detail/CVE-2020-2732"/>
    <d v="2020-02-24T00:00:00"/>
    <s v="vv"/>
    <n v="0"/>
    <s v=""/>
    <s v=""/>
    <s v="3 Days"/>
    <m/>
    <m/>
    <s v="Fixed"/>
    <x v="4"/>
    <d v="2020-12-26T00:00:00"/>
    <m/>
    <x v="3"/>
    <s v="Unix"/>
    <e v="#N/A"/>
    <m/>
    <m/>
    <m/>
    <d v="2020-12-20T00:00:00"/>
    <e v="#N/A"/>
    <s v="Fixed"/>
    <x v="1"/>
    <x v="0"/>
    <x v="0"/>
  </r>
  <r>
    <s v="81.192.11.141/0/oracle_linux-cve-2020-817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5"/>
    <x v="1"/>
    <s v="oracle_linux-cve-2020-8177"/>
    <s v="Oracle Linux: (CVE-2020-8177) (Multiple Advisories): curl security update"/>
    <s v="curl 7.20.0 through 7.70.0 is vulnerable to improper restriction of names for files and other resources that can lead too overwriting a local file when the -J flag is used."/>
    <s v="* curl on Oracle Linux_x000d__x000a_      Upgrade curl_x000d__x000a__x000d__x000a_       Update cur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curl on Oracle Linux_x000d__x000a_      Upgrade libcurl_x000d__x000a__x000d__x000a_       Update libcur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curl-devel on Oracle Linux_x000d__x000a_      Upgrade libcurl-devel_x000d__x000a__x000d__x000a_       Update libcurl-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libcurl-minimal on Oracle Linux_x000d__x000a_      Upgrade libcurl-minimal_x000d__x000a__x000d__x000a_       Update libcurl-minimal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curl - version 7.29.0-59.0.1.el7 is installed"/>
    <s v=""/>
    <s v="CVE-2020-8177"/>
    <s v="http://nvd.nist.gov/vuln/detail/CVE-2020-8177"/>
    <d v="2020-06-24T00:00:00"/>
    <s v="vv"/>
    <n v="0"/>
    <s v=""/>
    <s v=""/>
    <s v="3 Days"/>
    <m/>
    <m/>
    <s v="Fixed"/>
    <x v="4"/>
    <d v="2020-12-26T00:00:00"/>
    <m/>
    <x v="3"/>
    <s v="Unix"/>
    <e v="#N/A"/>
    <m/>
    <m/>
    <m/>
    <d v="2020-12-20T00:00:00"/>
    <e v="#N/A"/>
    <s v="Fixed"/>
    <x v="1"/>
    <x v="0"/>
    <x v="0"/>
  </r>
  <r>
    <s v="81.192.11.141/0/oracle_linux-cve-2020-862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20-8622"/>
    <s v="Oracle Linux: (CVE-2020-8622) (Multiple Advisories): bind security and bug fix update"/>
    <s v="In BIND 9.0.0 -&gt; 9.11.21, 9.12.0 -&gt; 9.16.5, 9.17.0 -&gt; 9.17.3, also affects 9.9.3-S1 -&gt; 9.11.21-S1 of the BIND 9 Supported Preview Edition, An attacker on the network path for a TSIG-signed request, or operating the server receiving the TSIG-signed request, could send a truncated response to that request, triggering an assertion failure, causing the server to exit. Alternately, an off-path attacker would have to correctly guess when a TSIG-signed request was sent, along with other characteristics of the packet and message, and spoof a truncated response to trigger an assertion failure, causing the server to exit."/>
    <s v="* bind on Oracle Linux_x000d__x000a_      Upgrade bind_x000d__x000a__x000d__x000a_       Update bin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chroot on Oracle Linux_x000d__x000a_      Upgrade bind-chroot_x000d__x000a__x000d__x000a_       Update bind-chroo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devel on Oracle Linux_x000d__x000a_      Upgrade bind-devel_x000d__x000a__x000d__x000a_       Update bind-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export-devel on Oracle Linux_x000d__x000a_      Upgrade bind-export-devel_x000d__x000a__x000d__x000a_       Update bind-expor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export-libs on Oracle Linux_x000d__x000a_      Upgrade bind-export-libs_x000d__x000a__x000d__x000a_       Update bind-expor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bs on Oracle Linux_x000d__x000a_      Upgrade bind-libs_x000d__x000a__x000d__x000a_       Update bind-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bs-lite on Oracle Linux_x000d__x000a_      Upgrade bind-libs-lite_x000d__x000a__x000d__x000a_       Update bind-libs-lit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cense on Oracle Linux_x000d__x000a_      Upgrade bind-license_x000d__x000a__x000d__x000a_       Update bind-licens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te-devel on Oracle Linux_x000d__x000a_      Upgrade bind-lite-devel_x000d__x000a__x000d__x000a_       Update bind-lite-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 on Oracle Linux_x000d__x000a_      Upgrade bind-pkcs11_x000d__x000a__x000d__x000a_       Update bind-pkcs11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devel on Oracle Linux_x000d__x000a_      Upgrade bind-pkcs11-devel_x000d__x000a__x000d__x000a_       Update bind-pkcs11-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libs on Oracle Linux_x000d__x000a_      Upgrade bind-pkcs11-libs_x000d__x000a__x000d__x000a_       Update bind-pkcs11-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utils on Oracle Linux_x000d__x000a_      Upgrade bind-pkcs11-utils_x000d__x000a__x000d__x000a_       Update bind-pkcs11-uti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sdb on Oracle Linux_x000d__x000a_      Upgrade bind-sdb_x000d__x000a__x000d__x000a_       Update bind-sdb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sdb-chroot on Oracle Linux_x000d__x000a_      Upgrade bind-sdb-chroot_x000d__x000a__x000d__x000a_       Update bind-sdb-chroo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utils on Oracle Linux_x000d__x000a_      Upgrade bind-utils_x000d__x000a__x000d__x000a_       Update bind-uti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bind on Oracle Linux_x000d__x000a_      Upgrade python3-bind_x000d__x000a__x000d__x000a_       Update python3-bind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bind-export-libs - version 32:9.11.4-26.P2.el7 is installed"/>
    <s v=""/>
    <s v="CVE-2020-8622"/>
    <s v="http://nvd.nist.gov/vuln/detail/CVE-2020-8622"/>
    <d v="2020-08-21T00:00:00"/>
    <s v="vv"/>
    <n v="0"/>
    <s v=""/>
    <s v=""/>
    <s v="3 Days"/>
    <m/>
    <m/>
    <s v="Fixed"/>
    <x v="4"/>
    <d v="2020-12-26T00:00:00"/>
    <m/>
    <x v="3"/>
    <s v="Unix"/>
    <e v="#N/A"/>
    <m/>
    <m/>
    <m/>
    <d v="2020-12-20T00:00:00"/>
    <e v="#N/A"/>
    <s v="Fixed"/>
    <x v="1"/>
    <x v="0"/>
    <x v="0"/>
  </r>
  <r>
    <s v="81.192.11.141/0/oracle_linux-cve-2020-862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20-8623"/>
    <s v="Oracle Linux: (CVE-2020-8623) (Multiple Advisories): bind security and bug fix update"/>
    <s v="In BIND 9.10.0 -&gt; 9.11.21, 9.12.0 -&gt; 9.16.5, 9.17.0 -&gt; 9.17.3, also affects 9.10.5-S1 -&gt; 9.11.21-S1 of the BIND 9 Supported Preview Edition, An attacker that can reach a vulnerable system with a specially crafted query packet can trigger a crash. To be vulnerable, the system must: * be running BIND that was built with &quot;--enable-native-pkcs11&quot; * be signing one or more zones with an RSA key * be able to receive queries from a possible attacker"/>
    <s v="* bind on Oracle Linux_x000d__x000a_      Upgrade bind_x000d__x000a__x000d__x000a_       Update bin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chroot on Oracle Linux_x000d__x000a_      Upgrade bind-chroot_x000d__x000a__x000d__x000a_       Update bind-chroo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devel on Oracle Linux_x000d__x000a_      Upgrade bind-devel_x000d__x000a__x000d__x000a_       Update bind-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export-devel on Oracle Linux_x000d__x000a_      Upgrade bind-export-devel_x000d__x000a__x000d__x000a_       Update bind-expor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export-libs on Oracle Linux_x000d__x000a_      Upgrade bind-export-libs_x000d__x000a__x000d__x000a_       Update bind-expor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bs on Oracle Linux_x000d__x000a_      Upgrade bind-libs_x000d__x000a__x000d__x000a_       Update bind-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bs-lite on Oracle Linux_x000d__x000a_      Upgrade bind-libs-lite_x000d__x000a__x000d__x000a_       Update bind-libs-lit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cense on Oracle Linux_x000d__x000a_      Upgrade bind-license_x000d__x000a__x000d__x000a_       Update bind-licens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te-devel on Oracle Linux_x000d__x000a_      Upgrade bind-lite-devel_x000d__x000a__x000d__x000a_       Update bind-lite-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 on Oracle Linux_x000d__x000a_      Upgrade bind-pkcs11_x000d__x000a__x000d__x000a_       Update bind-pkcs11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devel on Oracle Linux_x000d__x000a_      Upgrade bind-pkcs11-devel_x000d__x000a__x000d__x000a_       Update bind-pkcs11-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libs on Oracle Linux_x000d__x000a_      Upgrade bind-pkcs11-libs_x000d__x000a__x000d__x000a_       Update bind-pkcs11-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utils on Oracle Linux_x000d__x000a_      Upgrade bind-pkcs11-utils_x000d__x000a__x000d__x000a_       Update bind-pkcs11-uti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sdb on Oracle Linux_x000d__x000a_      Upgrade bind-sdb_x000d__x000a__x000d__x000a_       Update bind-sdb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sdb-chroot on Oracle Linux_x000d__x000a_      Upgrade bind-sdb-chroot_x000d__x000a__x000d__x000a_       Update bind-sdb-chroo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utils on Oracle Linux_x000d__x000a_      Upgrade bind-utils_x000d__x000a__x000d__x000a_       Update bind-uti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bind on Oracle Linux_x000d__x000a_      Upgrade python3-bind_x000d__x000a__x000d__x000a_       Update python3-bind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bind-export-libs - version 32:9.11.4-26.P2.el7 is installed"/>
    <s v=""/>
    <s v="CVE-2020-8623"/>
    <s v="http://nvd.nist.gov/vuln/detail/CVE-2020-8623"/>
    <d v="2020-08-21T00:00:00"/>
    <s v="vv"/>
    <n v="0"/>
    <s v=""/>
    <s v=""/>
    <s v="3 Days"/>
    <m/>
    <m/>
    <s v="Fixed"/>
    <x v="4"/>
    <d v="2020-12-26T00:00:00"/>
    <m/>
    <x v="3"/>
    <s v="Unix"/>
    <e v="#N/A"/>
    <m/>
    <m/>
    <m/>
    <d v="2020-12-20T00:00:00"/>
    <e v="#N/A"/>
    <s v="Fixed"/>
    <x v="1"/>
    <x v="0"/>
    <x v="0"/>
  </r>
  <r>
    <s v="81.192.11.141/0/oracle_linux-cve-2020-862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20-8624"/>
    <s v="Oracle Linux: (CVE-2020-8624) (Multiple Advisories): bind security and bug fix update"/>
    <s v="In BIND 9.9.12 -&gt; 9.9.13, 9.10.7 -&gt; 9.10.8, 9.11.3 -&gt; 9.11.21, 9.12.1 -&gt; 9.16.5, 9.17.0 -&gt; 9.17.3, also affects 9.9.12-S1 -&gt; 9.9.13-S1, 9.11.3-S1 -&gt; 9.11.21-S1 of the BIND 9 Supported Preview Edition, An attacker who has been granted privileges to change a specific subset of the zone's content could abuse these unintended additional privileges to update other contents of the zone."/>
    <s v="* bind on Oracle Linux_x000d__x000a_      Upgrade bind_x000d__x000a__x000d__x000a_       Update bind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chroot on Oracle Linux_x000d__x000a_      Upgrade bind-chroot_x000d__x000a__x000d__x000a_       Update bind-chroo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devel on Oracle Linux_x000d__x000a_      Upgrade bind-devel_x000d__x000a__x000d__x000a_       Update bind-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export-devel on Oracle Linux_x000d__x000a_      Upgrade bind-export-devel_x000d__x000a__x000d__x000a_       Update bind-export-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export-libs on Oracle Linux_x000d__x000a_      Upgrade bind-export-libs_x000d__x000a__x000d__x000a_       Update bind-export-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bs on Oracle Linux_x000d__x000a_      Upgrade bind-libs_x000d__x000a__x000d__x000a_       Update bind-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bs-lite on Oracle Linux_x000d__x000a_      Upgrade bind-libs-lite_x000d__x000a__x000d__x000a_       Update bind-libs-lit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cense on Oracle Linux_x000d__x000a_      Upgrade bind-license_x000d__x000a__x000d__x000a_       Update bind-licens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lite-devel on Oracle Linux_x000d__x000a_      Upgrade bind-lite-devel_x000d__x000a__x000d__x000a_       Update bind-lite-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 on Oracle Linux_x000d__x000a_      Upgrade bind-pkcs11_x000d__x000a__x000d__x000a_       Update bind-pkcs11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devel on Oracle Linux_x000d__x000a_      Upgrade bind-pkcs11-devel_x000d__x000a__x000d__x000a_       Update bind-pkcs11-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libs on Oracle Linux_x000d__x000a_      Upgrade bind-pkcs11-libs_x000d__x000a__x000d__x000a_       Update bind-pkcs11-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pkcs11-utils on Oracle Linux_x000d__x000a_      Upgrade bind-pkcs11-utils_x000d__x000a__x000d__x000a_       Update bind-pkcs11-uti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sdb on Oracle Linux_x000d__x000a_      Upgrade bind-sdb_x000d__x000a__x000d__x000a_       Update bind-sdb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sdb-chroot on Oracle Linux_x000d__x000a_      Upgrade bind-sdb-chroot_x000d__x000a__x000d__x000a_       Update bind-sdb-chroot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bind-utils on Oracle Linux_x000d__x000a_      Upgrade bind-utils_x000d__x000a__x000d__x000a_       Update bind-uti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3-bind on Oracle Linux_x000d__x000a_      Upgrade python3-bind_x000d__x000a__x000d__x000a_       Update python3-bind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bind-export-libs - version 32:9.11.4-26.P2.el7 is installed"/>
    <s v=""/>
    <s v="CVE-2020-8624"/>
    <s v="http://nvd.nist.gov/vuln/detail/CVE-2020-8624"/>
    <d v="2020-08-21T00:00:00"/>
    <s v="vv"/>
    <n v="0"/>
    <s v=""/>
    <s v=""/>
    <s v="3 Days"/>
    <m/>
    <m/>
    <s v="Fixed"/>
    <x v="4"/>
    <d v="2020-12-26T00:00:00"/>
    <m/>
    <x v="3"/>
    <s v="Unix"/>
    <e v="#N/A"/>
    <m/>
    <m/>
    <m/>
    <d v="2020-12-20T00:00:00"/>
    <e v="#N/A"/>
    <s v="Fixed"/>
    <x v="1"/>
    <x v="0"/>
    <x v="0"/>
  </r>
  <r>
    <s v="81.192.11.141/0/oracle_linux-cve-2020-8647"/>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20-8647"/>
    <s v="Oracle Linux: (CVE-2020-8647) (Multiple Advisories): kernel security, bug fix, and enhancement update"/>
    <s v="There is a use-after-free vulnerability in the Linux kernel through 5.5.2 in the vc_do_resize function in drivers/tty/vt/vt.c."/>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8647] is not installed, no patches discovered._x000d__x000a__x000d__x000a__x000d__x000a_ * _x000d__x000a_      kernel-uek-firmware - version 4.1.12-94.3.9.el7uek is installed"/>
    <s v=""/>
    <s v="CVE-2020-8647"/>
    <s v="http://nvd.nist.gov/vuln/detail/CVE-2020-8647"/>
    <d v="2020-02-06T00:00:00"/>
    <s v="vv"/>
    <n v="0"/>
    <s v=""/>
    <s v=""/>
    <s v="3 Days"/>
    <m/>
    <m/>
    <s v="Fixed"/>
    <x v="4"/>
    <d v="2020-12-26T00:00:00"/>
    <m/>
    <x v="3"/>
    <s v="Unix"/>
    <e v="#N/A"/>
    <m/>
    <m/>
    <m/>
    <d v="2020-12-20T00:00:00"/>
    <e v="#N/A"/>
    <s v="Fixed"/>
    <x v="1"/>
    <x v="0"/>
    <x v="0"/>
  </r>
  <r>
    <s v="81.192.11.141/0/oracle_linux-cve-2020-864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20-8648"/>
    <s v="Oracle Linux: (CVE-2020-8648) ELSA-2020-5670: Unbreakable Enterprise kernel security update"/>
    <s v="There is a use-after-free vulnerability in the Linux kernel through 5.5.2 in the n_tty_receive_buf_common function in drivers/tty/n_tty.c."/>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8648] is not installed, no patches discovered._x000d__x000a__x000d__x000a__x000d__x000a_ * _x000d__x000a_      kernel-uek-firmware - version 4.1.12-94.3.9.el7uek is installed"/>
    <s v=""/>
    <s v="CVE-2020-8648"/>
    <s v="http://nvd.nist.gov/vuln/detail/CVE-2020-8648"/>
    <d v="2020-02-06T00:00:00"/>
    <s v="vv"/>
    <n v="0"/>
    <s v=""/>
    <s v=""/>
    <s v="3 Days"/>
    <m/>
    <m/>
    <s v="Fixed"/>
    <x v="4"/>
    <d v="2020-12-26T00:00:00"/>
    <m/>
    <x v="3"/>
    <s v="Unix"/>
    <e v="#N/A"/>
    <m/>
    <m/>
    <m/>
    <d v="2020-12-20T00:00:00"/>
    <e v="#N/A"/>
    <s v="Fixed"/>
    <x v="1"/>
    <x v="0"/>
    <x v="0"/>
  </r>
  <r>
    <s v="81.192.11.141/0/oracle_linux-cve-2020-8649"/>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20-8649"/>
    <s v="Oracle Linux: (CVE-2020-8649) (Multiple Advisories): kernel security, bug fix, and enhancement update"/>
    <s v="There is a use-after-free vulnerability in the Linux kernel through 5.5.2 in the vgacon_invert_region function in drivers/video/console/vgacon.c."/>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8649] is not installed, no patches discovered._x000d__x000a__x000d__x000a__x000d__x000a_ * _x000d__x000a_      kernel-uek-firmware - version 4.1.12-94.3.9.el7uek is installed"/>
    <s v=""/>
    <s v="CVE-2020-8649"/>
    <s v="http://nvd.nist.gov/vuln/detail/CVE-2020-8649"/>
    <d v="2020-02-06T00:00:00"/>
    <s v="vv"/>
    <n v="0"/>
    <s v=""/>
    <s v=""/>
    <s v="3 Days"/>
    <m/>
    <m/>
    <s v="Fixed"/>
    <x v="4"/>
    <d v="2020-12-26T00:00:00"/>
    <m/>
    <x v="3"/>
    <s v="Unix"/>
    <e v="#N/A"/>
    <m/>
    <m/>
    <m/>
    <d v="2020-12-20T00:00:00"/>
    <e v="#N/A"/>
    <s v="Fixed"/>
    <x v="1"/>
    <x v="0"/>
    <x v="0"/>
  </r>
  <r>
    <s v="81.192.11.141/0/oracle_linux-cve-2020-8694"/>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20-8694"/>
    <s v="Oracle Linux: (CVE-2020-8694) (Multiple Advisories): Unbreakable Enterprise kernel security update"/>
    <s v="Insufficient access control in the Linux kernel driver for some Intel(R) Processors may allow an authenticated user to potentially enable information disclosure via local acces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container on Oracle Linux_x000d__x000a_      Upgrade kernel-uek-container_x000d__x000a__x000d__x000a_       Update kernel-uek-contain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8694] is not installed, no patches discovered._x000d__x000a__x000d__x000a__x000d__x000a_ * _x000d__x000a_      kernel-uek-firmware - version 4.1.12-94.3.9.el7uek is installed"/>
    <s v=""/>
    <s v="CVE-2020-8694"/>
    <s v="http://nvd.nist.gov/vuln/detail/CVE-2020-8694"/>
    <d v="2020-11-11T00:00:00"/>
    <s v="vv"/>
    <n v="0"/>
    <s v=""/>
    <s v=""/>
    <s v="3 Days"/>
    <m/>
    <m/>
    <s v="Fixed"/>
    <x v="4"/>
    <d v="2020-12-26T00:00:00"/>
    <m/>
    <x v="3"/>
    <s v="Unix"/>
    <e v="#N/A"/>
    <m/>
    <m/>
    <m/>
    <d v="2020-12-20T00:00:00"/>
    <e v="#N/A"/>
    <s v="Fixed"/>
    <x v="1"/>
    <x v="0"/>
    <x v="0"/>
  </r>
  <r>
    <s v="81.192.11.141/0/oracle_linux-cve-2020-8695"/>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20-8695"/>
    <s v="Oracle Linux: (CVE-2020-8695) (Multiple Advisories): microcode_ctl security, bug fix and enhancement update"/>
    <s v="Observable discrepancy in the RAPL interface for some Intel(R) Processors may allow a privileged user to potentially enable information disclosure via local access."/>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container on Oracle Linux_x000d__x000a_      Upgrade kernel-uek-container_x000d__x000a__x000d__x000a_       Update kernel-uek-container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headers on Oracle Linux_x000d__x000a_      Upgrade kernel-uek-headers_x000d__x000a__x000d__x000a_       Update kernel-uek-header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 on Oracle Linux_x000d__x000a_      Upgrade kernel-uek-tools_x000d__x000a__x000d__x000a_       Update kernel-uek-tool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 on Oracle Linux_x000d__x000a_      Upgrade kernel-uek-tools-libs_x000d__x000a__x000d__x000a_       Update kernel-uek-tools-lib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tools-libs-devel on Oracle Linux_x000d__x000a_      Upgrade kernel-uek-tools-libs-devel_x000d__x000a__x000d__x000a_       Update kernel-uek-tools-libs-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microcode_ctl on Oracle Linux_x000d__x000a_      Upgrade microcode_ctl_x000d__x000a__x000d__x000a_       Update microcode_ct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erf on Oracle Linux_x000d__x000a_      Upgrade perf_x000d__x000a__x000d__x000a_       Update perf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python-perf on Oracle Linux_x000d__x000a_      Upgrade python-perf_x000d__x000a__x000d__x000a_       Update python-perf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8695] is not installed, no patches discovered._x000d__x000a__x000d__x000a__x000d__x000a_ * _x000d__x000a_      kernel-uek-firmware - version 4.1.12-94.3.9.el7uek is installed"/>
    <s v=""/>
    <s v="CVE-2020-8695"/>
    <s v="http://nvd.nist.gov/vuln/detail/CVE-2020-8695"/>
    <d v="2020-11-10T00:00:00"/>
    <s v="vv"/>
    <n v="0"/>
    <s v=""/>
    <s v=""/>
    <s v="3 Days"/>
    <m/>
    <m/>
    <s v="Fixed"/>
    <x v="4"/>
    <d v="2020-12-26T00:00:00"/>
    <m/>
    <x v="3"/>
    <s v="Unix"/>
    <e v="#N/A"/>
    <m/>
    <m/>
    <m/>
    <d v="2020-12-20T00:00:00"/>
    <e v="#N/A"/>
    <s v="Fixed"/>
    <x v="1"/>
    <x v="0"/>
    <x v="0"/>
  </r>
  <r>
    <s v="81.192.11.141/0/oracle_linux-cve-2020-8696"/>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20-8696"/>
    <s v="Oracle Linux: (CVE-2020-8696) (Multiple Advisories): microcode_ctl security, bug fix and enhancement update"/>
    <s v="Improper removal of sensitive information before storage or transfer in some Intel(R) Processors may allow an authenticated user to potentially enable information disclosure via local access."/>
    <s v="microcode_ctl on Oracle Linux_x000d__x000a__x000d__x000a_Upgrade microcode_ctl_x000d__x000a__x000d__x000a_ Update microcode_ctl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microcode_ctl - version 2:2.1-73.0.1.el7 is installed"/>
    <s v=""/>
    <s v="CVE-2020-8696"/>
    <s v="http://nvd.nist.gov/vuln/detail/CVE-2020-8696"/>
    <d v="2020-11-12T00:00:00"/>
    <s v="vv"/>
    <n v="0"/>
    <s v=""/>
    <s v=""/>
    <s v="3 Days"/>
    <m/>
    <m/>
    <s v="Fixed"/>
    <x v="4"/>
    <d v="2020-12-26T00:00:00"/>
    <m/>
    <x v="3"/>
    <s v="Unix"/>
    <e v="#N/A"/>
    <m/>
    <m/>
    <m/>
    <d v="2020-12-20T00:00:00"/>
    <e v="#N/A"/>
    <s v="Fixed"/>
    <x v="1"/>
    <x v="0"/>
    <x v="0"/>
  </r>
  <r>
    <s v="81.192.11.141/0/oracle_linux-cve-2020-8698"/>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oracle_linux-cve-2020-8698"/>
    <s v="Oracle Linux: (CVE-2020-8698) (Multiple Advisories): microcode_ctl security, bug fix and enhancement update"/>
    <s v="Improper isolation of shared resources in some Intel(R) Processors may allow an authenticated user to potentially enable information disclosure via local access."/>
    <s v="microcode_ctl on Oracle Linux_x000d__x000a__x000d__x000a_Upgrade microcode_ctl_x000d__x000a__x000d__x000a_ Update microcode_ctl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_x000d__x000a_ * _x000d__x000a_      microcode_ctl - version 2:2.1-73.0.1.el7 is installed"/>
    <s v=""/>
    <s v="CVE-2020-8698"/>
    <s v="http://nvd.nist.gov/vuln/detail/CVE-2020-8698"/>
    <d v="2020-11-12T00:00:00"/>
    <s v="vv"/>
    <n v="0"/>
    <s v=""/>
    <s v=""/>
    <s v="3 Days"/>
    <m/>
    <m/>
    <s v="Fixed"/>
    <x v="4"/>
    <d v="2020-12-26T00:00:00"/>
    <m/>
    <x v="3"/>
    <s v="Unix"/>
    <e v="#N/A"/>
    <m/>
    <m/>
    <m/>
    <d v="2020-12-20T00:00:00"/>
    <e v="#N/A"/>
    <s v="Fixed"/>
    <x v="1"/>
    <x v="0"/>
    <x v="0"/>
  </r>
  <r>
    <s v="81.192.11.141/0/oracle_linux-cve-2020-9383"/>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cve-2020-9383"/>
    <s v="Oracle Linux: (CVE-2020-9383) (Multiple Advisories): kernel security, bug fix, and enhancement update"/>
    <s v="An issue was discovered in the Linux kernel through 5.5.6. set_fdc in drivers/block/floppy.c leads to a wait_til_ready out-of-bounds read because the FDC index is not checked for errors before assigning it, aka CID-2e90ca68b0d2."/>
    <s v="* kernel on Oracle Linux_x000d__x000a_      Upgrade kernel_x000d__x000a__x000d__x000a_       Update kern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CVE-2020-9383] is not installed, no patches discovered._x000d__x000a__x000d__x000a__x000d__x000a_ * _x000d__x000a_      kernel-uek-firmware - version 4.1.12-94.3.9.el7uek is installed"/>
    <s v=""/>
    <s v="CVE-2020-9383"/>
    <s v="http://nvd.nist.gov/vuln/detail/CVE-2020-9383"/>
    <d v="2020-02-25T00:00:00"/>
    <s v="vv"/>
    <n v="0"/>
    <s v=""/>
    <s v=""/>
    <s v="3 Days"/>
    <m/>
    <m/>
    <s v="Fixed"/>
    <x v="4"/>
    <d v="2020-12-26T00:00:00"/>
    <m/>
    <x v="3"/>
    <s v="Unix"/>
    <e v="#N/A"/>
    <m/>
    <m/>
    <m/>
    <d v="2020-12-20T00:00:00"/>
    <e v="#N/A"/>
    <s v="Fixed"/>
    <x v="1"/>
    <x v="0"/>
    <x v="0"/>
  </r>
  <r>
    <s v="81.192.11.141/0/oracle_linux-elsa-2018-4011"/>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elsa-2018-4011"/>
    <s v="Oracle Linux: ELSA-2018-4011: Unbreakable Enterprise kernel security update"/>
    <s v="[4.1.12-112.14.11] - x86/pti/efi: broken conversion from efi to kernel page table (Pavel Tatashin) [Orabug: 27363926] [Orabug: 27352353] {CVE-2017-5754} - x86/spec: Always set IBRS to guest value on VMENTER and host on VMEXIT (redux) (Konrad Rzeszutek Wilk) [Orabug: 27369994] - x86/IBRS: Make sure we restore MSR_IA32_SPEC_CTRL to a valid value (Boris Ostrovsky) [Orabug: 27362581] - x86/IBRS/IBPB: Set sysctl_ibrs/ibpb_enabled properly (Boris Ostrovsky) [Orabug: 27363792] - x86/spec_ctrl: Add missing 'lfence' when IBRS is not supported. (Konrad Rzeszutek Wilk) [Orabug: 27339995] {CVE-2017-5715} - x86/entry_64: TRACE_IRQS_OFF before re-enabling. (Jamie Iles) [Orabug: 27339995] {CVE-2017-5715} - ptrace: remove unlocked RCU dereference. (Jamie Iles) [Orabug: 27339995] {CVE-2017-5715} - x86/ia32: Adds code hygiene for 32bit SYSCALL instruction entry. (Konrad Rzeszutek Wilk) [Orabug: 27339995] {CVE-2017-5715} - x86/ia32: don't save registers on audit call (Konrad Rzeszutek Wilk) [Orabug: 27339995] {CVE-2017-5715} - x86/spec/ia32: Sprinkle IBRS and RSB at the 32-bit SYSCALL (Konrad Rzeszutek Wilk) [Orabug: 27339995] {CVE-2017-5715} - x86/ia32: Move STUFF_RSB And ENABLE_IBRS (Konrad Rzeszutek Wilk) [Orabug: 27339995] {CVE-2017-5715} - x86/spec: Always set IBRS to guest value on VMENTER and host on VMEXIT. (Konrad Rzeszutek Wilk) [Orabug: 27365544] {CVE-2017-5715}"/>
    <s v="*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ELSA-2018-4011] is not installed, no patches discovered._x000d__x000a__x000d__x000a__x000d__x000a_ * _x000d__x000a_      kernel-uek-firmware - version 4.1.12-94.3.9.el7uek is installed"/>
    <s v=""/>
    <s v=""/>
    <s v=""/>
    <d v="2018-01-12T00:00:00"/>
    <s v="vv"/>
    <n v="0"/>
    <s v=""/>
    <s v=""/>
    <s v="3 Days"/>
    <m/>
    <m/>
    <s v="Fixed"/>
    <x v="4"/>
    <d v="2020-12-26T00:00:00"/>
    <m/>
    <x v="3"/>
    <s v="Unix"/>
    <e v="#N/A"/>
    <m/>
    <m/>
    <m/>
    <d v="2020-12-20T00:00:00"/>
    <e v="#N/A"/>
    <s v="Fixed"/>
    <x v="1"/>
    <x v="0"/>
    <x v="0"/>
  </r>
  <r>
    <s v="81.192.11.141/0/oracle_linux-elsa-2018-4012"/>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oracle_linux-elsa-2018-4012"/>
    <s v="Oracle Linux: ELSA-2018-4012: Unbreakable Enterprise kernel security update"/>
    <s v="kernel-uek [4.1.12-94.7.8] - x86/pti/efi: broken conversion from efi to kernel page table (Pavel Tatashin) [Orabug: 27378087] [Orabug: 27352353] {CVE-2017-5754} - x86/spec: Always set IBRS to guest value on VMENTER and host on VMEXIT (redux) (Konrad Rzeszutek Wilk) [Orabug: 27378074] - x86/IBRS: Make sure we restore MSR_IA32_SPEC_CTRL to a valid value (Boris Ostrovsky) [Orabug: 27378063] - x86/IBRS/IBPB: Set sysctl_ibrs/ibpb_enabled properly (Boris Ostrovsky) [Orabug: 27378035] - x86/spec_ctrl: Add missing 'lfence' when IBRS is not supported. (Konrad Rzeszutek Wilk) [Orabug: 27345388] {CVE-2017-5715} - x86/entry_64: TRACE_IRQS_OFF before re-enabling. (Jamie Iles) [Orabug: 27345388] {CVE-2017-5715} - ptrace: remove unlocked RCU dereference. (Jamie Iles) [Orabug: 27345388] {CVE-2017-5715} - x86/ia32: Adds code hygiene for 32bit SYSCALL instruction entry. (Konrad Rzeszutek Wilk) [Orabug: 27345388] {CVE-2017-5715} - x86/ia32: dont save registers on audit call (Konrad Rzeszutek Wilk) [Orabug: 27345388] {CVE-2017-5715} - x86/spec/ia32: Sprinkle IBRS and RSB at the 32-bit SYSCALL (Konrad Rzeszutek Wilk) [Orabug: 27345388] {CVE-2017-5715} - x86/ia32: Move STUFF_RSB And ENABLE_IBRS (Konrad Rzeszutek Wilk) [Orabug: 27345388] {CVE-2017-5715} [4.1.12-94.7.7] - x86/spec: Always set IBRS to guest value on VMENTER and host on VMEXIT. (Konrad Rzeszutek Wilk) [Orabug: 27365568] {CVE-2017-5715} - x86/ia32: save and clear registers on syscall. (Jamie Iles) [Orabug: 27364707] {CVE-2017-5754} - x86/IBRS: Save current status of MSR_IA32_SPEC_CTRL (Boris Ostrovsky) [Orabug: 27364720] - pti: Rename X86_FEATURE_KAISER to X86_FEATURE_PTI (Pavel Tatashin) [Orabug: 27358615] {CVE-2017-5754} - x86/spec_ctrl: Add missing IBRS_DISABLE (Konrad Rzeszutek Wilk) - Make use of ibrs_inuse consistent. (Jun Nakajima) - x86/kvm: Set IBRS on VMEXIT if guest disabled it. (Konrad Rzeszutek Wilk) - Re-introduce clearing of r12-15, rbp, rbx (Kris Van Hees) [Orabug: 27345388] {CVE-2017-5715} - x86: more ibrs/pti fixes (Pavel Tatashin) [Orabug: 27358615] {CVE-2017-5754} - x86/spec: Actually do the check for in_use on ENABLE_IBRS (Konrad Rzeszutek Wilk) {CVE-2017-5715} - kvm: svm: Expose the CPUID.0x80000008 ebx flag. (Konrad Rzeszutek Wilk) {CVE-2017-5715} - x86/spec_ctrl: Provide the sysfs version of the ibrs_enabled (Konrad Rzeszutek Wilk) {CVE-2017-5715} - x86: Use better #define for FEATURE_ENABLE_IBRS and 0 (Konrad Rzeszutek Wilk) {CVE-2017-5715} - x86: Instead of 0x2, 0x4, and 0x1 use #defines. (Konrad Rzeszutek Wilk) {CVE-2017-5715} - kpti: Disable when running under Xen PV (Konrad Rzeszutek Wilk) [Orabug: 27358615] {CVE-2017-5754} - x86: Dont ENABLE_IBRS in nmi when we are still running on user cr3 (Konrad Rzeszutek Wilk) {CVE-2017-5715} - x86/enter: Use IBRS on syscall and interrupts - fix ia32 path (Konrad Rzeszutek Wilk) {CVE-2017-5715} - x86: Fix spectre/kpti integration (Konrad Rzeszutek Wilk) [Orabug: 27358615] {CVE-2017-5754} - PTI: unbreak EFI old_memmap (Jiri Kosina) [Orabug: 27358615] {CVE-2017-5754} - KAISER KABI tweaks. (Martin K. Petersen) [Orabug: 27358615] {CVE-2017-5754} - x86/ldt: fix crash in ldt freeing. (Jamie Iles) [Orabug: 27358615] {CVE-2017-5754} - x86/entry: Define 'cpu_current_top_of_stack' for 64-bit code (Denys Vlasenko) [Orabug: 27358615] {CVE-2017-5754} - x86/entry: Remove unused 'kernel_stack' per-cpu variable (Denys Vlasenko) [Orabug: 27358615] {CVE-2017-5754} - x86/entry: Stop using PER_CPU_VAR(kernel_stack) (Denys Vlasenko) [Orabug: 27358615] {CVE-2017-5754} - kaiser: Set _PAGE_NX only if supported (Guenter Roeck) [Orabug: 27358615] {CVE-2017-5754} - x86/vdso: Get pvclock data from the vvar VMA instead of the fixmap (Andy Lutomirski) [Orabug: 27358615] {CVE-2017-5754} - KPTI: Report when enabled (Kees Cook) [Orabug: 27358615] {CVE-2017-5754} - KPTI: Rename to PAGE_TABLE_ISOLATION (Kees Cook) [Orabug: 27358615] {CVE-2017-5754} - x86/kaiser: Move feature detection up (Borislav Petkov) [Orabug: 27358615] {CVE-2017-5754} - x86/kaiser: Reenable PARAVIRT (Borislav Petkov) [Orabug: 27358615] {CVE-2017-5754} - x86/paravirt: Dont patch flush_tlb_single (Thomas Gleixner) [Orabug: 27358615] {CVE-2017-5754} - kaiser: kaiser_flush_tlb_on_return_to_user() check PCID (Hugh Dickins) [Orabug: 27358615] {CVE-2017-5754} - kaiser: asm/tlbflush.h handle noPGE at lower level (Hugh Dickins) [Orabug: 27358615] {CVE-2017-5754} - kaiser: drop is_atomic arg to kaiser_pagetable_walk() (Hugh Dickins) [Orabug: 27358615] {CVE-2017-5754} - kaiser: use ALTERNATIVE instead of x86_cr3_pcid_noflush (Hugh Dickins) [Orabug: 27358615] {CVE-2017-5754} - x86/kaiser: Check boottime cmdline params (Borislav Petkov) [Orabug: 27358615] {CVE-2017-5754} - x86/kaiser: Rename and simplify X86_FEATURE_KAISER handling (Borislav Petkov) [Orabug: 27358615] {CVE-2017-5754} - kaiser: add 'nokaiser' boot option, using ALTERNATIVE (Hugh Dickins) [Orabug: 27358615] {CVE-2017-5754} - kaiser: fix unlikely error in alloc_ldt_struct() (Hugh Dickins) [Orabug: 27358615] {CVE-2017-5754} - kaiser: _pgd_alloc() without __GFP_REPEAT to avoid stalls (Hugh Dickins) [Orabug: 27358615] {CVE-2017-5754} - kaiser: paranoid_entry pass cr3 need to paranoid_exit (Hugh Dickins) [Orabug: 27358615] {CVE-2017-5754} - kaiser: x86_cr3_pcid_noflush and x86_cr3_pcid_user (Hugh Dickins) [Orabug: 27358615] {CVE-2017-5754} - kaiser: PCID 0 for kernel and 128 for user (Hugh Dickins) [Orabug: 27358615] {CVE-2017-5754} - kaiser: load_new_mm_cr3() let SWITCH_USER_CR3 flush user (Hugh Dickins) [Orabug: 27358615] {CVE-2017-5754} - kaiser: enhanced by kernel and user PCIDs (Dave Hansen) [Orabug: 27358615] {CVE-2017-5754} - kaiser: vmstat show NR_KAISERTABLE as nr_overhead (Hugh Dickins) [Orabug: 27358615] {CVE-2017-5754} - kaiser: delete KAISER_REAL_SWITCH option (Hugh Dickins) [Orabug: 27358615] {CVE-2017-5754} - kaiser: name that 0x1000 KAISER_SHADOW_PGD_OFFSET (Hugh Dickins) [Orabug: 27358615] {CVE-2017-5754} - kaiser: cleanups while trying for gold link (Hugh Dickins) [Orabug: 27358615] {CVE-2017-5754} - kaiser: kaiser_remove_mapping() move along the pgd (Hugh Dickins) [Orabug: 27358615] {CVE-2017-5754} - kaiser: tidied up kaiser_add/remove_mapping slightly (Hugh Dickins) [Orabug: 27358615] {CVE-2017-5754} - kaiser: tidied up asm/kaiser.h somewhat (Hugh Dickins) [Orabug: 27358615] {CVE-2017-5754} - kaiser: ENOMEM if kaiser_pagetable_walk() NULL (Hugh Dickins) [Orabug: 27358615] {CVE-2017-5754} - kaiser: fix perf crashes (Hugh Dickins) [Orabug: 27358615] {CVE-2017-5754} - kaiser: fix regs to do_nmi() ifndef CONFIG_KAISER (Hugh Dickins) [Orabug: 27358615] {CVE-2017-5754} - kaiser: KAISER depends on SMP (Hugh Dickins) [Orabug: 27358615] {CVE-2017-5754} - kaiser: fix build and FIXME in alloc_ldt_struct() (Hugh Dickins) [Orabug: 27358615] {CVE-2017-5754} - kaiser: stack map PAGE_SIZE at THREAD_SIZE-PAGE_SIZE (Hugh Dickins) [Orabug: 27358615] {CVE-2017-5754} - kaiser: do not set _PAGE_NX on pgd_none (Hugh Dickins) [Orabug: 27358615] {CVE-2017-5754} - kaiser: merged update (Dave Hansen) [Orabug: 27358615] {CVE-2017-5754} - KAISER: Kernel Address Isolation (Richard Fellner) [Orabug: 27358615] {CVE-2017-5754} - x86/boot: Add early cmdline parsing for options with arguments (Tom Lendacky) [Orabug: 27358615] {CVE-2017-5754} - x86/mm/64: Fix reboot interaction with CR4.PCIDE (Andy Lutomirski) [Orabug: 27358615] {CVE-2017-5754} - x86/mm: Enable CR4.PCIDE on supported systems (Andy Lutomirski) [Orabug: 27358615] {CVE-2017-5754} - x86/mm: Add the 'nopcid' boot option to turn off PCID (Andy Lutomirski) [Orabug: 27358615] {CVE-2017-5754} - x86/mm: Disable PCID on 32-bit kernels (Andy Lutomirski) [Orabug: 27358615] {CVE-2017-5754} - x86/mm: Remove the UP asm/tlbflush.h code, always use the (formerly) SMP code (Andy Lutomirski) [Orabug: 27358615] {CVE-2017-5754} - x86/mm: Reimplement flush_tlb_page() using flush_tlb_mm_range() (Andy Lutomirski) [Orabug: 27358615] {CVE-2017-5754} - x86/mm: Make flush_tlb_mm_range() more predictable (Andy Lutomirski) [Orabug: 27358615] {CVE-2017-5754} - x86/mm: Remove flush_tlb() and flush_tlb_current_task() (Andy Lutomirski) [Orabug: 27358615] {CVE-2017-5754} - x86/vm86/32: Switch to flush_tlb_mm_range() in mark_screen_rdonly() (Andy Lutomirski) [Orabug: 27358615] {CVE-2017-5754} - x86/irq: Do not substract irq_tlb_count from irq_call_count (Aaron Lu) [Orabug: 27358615] {CVE-2017-5754} - sched/core: Idle_task_exit() shouldnt use switch_mm_irqs_off() (Andy Lutomirski) [Orabug: 27358615] {CVE-2017-5754} - ARM: Hide finish_arch_post_lock_switch() from modules (Steven Rostedt) [Orabug: 27358615] {CVE-2017-5754} - x86/mm, sched/core: Turn off IRQs in switch_mm() (Andy Lutomirski) [Orabug: 27358615] {CVE-2017-5754} - x86/mm, sched/core: Uninline switch_mm() (Andy Lutomirski) [Orabug: 27358615] {CVE-2017-5754} - x86/mm: Build arch/x86/mm/tlb.c even on !SMP (Andy Lutomirski) [Orabug: 27358615] {CVE-2017-5754} - sched/core: Add switch_mm_irqs_off() and use it in the scheduler (Andy Lutomirski) [Orabug: 27358615] {CVE-2017-5754} - mm/mmu_context, sched/core: Fix mmu_context.h assumption (Ingo Molnar) [Orabug: 27358615] {CVE-2017-5754} - x86/mm: If INVPCID is available, use it to flush global mappings (Andy Lutomirski) [Orabug: 27358615] {CVE-2017-5754} - x86/mm: Add a 'noinvpcid' boot option to turn off INVPCID (Andy Lutomirski) [Orabug: 27358615] {CVE-2017-5754} - x86/mm: Fix INVPCID asm constraint (Borislav Petkov) [Orabug: 27358615] {CVE-2017-5754} - x86/mm: Add INVPCID helpers (Andy Lutomirski) [Orabug: 27358615] {CVE-2017-5754} [4.1.12-94.7.6] - x86/ibrs: Remove 'ibrs_dump' and remove the pr_debug (Konrad Rzeszutek Wilk) [Orabug: 27351275] - kABI: Revert kABI: Make the boot_cpu_data look normal (Konrad Rzeszutek Wilk) {CVE-2017-5715} [4.1.12-94.7.5] - userns: prevent speculative execution (Elena Reshetova) [Orabug: 27345402] {CVE-2017-5753} - udf: prevent speculative execution (Elena Reshetova) [Orabug: 27345402] {CVE-2017-5753} - net: mpls: prevent speculative execution (Elena Reshetova) [Orabug: 27345402] {CVE-2017-5753} - fs: prevent speculative execution (Elena Reshetova) [Orabug: 27345402] {CVE-2017-5753} - ipv6: prevent speculative execution (Elena Reshetova) [Orabug: 27345402] {CVE-2017-5753} - ipv4: prevent speculative execution (Elena Reshetova) [Orabug: 27345402] {CVE-2017-5753} - Thermal/int340x: prevent speculative execution (Elena Reshetova) [Orabug: 27345402] {CVE-2017-5753} - cw1200: prevent speculative execution (Elena Reshetova) [Orabug: 27345402] {CVE-2017-5753} - qla2xxx: prevent speculative execution (Elena Reshetova) [Orabug: 27345402] {CVE-2017-5753} - p54: prevent speculative execution (Elena Reshetova) [Orabug: 27345402] {CVE-2017-5753} - carl9170: prevent speculative execution (Elena Reshetova) [Orabug: 27345402] {CVE-2017-5753} - uvcvideo: prevent speculative execution (Elena Reshetova) [Orabug: 27345402] {CVE-2017-5753} - bpf: prevent speculative execution in eBPF interpreter (Elena Reshetova) [Orabug: 27345402] {CVE-2017-5753} - locking/barriers: introduce new observable speculation barrier (Elena Reshetova) [Orabug: 27345402] {CVE-2017-5753} - x86/cpu/AMD: Remove now unused definition of MFENCE_RDTSC feature (Elena Reshetova) [Orabug: 27345402] {CVE-2017-5753} - x86/cpu/AMD: Make the LFENCE instruction serialized (Elena Reshetova) [Orabug: 27345402] {CVE-2017-5753} - kABI: Make the boot_cpu_data look normal. (Konrad Rzeszutek Wilk) [Orabug: 27345388] {CVE-2017-5715} - kernel.spec: Require the new microcode_ctl. (Konrad Rzeszutek Wilk) [Orabug: 27345388] {CVE-2017-5715} {CVE-2017-5715} - x86/microcode/AMD: Add support for fam17h microcode loading (Tom Lendacky) [Orabug: 27345388] {CVE-2017-5715} - x86/spec_ctrl: Disable if running as Xen PV guest. (Konrad Rzeszutek Wilk) [Orabug: 27345388] {CVE-2017-5715} - Set IBPB when running a different VCPU (Dave Hansen) [Orabug: 27345388] {CVE-2017-5715} - Clear the host registers after setbe (Jun Nakajima) [Orabug: 27345388] {CVE-2017-5715} - Use the ibpb_inuse variable. (Jun Nakajima) [Orabug: 27345388] {CVE-2017-5715} - KVM: x86: add SPEC_CTRL to MSR and CPUID lists (Andrea Arcangeli) [Orabug: 27345388] {CVE-2017-5715} - kvm: vmx: add MSR_IA32_SPEC_CTRL and MSR_IA32_PRED_CMD (Paolo Bonzini) [Orabug: 27345388] {CVE-2017-5715} - Use the 'ibrs_inuse' variable. (Jun Nakajima) [Orabug: 27345388] {CVE-2017-5715} - kvm: svm: add MSR_IA32_SPEC_CTRL and MSR_IA32_PRED_CMD (Andrea Arcangeli) [Orabug: 27345388] {CVE-2017-5715} - x86/svm: Set IBPB when running a different VCPU (Paolo Bonzini) [Orabug: 27345388] {CVE-2017-5715} - x86/kvm: Pad RSB on VM transition (Tim Chen) [Orabug: 27345388] {CVE-2017-5715} - x86/cpu/AMD: Add speculative control support for AMD (Tom Lendacky) [Orabug: 27345388] {CVE-2017-5715} - x86/microcode: Recheck IBRS and IBPB feature on microcode reload (Tim Chen) [Orabug: 27345388] {CVE-2017-5715} - x86: Move IBRS/IBPB feature detection to scattered.c (Tim Chen) [Orabug: 27345388] {CVE-2017-5715} - x86/spec_ctrl: Add lock to serialize changes to ibrs and ibpb control (Tim Chen) [Orabug: 27345388] {CVE-2017-5715} - x86/spec_ctrl: Add sysctl knobs to enable/disable SPEC_CTRL feature (Konrad Rzeszutek Wilk) [Orabug: 27345388] {CVE-2017-5715} - x86/kvm: clear registers on VM exit (Tom Lendacky) [Orabug: 27345388] {CVE-2017-5715} - x86/kvm: Set IBPB when switching VM (Tim Chen) [Orabug: 27345388] {CVE-2017-5715} - *INCOMPLETE* x86/syscall: Clear unused extra registers on syscall entrance (Konrad Rzeszutek Wilk) [Orabug: 27345388] {CVE-2017-5715} - x86/entry: Stuff RSB for entry to kernel for non-SMEP platform (Konrad Rzeszutek Wilk) [Orabug: 27345388] {CVE-2017-5715} - x86/mm: Only set IBPB when the new thread cannot ptrace current thread (Konrad Rzeszutek Wilk) [Orabug: 27345388] {CVE-2017-5715} - x86/mm: Set IBPB upon context switch (Tim Chen) [Orabug: 27345388] {CVE-2017-5715} - x86/idle: Disable IBRS when offlining cpu and re-enable on wakeup (Tim Chen) [Orabug: 27345388] {CVE-2017-5715} - x86/idle: Disable IBRS entering idle and enable it on wakeup (Tim Chen) [Orabug: 27345388] {CVE-2017-5715} - x86/spec_ctrl: save IBRS MSR value in paranoid_entry (Andrea Arcangeli) [Orabug: 27345388] {CVE-2017-5715} - *Scaffolding* x86/spec_ctrl: Add sysctl knobs to enable/disable SPEC_CTRL feature (Tim Chen) [Orabug: 27345388] {CVE-2017-5715} - x86/enter: Use IBRS on syscall and interrupts (Tim Chen) [Orabug: 27345388] {CVE-2017-5715} - x86: Add macro that does not save rax, rcx, rdx on stack to disable IBRS (Tim Chen) [Orabug: 27345388] {CVE-2017-5715} - x86/enter: MACROS to set/clear IBRS and set IBP (Tim Chen) [Orabug: 27345388] {CVE-2017-5715} - x86/feature: Report presence of IBPB and IBRS control (Tim Chen) [Orabug: 27345388] {CVE-2017-5715} - x86: Add STIBP feature enumeration (Konrad Rzeszutek Wilk) [Orabug: 27345388] {CVE-2017-5715} - x86/cpufeature: Add X86_FEATURE_IA32_ARCH_CAPS and X86_FEATURE_IBRS_ATT (Konrad Rzeszutek Wilk) [Orabug: 27345388] {CVE-2017-5715} - x86/feature: Enable the x86 feature to control (Tim Chen) [Orabug: 27345388] {CVE-2017-5715} [4.1.12-94.7.4] - KVM: nVMX: Fix loss of L2s NMI blocking state (Wanpeng Li) [Orabug: 27062526] - KVM: nVMX: track NMI blocking state separately for each VMCS (Paolo Bonzini) [Orabug: 27062526] - KVM: VMX: require virtual NMI support (Paolo Bonzini) [Orabug: 27062526] - KVM: nVMX: Fix the NMI IDT-vectoring handling (Wanpeng Li) [Orabug: 27062526] - netlink: allow to listen 'all' netns (Nicolas Dichtel) [Orabug: 27098332] - netlink: rename private flags and states (Nicolas Dichtel) [Orabug: 27098332] - netns: use a spin_lock to protect nsid management (Nicolas Dichtel) [Orabug: 27098332] - netns: notify new nsid outside __peernet2id() (Nicolas Dichtel) [Orabug: 27098332] - netns: rename peernet2id() to peernet2id_alloc() (Nicolas Dichtel) [Orabug: 27098332] - netns: always provide the id to rtnl_net_fill() (Nicolas Dichtel) [Orabug: 27098332] - netns: returns always an id in __peernet2id() (Nicolas Dichtel) [Orabug: 27098332]"/>
    <s v="* dtrace-modules on Oracle Linux_x000d__x000a_      Upgrade dtrace-modules_x000d__x000a__x000d__x000a_       Update dtrace-modules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 on Oracle Linux_x000d__x000a_      Upgrade kernel-uek_x000d__x000a__x000d__x000a_       Update kernel-uek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 on Oracle Linux_x000d__x000a_      Upgrade kernel-uek-debug_x000d__x000a__x000d__x000a_       Update kernel-uek-debug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bug-devel on Oracle Linux_x000d__x000a_      Upgrade kernel-uek-debug-devel_x000d__x000a__x000d__x000a_       Update kernel-uek-debug-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evel on Oracle Linux_x000d__x000a_      Upgrade kernel-uek-devel_x000d__x000a__x000d__x000a_       Update kernel-uek-devel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doc on Oracle Linux_x000d__x000a_      Upgrade kernel-uek-doc_x000d__x000a__x000d__x000a_       Update kernel-uek-doc using yum or up2date. Please note that customers with support can use the  Unbreakable Linux Network (ULN) (https://linux.oracle.com) , and customers without support can use the  publicly available Oracle Linux yum repositories (http://public-yum.oracle.com) . _x000d__x000a__x000d__x000a__x000d__x000a_ * kernel-uek-firmware on Oracle Linux_x000d__x000a_      Upgrade kernel-uek-firmware_x000d__x000a__x000d__x000a_       Update kernel-uek-firmware using yum or up2date. Please note that customers with support can use the  Unbreakable Linux Network (ULN) (https://linux.oracle.com) , and customers without support can use the  publicly available Oracle Linux yum repositories (http://public-yum.oracle.com) ."/>
    <s v="Vulnerable OS: Oracle Linux 7.9_x000d__x000a__x000d__x000a__x000d__x000a_Vulnerable software installed: Linux kernel-uek 4.1.12-94.3.9.el7uek_x000d__x000a__x000d__x000a_ * Required patch [ELSA-2018-4012] is not installed, no patches discovered._x000d__x000a__x000d__x000a__x000d__x000a_ * _x000d__x000a_      kernel-uek-firmware - version 4.1.12-94.3.9.el7uek is installed"/>
    <s v=""/>
    <s v=""/>
    <s v=""/>
    <d v="2018-01-19T00:00:00"/>
    <s v="vv"/>
    <n v="0"/>
    <s v=""/>
    <s v=""/>
    <s v="3 Days"/>
    <m/>
    <m/>
    <s v="Fixed"/>
    <x v="4"/>
    <d v="2020-12-26T00:00:00"/>
    <m/>
    <x v="3"/>
    <s v="Unix"/>
    <e v="#N/A"/>
    <m/>
    <m/>
    <m/>
    <d v="2020-12-20T00:00:00"/>
    <e v="#N/A"/>
    <s v="Fixed"/>
    <x v="1"/>
    <x v="0"/>
    <x v="0"/>
  </r>
  <r>
    <s v="81.192.11.141/0/unix-anonymous-root-logins"/>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7"/>
    <x v="2"/>
    <s v="unix-anonymous-root-logins"/>
    <s v="Anonymous root login is allowed"/>
    <s v="Anonymous root logins should only be allowed from system console. /etc/securetty allows you to specify on which tty's and virtual consoles root is allowed to login. The tty and vc's listed in this file will allow root to login on certain tty's and VC's. On other tty or vc's root user will not be allowed and user has to &quot;su&quot; to become root."/>
    <s v="Edit '/etc/securetty' entries_x000d__x000a__x000d__x000a__x000d__x000a_Remove all the entries in /etc/securetty except console, tty[0-9]* and vc\[0-9]* _x000d__x000a__x000d__x000a_Note: ssh does not use /etc/securetty. To disable root login through ssh, use the &quot;PermitRootLogin&quot; setting in /etc/ssh/sshd_config and restart the ssh daemon."/>
    <s v="Following entries in /etc/securetty  may allow anonymous root logins: _x000d__x000a_ * ttyS0_x000d__x000a__x000d__x000a_ * ttysclp0_x000d__x000a__x000d__x000a_ * sclp_line0_x000d__x000a__x000d__x000a_ * 3270/tty1_x000d__x000a__x000d__x000a_ * hvc0_x000d__x000a__x000d__x000a_ * hvc1_x000d__x000a__x000d__x000a_ * hvc2_x000d__x000a__x000d__x000a_ * hvc3_x000d__x000a__x000d__x000a_ * hvc4_x000d__x000a__x000d__x000a_ * hvc5_x000d__x000a__x000d__x000a_ * hvc6_x000d__x000a__x000d__x000a_ * hvc7_x000d__x000a__x000d__x000a_ * hvsi0_x000d__x000a__x000d__x000a_ * hvsi1_x000d__x000a__x000d__x000a_ * hvsi2_x000d__x000a__x000d__x000a_ * xvc0"/>
    <s v=""/>
    <s v=""/>
    <s v=""/>
    <d v="2004-11-30T00:00:00"/>
    <s v="ve"/>
    <n v="0"/>
    <s v=""/>
    <s v=""/>
    <s v="3 Days"/>
    <m/>
    <m/>
    <s v="Fixed"/>
    <x v="4"/>
    <d v="2020-12-26T00:00:00"/>
    <m/>
    <x v="3"/>
    <s v="Unix"/>
    <e v="#N/A"/>
    <m/>
    <m/>
    <m/>
    <d v="2020-12-20T00:00:00"/>
    <e v="#N/A"/>
    <s v="Fixed"/>
    <x v="1"/>
    <x v="0"/>
    <x v="0"/>
  </r>
  <r>
    <s v="81.192.11.141/0/unix-partition-mounting-weakness"/>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unix-partition-mounting-weakness"/>
    <s v="Partition Mounting Weakness"/>
    <s v="One or more of the system's partitions are mounted without certain hardening options enabled. While this is not a definite vulnerability on its own, system security may be improved by employing hardening techniques."/>
    <s v="Partition Mounting Weakness_x000d__x000a__x000d__x000a__x000d__x000a_The specific way to modify the partition mount options varies from system to system. Consult your operating system's manual or mount man page."/>
    <s v="The following issues were discovered: /sftp partition does not have 'nodev' option set. /home partition does not have 'nosuid' option set. /home partition does not have 'nodev' option set. /var partition does not have 'nosuid' option set. /var partition does not have 'noexec' option set. /var partition does not have 'nodev' option set. /var/log partition does not have 'nodev' option set. /var/log/audit partition does not have 'nodev' option set. /boot partition does not have 'nodev' option set."/>
    <s v=""/>
    <s v=""/>
    <s v=""/>
    <d v="2005-01-15T00:00:00"/>
    <s v="ve"/>
    <n v="0"/>
    <s v=""/>
    <s v=""/>
    <s v="3 Days"/>
    <m/>
    <m/>
    <s v="Fixed"/>
    <x v="4"/>
    <d v="2020-12-26T00:00:00"/>
    <m/>
    <x v="3"/>
    <s v="Unix"/>
    <e v="#N/A"/>
    <m/>
    <m/>
    <m/>
    <d v="2020-12-20T00:00:00"/>
    <e v="#N/A"/>
    <s v="Fixed"/>
    <x v="1"/>
    <x v="0"/>
    <x v="0"/>
  </r>
  <r>
    <s v="81.192.11.141/0/unix-umask-unsafe"/>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unix-umask-unsafe"/>
    <s v="User umask value is unsafe"/>
    <s v="The umask value for the account used to scan this device was found to be unsafe. The umask value determines the file permission for newly created files. It specifies the permissions which should not be given by default to the newly created file. Although the default value of umask in most unix systems is 022, it is a common practice to set it to 077 to be safe."/>
    <s v="Reset umask value_x000d__x000a__x000d__x000a__x000d__x000a_ To ensure complete access control over newly created files, set the umask value to 077 for root and other user accounts for both interactive and non-interactive processes. The umask value for interactive processes is typically set via PAM. See 'man 8 pam_umask'. For non-interactive processes, /etc/login.defs is a common location for controlling umask on Linux systems. In both cases, you may need to consult your operating system's documentation for the correct file(s) and settings. For Red Hat Enterprise Linux and derivative distributions the umask value is set in /etc/profile and /etc/bashrc shell configuration files. See the  Red Hat manual (https://access.redhat.com/documentation/en-US/Red_Hat_Enterprise_Linux/7/html/System_Administrators_Guide/s1-users-tools.html#s2-setting-default-permissions-for-new-files-using-umask)  for more details."/>
    <s v="The umask value was found to be 0022 but was expected to be 0077"/>
    <s v=""/>
    <s v=""/>
    <s v=""/>
    <d v="2005-01-15T00:00:00"/>
    <s v="ve"/>
    <n v="0"/>
    <s v=""/>
    <s v=""/>
    <s v="3 Days"/>
    <m/>
    <m/>
    <s v="Fixed"/>
    <x v="4"/>
    <d v="2020-12-26T00:00:00"/>
    <m/>
    <x v="3"/>
    <s v="Unix"/>
    <e v="#N/A"/>
    <m/>
    <m/>
    <m/>
    <d v="2020-12-20T00:00:00"/>
    <e v="#N/A"/>
    <s v="Fixed"/>
    <x v="1"/>
    <x v="0"/>
    <x v="0"/>
  </r>
  <r>
    <s v="81.192.11.141/0/unix-unowned-files-or-dirs"/>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2"/>
    <x v="0"/>
    <s v="unix-unowned-files-or-dirs"/>
    <s v="Files or directories with no real owner or group"/>
    <s v="One or more files or directories without a real owner or group were found on the system. Files and directories have an owner id and group id associated with them. It is possible for a file's owner id or group id to NOT correspond to a real user (in /etc/passwd) or real group (in /etc/group). This can happen when files are owned by users or groups that have been deleted. It can also happen when .tar files from other systems are extracted with certain options. The danger of having a file or directory owned by a non-existent user or group id is that someday, that user or group id could be assigned to a newly created user or group, members of which would be automatically able to access the file."/>
    <s v="Delete the file or assign to owner_x000d__x000a__x000d__x000a__x000d__x000a_For each un-owned file or directory on the system, either delete it or &quot;chown&quot; it to a real user and/or group. You can use the following command to find unowned files or directories:_x000d__x000a__x000d__x000a_find / -nouser -o -nogroup"/>
    <s v="The following un-owned files were found._x000d__x000a_ * 2019 /home/nourdine/.bash_history (-rw-------)_x000d__x000a__x000d__x000a_ * /home/nourdine/.bash_logout (-rw-r--r--)_x000d__x000a__x000d__x000a_ * /home/nourdine/.bash_profile (-rw-r--r--)_x000d__x000a__x000d__x000a_ * /home/nourdine/.bashrc (-rw-r--r--)_x000d__x000a__x000d__x000a_ * 2019 /home/nourdine/.cache/abrt/lastnotification (-rw-------)_x000d__x000a__x000d__x000a_ * 2018 /home/nourdine/Ocsinventory-Unix-Agent-2.4.2/AUTHORS (-rwxrwxr-x)_x000d__x000a__x000d__x000a_ * 2017 /home/nourdine/Ocsinventory-Unix-Agent-2.4.2/etc/cron.d/ocsinventory-agent (-rwxrwxr-x)_x000d__x000a__x000d__x000a_ * 2017 /home/nourdine/Ocsinventory-Unix-Agent-2.4.2/etc/default/ocsinventory-agent (-rwxrwxr-x)_x000d__x000a__x000d__x000a_ * 2017 /home/nourdine/Ocsinventory-Unix-Agent-2.4.2/etc/logrotate.d/ocsinventory-agent (-rwxrwxr-x)_x000d__x000a__x000d__x000a_ * 2018 /home/nourdine/Ocsinventory-Unix-Agent-2.4.2/etc/ocsinventory-agent/modules.conf (-rwxrwxr-x)_x000d__x000a__x000d__x000a_ * 2017 /home/nourdine/Ocsinventory-Unix-Agent-2.4.2/etc/ocsinventory-agent/softwares/example.sh (-rwxrwxr-x)_x000d__x000a__x000d__x000a_ * 2017 /home/nourdine/Ocsinventory-Unix-Agent-2.4.2/inc/Module/Install/Include.pm (-rwxrwxr-x)_x000d__x000a__x000d__x000a_ * 2017 /home/nourdine/Ocsinventory-Unix-Agent-2.4.2/inc/Module/Install/Scripts.pm (-rwxrwxr-x)_x000d__x000a__x000d__x000a_ * 2017 /home/nourdine/Ocsinventory-Unix-Agent-2.4.2/lib/Ocsinventory/Agent/Backend/AccessLog.pm (-rwxrwxr-x)_x000d__x000a__x000d__x000a_ * 2017 /home/nourdine/Ocsinventory-Unix-Agent-2.4.2/lib/Ocsinventory/Agent/Backend/DeviceID.pm (-rwxrwxr-x)_x000d__x000a__x000d__x000a_ * 2017 /home/nourdine/Ocsinventory-Unix-Agent-2.4.2/lib/Ocsinventory/Agent/Backend/IpDiscover.pm (-rwxrwxr-x)_x000d__x000a__x000d__x000a_ * 2017 /home/nourdine/Ocsinventory-Unix-Agent-2.4.2/lib/Ocsinventory/Agent/Backend/OS/AIX/Controller.pm (-rwxrwxr-x)_x000d__x000a__x000d__x000a_ * 2017 /home/nourdine/Ocsinventory-Unix-Agent-2.4.2/lib/Ocsinventory/Agent/Backend/OS/AIX/Domains.pm (-rwxrwxr-x)_x000d__x000a__x000d__x000a_ * 2017 /home/nourdine/Ocsinventory-Unix-Agent-2.4.2/lib/Ocsinventory/Agent/Backend/OS/AIX/IPv4.pm (-rwxrwxr-x)_x000d__x000a__x000d__x000a_ * 2018 /home/nourdine/Ocsinventory-Unix-Agent-2.4.2/lib/Ocsinventory/Agent/Backend/OS/AIX/Mem.pm (-rwxrwxr-x)_x000d__x000a__x000d__x000a_ * 2017 /home/nourdine/Ocsinventory-Unix-Agent-2.4.2/lib/Ocsinventory/Agent/Backend/OS/AIX/Modems.pm (-rwxrwxr-x)_x000d__x000a__x000d__x000a_ * 2017 /home/nourdine/Ocsinventory-Unix-Agent-2.4.2/lib/Ocsinventory/Agent/Backend/OS/AIX.pm (-rwxrwxr-x)_x000d__x000a__x000d__x000a_ * 2017 /home/nourdine/Ocsinventory-Unix-Agent-2.4.2/lib/Ocsinventory/Agent/Backend/OS/AIX/Software.pm (-rwxrwxr-x)_x000d__x000a__x000d__x000a_ * 2017 /home/nourdine/Ocsinventory-Unix-Agent-2.4.2/lib/Ocsinventory/Agent/Backend/OS/AIX/Sounds.pm (-rwxrwxr-x)_x000d__x000a__x000d__x000a_ * 2017 /home/nourdine/Ocsinventory-Unix-Agent-2.4.2/lib/Ocsinventory/Agent/Backend/OS/AIX/Users.pm (-rwxrwxr-x)_x000d__x000a__x000d__x000a_ * 2017 /home/nourdine/Ocsinventory-Unix-Agent-2.4.2/lib/Ocsinventory/Agent/Backend/OS/AIX/Videos.pm (-rwxrwxr-x)_x000d__x000a__x000d__x000a_ * 2018 /home/nourdine/Ocsinventory-Unix-Agent-2.4.2/lib/Ocsinventory/Agent/Backend/OS/BSD/Drives.pm (-rwxrwxr-x)_x000d__x000a__x000d__x000a_ * 2017 /home/nourdine/Ocsinventory-Unix-Agent-2.4.2/lib/Ocsinventory/Agent/Backend/OS/BSD/IPv4.pm (-rwxrwxr-x)_x000d__x000a__x000d__x000a_ * 2017 /home/nourdine/Ocsinventory-Unix-Agent-2.4.2/lib/Ocsinventory/Agent/Backend/OS/BSD/Mem.pm (-rwxrwxr-x)_x000d__x000a__x000d__x000a_ * 2017 /home/nourdine/Ocsinventory-Unix-Agent-2.4.2/lib/Ocsinventory/Agent/Backend/OS/BSD/Sys.pm (-rwxrwxr-x)_x000d__x000a__x000d__x000a_ * 2017 /home/nourdine/Ocsinventory-Unix-Agent-2.4.2/lib/Ocsinventory/Agent/Backend/OS/BSD/Uptime.pm (-rwxrwxr-x)_x000d__x000a__x000d__x000a_ * 2017 /home/nourdine/Ocsinventory-Unix-Agent-2.4.2/lib/Ocsinventory/Agent/Backend/OS/Generic/Dmidecode.pm (-rwxrwxr-x)_x000d__x000a__x000d__x000a_ * 2018 /home/nourdine/Ocsinventory-Unix-Agent-2.4.2/lib/Ocsinventory/Agent/Backend/OS/Generic/Dmidecode/UUID.pm (-rwxrwxr-x)_x000d__x000a__x000d__x000a_ * 2017 /home/nourdine/Ocsinventory-Unix-Agent-2.4.2/lib/Ocsinventory/Agent/Backend/OS/Generic/Hostname.pm (-rwxrwxr-x)_x000d__x000a__x000d__x000a_ * 2017 /home/nourdine/Ocsinventory-Unix-Agent-2.4.2/lib/Ocsinventory/Agent/Backend/OS/Generic/Lspci/Modems.pm (-rwxrwxr-x)_x000d__x000a__x000d__x000a_ * 2017 /home/nourdine/Ocsinventory-Unix-Agent-2.4.2/lib/Ocsinventory/Agent/Backend/OS/Generic/Lspci.pm (-rwxrwxr-x)_x000d__x000a__x000d__x000a_ * 2017 /home/nourdine/Ocsinventory-Unix-Agent-2.4.2/lib/Ocsinventory/Agent/Backend/OS/Generic/Lspci/Sounds.pm (-rwxrwxr-x)_x000d__x000a__x000d__x000a_ * 2017 /home/nourdine/Ocsinventory-Unix-Agent-2.4.2/lib/Ocsinventory/Agent/Backend/OS/Generic/Lsusb.pm (-rwxrwxr-x)_x000d__x000a__x000d__x000a_ * 2017 /home/nourdine/Ocsinventory-Unix-Agent-2.4.2/lib/Ocsinventory/Agent/Backend/OS/Generic/Packaging/Pacman.pm (-rwxrwxr-x)_x000d__x000a__x000d__x000a_ * 2017 /home/nourdine/Ocsinventory-Unix-Agent-2.4.2/lib/Ocsinventory/Agent/Backend/OS/Generic/Packaging.pm (-rwxrwxr-x)_x000d__x000a__x000d__x000a_ * 2017 /home/nourdine/Ocsinventory-Unix-Agent-2.4.2/lib/Ocsinventory/Agent/Backend/OS/Generic.pm (-rwxrwxr-x)_x000d__x000a__x000d__x000a_ * 2018 /home/nourdine/Ocsinventory-Unix-Agent-2.4.2/lib/Ocsinventory/Agent/Backend/OS/Generic/Repository/Debian.pm (-rwxrwxr-x)_x000d__x000a__x000d__x000a_ * 2018 /home/nourdine/Ocsinventory-Unix-Agent-2.4.2/lib/Ocsinventory/Agent/Backend/OS/Generic/Repository.pm (-rwxrwxr-x)_x000d__x000a__x000d__x000a_ * 2017 /home/nourdine/Ocsinventory-Unix-Agent-2.4.2/lib/Ocsinventory/Agent/Backend/OS/Generic/Users.pm (-rwxrwxr-x)_x000d__x000a__x000d__x000a_ * 2017 /home/nourdine/Ocsinventory-Unix-Agent-2.4.2/lib/Ocsinventory/Agent/Backend/OS/HPUX/Controller.pm (-rwxrwxr-x)_x000d__x000a__x000d__x000a_ * 2017 /home/nourdine/Ocsinventory-Unix-Agent-2.4.2/lib/Ocsinventory/Agent/Backend/OS/HPUX/Domains.pm (-rwxrwxr-x)_x000d__x000a__x000d__x000a_ * 2017 /home/nourdine/Ocsinventory-Unix-Agent-2.4.2/lib/Ocsinventory/Agent/Backend/OS/HPUX/IPv4.pm (-rwxrwxr-x)_x000d__x000a__x000d__x000a_ * 2017 /home/nourdine/Ocsinventory-Unix-Agent-2.4.2/lib/Ocsinventory/Agent/Backend/OS/HPUX/Mem.pm (-rwxrwxr-x)_x000d__x000a__x000d__x000a_ * 2017 /home/nourdine/Ocsinventory-Unix-Agent-2.4.2/lib/Ocsinventory/Agent/Backend/OS/HPUX.pm (-rwxrwxr-x)_x000d__x000a__x000d__x000a_ * 2017 /home/nourdine/Ocsinventory-Unix-Agent-2.4.2/lib/Ocsinventory/Agent/Backend/OS/HPUX/Slots.pm (-rwxrwxr-x)"/>
    <s v=""/>
    <s v=""/>
    <s v=""/>
    <d v="2005-01-15T00:00:00"/>
    <s v="ve"/>
    <n v="0"/>
    <s v=""/>
    <s v=""/>
    <s v="3 Days"/>
    <m/>
    <m/>
    <s v="Fixed"/>
    <x v="4"/>
    <d v="2020-12-26T00:00:00"/>
    <m/>
    <x v="3"/>
    <s v="Unix"/>
    <e v="#N/A"/>
    <m/>
    <m/>
    <m/>
    <d v="2020-12-20T00:00:00"/>
    <e v="#N/A"/>
    <s v="Fixed"/>
    <x v="1"/>
    <x v="0"/>
    <x v="0"/>
  </r>
  <r>
    <s v="81.192.11.141/0/unix-world-writable-files"/>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0"/>
    <s v="System"/>
    <s v=""/>
    <n v="4"/>
    <x v="1"/>
    <s v="unix-world-writable-files"/>
    <s v="World writable files exist"/>
    <s v="World writable files were found on the system. A file that can be written by any user on the system could be a serious security flaw."/>
    <s v="Remove world write permissions_x000d__x000a__x000d__x000a__x000d__x000a_For each world-writable file, determine whether there is a good reason for it to be world writable. If not, remove world write permissions for the file."/>
    <s v="The following world writable files were found._x000d__x000a_ * /var/opt/kaspersky/klnagent/SS_PRODINFO.dat (-rw-rw-rw-)_x000d__x000a__x000d__x000a_ * /etc/opt/kaspersky/klnagent/1103/1.0.0.0/NagentFlags/KLNAG_FLAGS_INITIALIZED_TIME (-rw-rw-rw-)_x000d__x000a__x000d__x000a_ * /var/opt/kaspersky/klnagent/1103/1.0.0.0/NagentFlags/ActPrxPort (-rw-rw-rw-)_x000d__x000a__x000d__x000a_ * /var/opt/kaspersky/klnagent/1103/1.0.0.0/Ports/KLNAG_DEF_SS_SERVER (-rw-rw-rw-)_x000d__x000a__x000d__x000a_ * /var/opt/kaspersky/klnagent/1103/1.0.0.0/Ports/KLSSS_DEFAULT_SERVER (-rw-rw-rw-)_x000d__x000a__x000d__x000a_ * /var/opt/kaspersky/klnagent/1103/1.0.0.0/Statistics/AVState/Protection_AdmServer (-rw-rw-rw-)_x000d__x000a__x000d__x000a_ * /var/opt/kaspersky/klnagent/1103/1.0.0.0/Statistics/AVState/Protection_AvInstalled (-rw-rw-rw-)_x000d__x000a__x000d__x000a_ * /var/opt/kaspersky/klnagent/1103/1.0.0.0/Statistics/AVState/Protection_AvRunning (-rw-rw-rw-)_x000d__x000a__x000d__x000a_ * /var/opt/kaspersky/klnagent/1103/1.0.0.0/Statistics/AVState/Protection_BasesDate (-rw-rw-rw-)_x000d__x000a__x000d__x000a_ * /var/opt/kaspersky/klnagent/1103/1.0.0.0/Statistics/AVState/Protection_DynamicVM (-rw-rw-rw-)_x000d__x000a__x000d__x000a_ * /var/opt/kaspersky/klnagent/1103/1.0.0.0/Statistics/AVState/Protection_HasRtp (-rw-rw-rw-)_x000d__x000a__x000d__x000a_ * /var/opt/kaspersky/klnagent/1103/1.0.0.0/Statistics/AVState/Protection_HostId (-rw-rw-rw-)_x000d__x000a__x000d__x000a_ * /var/opt/kaspersky/klnagent/1103/1.0.0.0/Statistics/AVState/Protection_LastConnected (-rw-rw-rw-)_x000d__x000a__x000d__x000a_ * /var/opt/kaspersky/klnagent/1103/1.0.0.0/Statistics/AVState/Protection_LastFscan (-rw-rw-rw-)_x000d__x000a__x000d__x000a_ * /var/opt/kaspersky/klnagent/1103/1.0.0.0/Statistics/AVState/Protection_NagentFullVersion (-rw-rw-rw-)_x000d__x000a__x000d__x000a_ * /var/opt/kaspersky/klnagent/1103/1.0.0.0/Statistics/AVState/Protection_NagentVersion (-rw-rw-rw-)_x000d__x000a__x000d__x000a_ * /var/opt/kaspersky/klnagent/1103/1.0.0.0/Statistics/AVState/Protection_RtpState (-rw-rw-rw-)_x000d__x000a__x000d__x000a_ * /var/opt/kaspersky/klnagent/1103/na_localdata/e2s_subscription.xml (-rw-rw-rw-)_x000d__x000a__x000d__x000a_ * /var/opt/kaspersky/klnagent/1103/na_localdata/~e2s_subscription.~xml~2 (-rw-rw-rw-)_x000d__x000a__x000d__x000a_ * /var/opt/kaspersky/klnagent/1103/SSP_SETTINGS-1103.dat (-rw-rw-rw-)_x000d__x000a__x000d__x000a_ * /var/opt/kaspersky/klnagent/1103/~SSP_SETTINGS-1103.~dat~2 (-rw-rw-rw-)_x000d__x000a__x000d__x000a_ * /var/opt/kaspersky/klnagent/1103/.working/bcdom/ngtbc.dat (-rw-rw-rw-)_x000d__x000a__x000d__x000a_ * /var/opt/kaspersky/klnagent/products/D2CD76CD7A4191EF25F266726BE02AAC/ess/e2s_temp_sbscr_CRTpolicy_4F3916C000F7499693A933A1263AAFF6.jrnl (-rw-rw-rw-)_x000d__x000a__x000d__x000a_ * /var/opt/kaspersky/klnagent/products/D2CD76CD7A4191EF25F266726BE02AAC/ess/e2s_temp_sbscr_CRTpolicy.ctrl (-rw-rw-rw-)_x000d__x000a__x000d__x000a_ * /var/opt/kaspersky/klnagent/products/D2CD76CD7A4191EF25F266726BE02AAC/ess/e2s_temp_sbscr_CRTpolicy.ctrl.id (-rw-rw-rw-)_x000d__x000a__x000d__x000a_ * /var/opt/kaspersky/klnagent/products/D2CD76CD7A4191EF25F266726BE02AAC/ess/e2s_temp_sbscr_ERRcd407aed-5d29-47fd-87c3-08955af4936a.jrnl.lck (-rw-rw-rw-)_x000d__x000a__x000d__x000a_ * /var/opt/kaspersky/klnagent/products/D2CD76CD7A4191EF25F266726BE02AAC/ess/e2s_temp_sbscr_ERRfa7699d1-c03b-4caf-a228-211d6479b91f.jrnl.lck (-rw-rw-rw-)_x000d__x000a__x000d__x000a_ * /var/opt/kaspersky/klnagent/products/D2CD76CD7A4191EF25F266726BE02AAC/ess/e2s_temp_sbscr_ERRpolicy.ctrl (-rw-rw-rw-)_x000d__x000a__x000d__x000a_ * /var/opt/kaspersky/klnagent/products/D2CD76CD7A4191EF25F266726BE02AAC/ess/e2s_temp_sbscr_ERRpolicy.ctrl.id (-rw-rw-rw-)_x000d__x000a__x000d__x000a_ * /var/opt/kaspersky/klnagent/products/D2CD76CD7A4191EF25F266726BE02AAC/ess/e2s_temp_sbscr_ERRpolicy_F668317F4FC93AB0D68BEB4ACB9C4E89.jrnl (-rw-rw-rw-)_x000d__x000a__x000d__x000a_ * /var/opt/kaspersky/klnagent/products/D2CD76CD7A4191EF25F266726BE02AAC/ess/e2s_temp_sbscr_INFcd407aed-5d29-47fd-87c3-08955af4936a.jrnl.lck (-rw-rw-rw-)_x000d__x000a__x000d__x000a_ * /var/opt/kaspersky/klnagent/products/D2CD76CD7A4191EF25F266726BE02AAC/ess/e2s_temp_sbscr_INFfa7699d1-c03b-4caf-a228-211d6479b91f.jrnl.lck (-rw-rw-rw-)_x000d__x000a__x000d__x000a_ * /var/opt/kaspersky/klnagent/products/D2CD76CD7A4191EF25F266726BE02AAC/ess/e2s_temp_sbscr_INFpolicy_5E5E2E66B45814F585835B3E77FB5B68.jrnl (-rw-rw-rw-)_x000d__x000a__x000d__x000a_ * /var/opt/kaspersky/klnagent/products/D2CD76CD7A4191EF25F266726BE02AAC/ess/e2s_temp_sbscr_INFpolicy.ctrl (-rw-rw-rw-)_x000d__x000a__x000d__x000a_ * /var/opt/kaspersky/klnagent/products/D2CD76CD7A4191EF25F266726BE02AAC/ess/e2s_temp_sbscr_INFpolicy.ctrl.id (-rw-rw-rw-)_x000d__x000a__x000d__x000a_ * /var/opt/kaspersky/klnagent/products/D2CD76CD7A4191EF25F266726BE02AAC/ess/e2s_temp_sbscr_WRNcd407aed-5d29-47fd-87c3-08955af4936a.jrnl.lck (-rw-rw-rw-)_x000d__x000a__x000d__x000a_ * /var/opt/kaspersky/klnagent/products/D2CD76CD7A4191EF25F266726BE02AAC/ess/e2s_temp_sbscr_WRNfa7699d1-c03b-4caf-a228-211d6479b91f.jrnl.lck (-rw-rw-rw-)_x000d__x000a__x000d__x000a_ * /var/opt/kaspersky/klnagent/products/D2CD76CD7A4191EF25F266726BE02AAC/ess/e2s_temp_sbscr_WRNpolicy_95A0BBE27EA382DF18B775CFCC8B4816.jrnl (-rw-rw-rw-)_x000d__x000a__x000d__x000a_ * /var/opt/kaspersky/klnagent/products/D2CD76CD7A4191EF25F266726BE02AAC/ess/e2s_temp_sbscr_WRNpolicy.ctrl (-rw-rw-rw-)_x000d__x000a__x000d__x000a_ * /var/opt/kaspersky/klnagent/products/D2CD76CD7A4191EF25F266726BE02AAC/ess/e2s_temp_sbscr_WRNpolicy.ctrl.id (-rw-rw-rw-)_x000d__x000a__x000d__x000a_ * /var/opt/kaspersky/klnagent/SS_RUNTIME.dat (-rw-rw-rw-)_x000d__x000a__x000d__x000a_ * /var/opt/kaspersky/klnagent/~SS_RUNTIME.~dat~2 (-rw-rw-rw-)"/>
    <s v=""/>
    <s v=""/>
    <s v=""/>
    <d v="2005-01-15T00:00:00"/>
    <s v="ve"/>
    <n v="0"/>
    <s v=""/>
    <s v=""/>
    <s v="3 Days"/>
    <m/>
    <m/>
    <s v="Fixed"/>
    <x v="4"/>
    <d v="2020-12-26T00:00:00"/>
    <m/>
    <x v="3"/>
    <s v="Unix"/>
    <e v="#N/A"/>
    <m/>
    <m/>
    <m/>
    <d v="2020-12-20T00:00:00"/>
    <e v="#N/A"/>
    <s v="Fixed"/>
    <x v="1"/>
    <x v="0"/>
    <x v="0"/>
  </r>
  <r>
    <s v="81.192.11.141/22/ssh-default-account-root-password-root"/>
    <s v="81.192.11.141"/>
    <x v="6"/>
    <s v="10.8.0.49"/>
    <s v="Fixed"/>
    <s v="Apparu dans le scan de decembre_x000a_21/12/2020 : Remédiation éffectué par l'équipe Unix_x000a_22/12/2020 : Confirmation de résolution par un rescan"/>
    <s v="PCDG-SFTPDMZ,ll81-2-141-11-192-81.ll81-2.iam.net.ma,www.colloques-institut-cdg.ma"/>
    <s v="Oracle Linux"/>
    <s v="7.9"/>
    <n v="22"/>
    <s v="SSH"/>
    <s v="OpenSSH 7.4"/>
    <n v="10"/>
    <x v="3"/>
    <s v="ssh-default-account-root-password-root"/>
    <s v="Default SSH password: root password &quot;root&quot;"/>
    <s v="The root account uses a password of &quot;root&quot;. This would allow anyone to log into the machine via SSH and take complete control."/>
    <s v="Fix Default SSH password: root password &quot;root&quot;_x000d__x000a__x000d__x000a__x000d__x000a_Use the &quot;passwd&quot; command to set a more secure login password. A good password should consist of a mix of lower- and upper-case characters, numbers, and punctuation and should be at least 8 characters long. You may also want to disable root login via SSH, which you can do in OpenSSH by adding the following to sshd.conf:_x000d__x000a__x000d__x000a_PermitRootLogin: no"/>
    <s v="* Running SSH service_x000d__x000a_Successfully authenticated to the SSH service with credentials: uid[root] pw[root] realm[]"/>
    <s v=""/>
    <s v=""/>
    <s v=""/>
    <d v="2010-05-13T00:00:00"/>
    <s v="ve"/>
    <n v="0"/>
    <s v=""/>
    <s v=""/>
    <s v="3 Days"/>
    <m/>
    <m/>
    <s v="Fixed"/>
    <x v="4"/>
    <d v="2020-12-26T00:00:00"/>
    <m/>
    <x v="3"/>
    <s v="Unix"/>
    <e v="#N/A"/>
    <m/>
    <m/>
    <m/>
    <d v="2020-12-20T00:00:00"/>
    <e v="#N/A"/>
    <s v="Fixed"/>
    <x v="1"/>
    <x v="0"/>
    <x v="0"/>
  </r>
  <r>
    <s v="81.192.11.143/0/generic-tcp-timestamp"/>
    <s v="81.192.11.143"/>
    <x v="7"/>
    <s v="10.8.0.36"/>
    <s v="New"/>
    <s v="NA"/>
    <s v="ll81-2-143-11-192-81.ll81-2.iam.net.ma"/>
    <s v="Linux"/>
    <s v="2.6.32"/>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3 Days"/>
    <m/>
    <m/>
    <s v="Fixed"/>
    <x v="1"/>
    <m/>
    <m/>
    <x v="3"/>
    <s v="NA"/>
    <s v="Fixed"/>
    <s v="Client"/>
    <m/>
    <s v="Unix"/>
    <d v="2020-12-20T00:00:00"/>
    <e v="#N/A"/>
    <s v="Refonte encours (website CDG)"/>
    <x v="0"/>
    <x v="0"/>
    <x v="0"/>
  </r>
  <r>
    <s v="81.192.11.143/22/ssh-3des-ciphers"/>
    <s v="81.192.11.143"/>
    <x v="7"/>
    <s v="10.8.0.36"/>
    <s v="WIP"/>
    <s v="21/10/2020: _x000a_Un redémarrage est nécessaire, et il est planifié le weekend. _x000a_En raison de l’arrêt de service un change sera initié."/>
    <s v="ll81-2-143-11-192-81.ll81-2.iam.net.ma"/>
    <s v="Linux"/>
    <s v="2.6.32"/>
    <n v="22"/>
    <s v="SSH"/>
    <s v="OpenSSH 5.3"/>
    <n v="1"/>
    <x v="0"/>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s v=""/>
    <s v=""/>
    <n v="39845"/>
    <s v="vv"/>
    <n v="0"/>
    <s v=""/>
    <s v=""/>
    <s v="168 Days"/>
    <m/>
    <m/>
    <s v="Fixed"/>
    <x v="0"/>
    <d v="2020-11-15T00:00:00"/>
    <d v="2020-11-15T00:00:00"/>
    <x v="0"/>
    <s v="Unix"/>
    <s v="Fixed"/>
    <s v="Unix"/>
    <s v="Fixed"/>
    <s v="Unix"/>
    <d v="2020-10-20T00:00:00"/>
    <e v="#N/A"/>
    <s v="Fixed"/>
    <x v="0"/>
    <x v="0"/>
    <x v="0"/>
  </r>
  <r>
    <s v="81.192.11.143/22/ssh-cbc-ciphers"/>
    <s v="81.192.11.143"/>
    <x v="7"/>
    <s v="10.8.0.36"/>
    <s v="WIP"/>
    <s v="21/10/2020: _x000a_Un redémarrage est nécessaire, et il est planifié le weekend. _x000a_En raison de l’arrêt de service un change sera initié."/>
    <s v="ll81-2-143-11-192-81.ll81-2.iam.net.ma"/>
    <s v="Linux"/>
    <s v="2.6.32"/>
    <n v="22"/>
    <s v="SSH"/>
    <s v="OpenSSH 5.3"/>
    <n v="3"/>
    <x v="0"/>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28-cbc,3des-cbc,blowfish-cbc,cast128-cbc,aes192-cbc,aes256-cbc"/>
    <s v="https://www.kb.cert.org/vuls/id/958563"/>
    <s v=""/>
    <s v=""/>
    <n v="41313"/>
    <s v="vv"/>
    <n v="0"/>
    <s v=""/>
    <s v=""/>
    <s v="168 Days"/>
    <m/>
    <m/>
    <s v="Fixed"/>
    <x v="0"/>
    <d v="2020-11-15T00:00:00"/>
    <d v="2020-11-15T00:00:00"/>
    <x v="0"/>
    <s v="Unix"/>
    <s v="Fixed"/>
    <s v="Unix"/>
    <s v="Fixed"/>
    <s v="Unix"/>
    <d v="2020-10-20T00:00:00"/>
    <e v="#N/A"/>
    <s v="Fixed"/>
    <x v="0"/>
    <x v="0"/>
    <x v="0"/>
  </r>
  <r>
    <s v="81.192.11.143/22/ssh-cve-2015-4000"/>
    <s v="81.192.11.143"/>
    <x v="7"/>
    <s v="10.8.0.36"/>
    <s v="Clos"/>
    <s v="21/10/2020: _x000a_Un redémarrage est nécessaire, et il est planifié le weekend. _x000a_En raison de l’arrêt de service un change sera initié."/>
    <s v="ll81-2-143-11-192-81.ll81-2.iam.net.ma"/>
    <s v="Linux"/>
    <s v="2.6.32"/>
    <n v="22"/>
    <s v="SSH"/>
    <s v="OpenSSH 5.3"/>
    <n v="4"/>
    <x v="1"/>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s v="http://nvd.nist.gov/vuln/detail/CVE-2015-4000"/>
    <n v="42144"/>
    <s v="vv"/>
    <n v="0"/>
    <s v=""/>
    <s v=""/>
    <s v="168 Days"/>
    <m/>
    <m/>
    <s v="Fixed"/>
    <x v="5"/>
    <d v="2020-11-07T00:00:00"/>
    <d v="2020-11-07T00:00:00"/>
    <x v="0"/>
    <s v="Unix"/>
    <s v="Fixed"/>
    <s v="Unix"/>
    <s v="Fixed"/>
    <s v="Unix"/>
    <d v="2020-10-20T00:00:00"/>
    <e v="#N/A"/>
    <s v="Fixed"/>
    <x v="0"/>
    <x v="0"/>
    <x v="0"/>
  </r>
  <r>
    <s v="81.192.11.143/22/ssh-cve-2016-2183-sweet32"/>
    <s v="81.192.11.143"/>
    <x v="7"/>
    <s v="10.8.0.36"/>
    <s v="Clos"/>
    <s v="21/10/2020: _x000a_Un redémarrage est nécessaire, et il est planifié le weekend. _x000a_En raison de l’arrêt de service un change sera initié."/>
    <s v="ll81-2-143-11-192-81.ll81-2.iam.net.ma"/>
    <s v="Linux"/>
    <s v="2.6.32"/>
    <n v="22"/>
    <s v="SSH"/>
    <s v="OpenSSH 5.3"/>
    <n v="5"/>
    <x v="1"/>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s v="http://nvd.nist.gov/vuln/detail/CVE-2016-2183"/>
    <n v="42606"/>
    <s v="vv"/>
    <n v="1"/>
    <s v="Expert"/>
    <s v="http://www.exploit-db.com/exploits/42091"/>
    <s v="168 Days"/>
    <m/>
    <m/>
    <s v="Fixed"/>
    <x v="5"/>
    <d v="2020-11-07T00:00:00"/>
    <d v="2020-11-07T00:00:00"/>
    <x v="0"/>
    <s v="Unix"/>
    <s v="Fixed"/>
    <s v="Unix"/>
    <s v="Fixed"/>
    <s v="Unix"/>
    <d v="2020-10-20T00:00:00"/>
    <e v="#N/A"/>
    <s v="Fixed"/>
    <x v="0"/>
    <x v="0"/>
    <x v="0"/>
  </r>
  <r>
    <s v="81.192.11.143/22/ssh-rc4-ciphers"/>
    <s v="81.192.11.143"/>
    <x v="7"/>
    <s v="10.8.0.36"/>
    <s v="Clos"/>
    <s v="21/10/2020: _x000a_Un redémarrage est nécessaire, et il est planifié le weekend. _x000a_En raison de l’arrêt de service un change sera initié."/>
    <s v="ll81-2-143-11-192-81.ll81-2.iam.net.ma"/>
    <s v="Linux"/>
    <s v="2.6.32"/>
    <n v="22"/>
    <s v="SSH"/>
    <s v="OpenSSH 5.3"/>
    <n v="4"/>
    <x v="1"/>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256,arcfour128,arcfour"/>
    <s v="http://www.openssh.com/txt/release-6.7"/>
    <s v=""/>
    <s v=""/>
    <n v="41345"/>
    <s v="vv"/>
    <n v="0"/>
    <s v=""/>
    <s v=""/>
    <s v="168 Days"/>
    <m/>
    <m/>
    <s v="Fixed"/>
    <x v="5"/>
    <d v="2020-11-07T00:00:00"/>
    <d v="2020-11-07T00:00:00"/>
    <x v="0"/>
    <s v="Unix"/>
    <s v="Fixed"/>
    <s v="Unix"/>
    <s v="Fixed"/>
    <s v="Unix"/>
    <d v="2020-10-20T00:00:00"/>
    <e v="#N/A"/>
    <s v="Fixed"/>
    <x v="0"/>
    <x v="0"/>
    <x v="0"/>
  </r>
  <r>
    <s v="81.192.11.143/22/ssh-weak-kex-algorithms"/>
    <s v="81.192.11.143"/>
    <x v="7"/>
    <s v="10.8.0.36"/>
    <s v="Clos"/>
    <s v="21/10/2020: _x000a_Un redémarrage est nécessaire, et il est planifié le weekend. _x000a_En raison de l’arrêt de service un change sera initié."/>
    <s v="ll81-2-143-11-192-81.ll81-2.iam.net.ma"/>
    <s v="Linux"/>
    <s v="2.6.32"/>
    <n v="22"/>
    <s v="SSH"/>
    <s v="OpenSSH 5.3"/>
    <n v="4"/>
    <x v="1"/>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s v=""/>
    <s v=""/>
    <n v="42929"/>
    <s v="vv"/>
    <n v="0"/>
    <s v=""/>
    <s v=""/>
    <s v="168 Days"/>
    <m/>
    <m/>
    <s v="Fixed"/>
    <x v="1"/>
    <d v="2021-03-01T00:00:00"/>
    <d v="2020-11-07T00:00:00"/>
    <x v="0"/>
    <s v="NA"/>
    <s v="Not Fixed"/>
    <s v="Unix"/>
    <s v="Not Fixed"/>
    <s v="Unix"/>
    <d v="2020-10-20T00:00:00"/>
    <e v="#N/A"/>
    <s v="SI à arrêter (Webvoid)"/>
    <x v="0"/>
    <x v="0"/>
    <x v="0"/>
  </r>
  <r>
    <s v="81.192.11.143/22/ssh-weak-message-authentication-code-algorithms"/>
    <s v="81.192.11.143"/>
    <x v="7"/>
    <s v="10.8.0.36"/>
    <s v="Clos"/>
    <s v="21/10/2020: _x000a_Un redémarrage est nécessaire, et il est planifié le weekend. _x000a_En raison de l’arrêt de service un change sera initié."/>
    <s v="ll81-2-143-11-192-81.ll81-2.iam.net.ma"/>
    <s v="Linux"/>
    <s v="2.6.32"/>
    <n v="22"/>
    <s v="SSH"/>
    <s v="OpenSSH 5.3"/>
    <n v="4"/>
    <x v="1"/>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hmac-sha1-96,hmac-md5-96"/>
    <s v="http://csrc.nist.gov/archive/ipsec/papers/rfc2403-hmacmd5.txt"/>
    <s v=""/>
    <s v=""/>
    <n v="41645"/>
    <s v="vv"/>
    <n v="0"/>
    <s v=""/>
    <s v=""/>
    <s v="168 Days"/>
    <m/>
    <m/>
    <s v="Fixed"/>
    <x v="5"/>
    <d v="2020-11-07T00:00:00"/>
    <d v="2020-11-07T00:00:00"/>
    <x v="0"/>
    <s v="Unix"/>
    <s v="Fixed"/>
    <s v="Unix"/>
    <s v="Fixed"/>
    <s v="Unix"/>
    <d v="2020-10-20T00:00:00"/>
    <e v="#N/A"/>
    <s v="Fixed"/>
    <x v="0"/>
    <x v="0"/>
    <x v="0"/>
  </r>
  <r>
    <s v="81.192.11.146/0/generic-tcp-timestamp"/>
    <s v="81.192.11.146"/>
    <x v="8"/>
    <s v="10.9.0.25"/>
    <s v="WIP"/>
    <s v="21/10/2020: _x000a_Un redémarrage est nécessaire, et il est planifié le weekend. _x000a_En raison de l’arrêt de service un change sera initié."/>
    <s v="ll81-2-146-11-192-81.ll81-2.iam.net.ma"/>
    <s v="Linux"/>
    <s v="4.0"/>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n v="35643"/>
    <s v="ve"/>
    <n v="0"/>
    <s v=""/>
    <s v=""/>
    <s v="168 Days"/>
    <m/>
    <m/>
    <s v="(Dématérialisation Des Marchés) Vulnérabilités transférés à l'éditeur"/>
    <x v="0"/>
    <d v="2020-11-15T00:00:00"/>
    <d v="2020-11-15T00:00:00"/>
    <x v="0"/>
    <s v="Unix"/>
    <s v="Fixed"/>
    <s v="Client"/>
    <s v="Fixed"/>
    <s v="Client"/>
    <d v="2020-10-20T00:00:00"/>
    <e v="#N/A"/>
    <s v="Not Fixed New "/>
    <x v="1"/>
    <x v="5"/>
    <x v="1"/>
  </r>
  <r>
    <s v="81.192.11.146/443/certificate-common-name-mismatch"/>
    <s v="81.192.11.146"/>
    <x v="8"/>
    <s v="10.9.0.25"/>
    <s v="Faux Positive"/>
    <s v="Le bon certificat est en place; Merci de donner plus de détails"/>
    <s v="ll81-2-146-11-192-81.ll81-2.iam.net.ma"/>
    <s v="Linux"/>
    <s v="4.0"/>
    <n v="443"/>
    <s v="HTTPS"/>
    <s v="PHP"/>
    <n v="7"/>
    <x v="2"/>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n v="39297"/>
    <s v="ve"/>
    <n v="0"/>
    <s v=""/>
    <s v=""/>
    <s v="168 Days"/>
    <m/>
    <m/>
    <s v="Faux Positive"/>
    <x v="5"/>
    <d v="2020-11-07T00:00:00"/>
    <d v="2020-11-07T00:00:00"/>
    <x v="0"/>
    <s v="Unix"/>
    <s v="Faux Positive"/>
    <s v="Client"/>
    <s v="Faux Positive"/>
    <s v="Client"/>
    <d v="2020-10-20T00:00:00"/>
    <e v="#N/A"/>
    <s v="Faux Positive"/>
    <x v="1"/>
    <x v="1"/>
    <x v="1"/>
  </r>
  <r>
    <s v="81.192.11.146/443/http-cookie-http-only-flag"/>
    <s v="81.192.11.146"/>
    <x v="8"/>
    <s v="10.9.0.25"/>
    <s v="Clos"/>
    <s v="21/10/2020: _x000a_Un redémarrage est nécessaire, et il est planifié le weekend. _x000a_En raison de l’arrêt de service un change sera initié."/>
    <s v="ll81-2-146-11-192-81.ll81-2.iam.net.ma"/>
    <s v="Linux"/>
    <s v="4.0"/>
    <n v="443"/>
    <s v="HTTPS"/>
    <s v="PHP"/>
    <n v="5"/>
    <x v="1"/>
    <s v="http-cookie-http-only-flag"/>
    <s v="Missing HttpOnly Flag From Cookie"/>
    <s v="HttpOnly is an additional flag included in a Set-Cookie HTTP response header. If supported by the browser, using the HttpOnly flag when generating a cookie helps mitigate the risk of client side script accessing the protected cookie. If a browser that supports HttpOnly detects a cookie containing the HttpOnly flag, and client side script code attempts to read the cookie, the browser returns an empty string as the result. This causes the attack to fail by preventing the malicious (usually XSS) code from sending the data to an attacker's website."/>
    <s v="Add the HttpOnly to all cookies_x000d__x000a__x000d__x000a__x000d__x000a_For each cookie generated by your web-site, add the &quot;HttpOnly&quot; flag to the cookie. For example:_x000d__x000a__x000d__x000a__x000d__x000a_ Set-Cookie: &lt;name&gt;=&lt;value&gt;[; &lt;Max-Age&gt;=&lt;age&gt;] [; expires=&lt;date&gt;][; domain=&lt;domain_name&gt;] [; path=&lt;some_path&gt;][; secure][; HttpOnly]"/>
    <s v="Cookie is not marked as HttpOnly: 'selectedorg=backups; path=/; domain=81.192.11.146'_x000d__x000a__x000d__x000a_URL:  https://81.192.11.146/backups/"/>
    <s v="http://msdn.microsoft.com/en-us/library/ms533046.aspx,https://www.owasp.org/index.php/HttpOnly"/>
    <s v=""/>
    <s v=""/>
    <n v="40694"/>
    <s v="ve"/>
    <n v="0"/>
    <s v=""/>
    <s v=""/>
    <s v="168 Days"/>
    <m/>
    <m/>
    <s v="Fixed"/>
    <x v="5"/>
    <d v="2020-11-07T00:00:00"/>
    <d v="2020-11-07T00:00:00"/>
    <x v="0"/>
    <s v="Unix"/>
    <s v="Not Fixed"/>
    <s v="Client"/>
    <s v="Not Fixed"/>
    <s v="Client"/>
    <d v="2020-10-20T00:00:00"/>
    <e v="#N/A"/>
    <s v="Fixed"/>
    <x v="1"/>
    <x v="0"/>
    <x v="0"/>
  </r>
  <r>
    <s v="81.192.11.146/443/http-cookie-secure-flag"/>
    <s v="81.192.11.146"/>
    <x v="8"/>
    <s v="10.9.0.25"/>
    <s v="Clos"/>
    <s v="21/10/2020: _x000a_Un redémarrage est nécessaire, et il est planifié le weekend. _x000a_En raison de l’arrêt de service un change sera initié."/>
    <s v="ll81-2-146-11-192-81.ll81-2.iam.net.ma"/>
    <s v="Linux"/>
    <s v="4.0"/>
    <n v="443"/>
    <s v="HTTPS"/>
    <s v="PHP"/>
    <n v="5"/>
    <x v="1"/>
    <s v="http-cookie-secure-flag"/>
    <s v="Missing Secure Flag From SSL Cookie"/>
    <s v="The Secure attribute tells the browser to only send the cookie if the request is being sent over a secure channel such as HTTPS. This will help protect the cookie from being passed over unencrypted requests. If the application can be accessed over both HTTP and HTTPS, then there is the potential that the cookie can be sent in clear text."/>
    <s v="Add the Secure flag to cookies sent over SSL_x000d__x000a__x000d__x000a__x000d__x000a_For each cookie sent over SSL in your web-site, add the &quot;Secure&quot; flag to the cookie. For example:_x000d__x000a__x000d__x000a__x000d__x000a_Set-Cookie: &lt;name&gt;=&lt;value&gt;[; &lt;Max-Age&gt;=&lt;age&gt;] [; expires=&lt;date&gt;][; domain=&lt;domain_name&gt;] [; path=&lt;some_path&gt;][; secure][; HttpOnly]"/>
    <s v="Cookie is not marked as secure: 'selectedorg=backups; path=/; domain=81.192.11.146'_x000d__x000a__x000d__x000a_URL:  https://81.192.11.146/backups/"/>
    <s v="http://www.ietf.org/rfc/rfc2965.txt,https://www.owasp.org/index.php/Testing_for_cookies_attributes_%28OWASP-SM-002%29"/>
    <s v=""/>
    <s v=""/>
    <n v="40694"/>
    <s v="ve"/>
    <n v="0"/>
    <s v=""/>
    <s v=""/>
    <s v="168 Days"/>
    <m/>
    <m/>
    <s v="Fixed"/>
    <x v="5"/>
    <d v="2020-11-07T00:00:00"/>
    <d v="2020-11-07T00:00:00"/>
    <x v="0"/>
    <s v="Unix"/>
    <s v="Not Fixed"/>
    <s v="Client"/>
    <s v="Not Fixed"/>
    <s v="Client"/>
    <d v="2020-10-20T00:00:00"/>
    <e v="#N/A"/>
    <s v="Fixed"/>
    <x v="1"/>
    <x v="0"/>
    <x v="0"/>
  </r>
  <r>
    <s v="81.192.11.146/443/http-trace-method-enabled"/>
    <s v="81.192.11.146"/>
    <x v="8"/>
    <s v="10.9.0.25"/>
    <s v="Clos"/>
    <s v="21/10/2020: _x000a_Un redémarrage est nécessaire, et il est planifié le weekend. _x000a_En raison de l’arrêt de service un change sera initié."/>
    <s v="ll81-2-146-11-192-81.ll81-2.iam.net.ma"/>
    <s v="Linux"/>
    <s v="4.0"/>
    <n v="443"/>
    <s v="HTTPS"/>
    <s v="PHP"/>
    <n v="6"/>
    <x v="1"/>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 Apache Tomcat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S service_x000d__x000a__x000d__x000a__x000d__x000a__x000d__x000a__x000d__x000a_HTTP TRACE request to  https://81.192.11.146/ _x000d__x000a__x000d__x000a_2: Host: 172.20.0.41 3: X-Forwarded-For: 172.20.66.77, 10.9.0.27 4: X-Forwarded-Host: 81.192.11.146, 81.192.11.146 5: X-Forwarded-Server: 10.9.0.25, safakat.cdg.ma 6: Cookie: vulnerable=yes"/>
    <s v="http://www.apacheweek.com/issues/03-01-24#news,http://www.kb.cert.org/vuls/id/867593"/>
    <s v="CVE-2010-0386,CVE-2009-2823,CVE-2008-7253,CVE-2007-3008,CVE-2006-4683,CVE-2005-3398,CVE-2004-2763,CVE-2004-2320"/>
    <s v="http://nvd.nist.gov/vuln/detail/CVE-2010-0386,http://nvd.nist.gov/vuln/detail/CVE-2009-2823,http://nvd.nist.gov/vuln/detail/CVE-2008-7253,http://nvd.nist.gov/vuln/detail/CVE-2007-3008,http://nvd.nist.gov/vuln/detail/CVE-2006-4683,http://nvd.nist.gov/vuln/detail/CVE-2005-3398,http://nvd.nist.gov/vuln/detail/CVE-2004-2763,http://nvd.nist.gov/vuln/detail/CVE-2004-2320"/>
    <n v="38292"/>
    <s v="ve"/>
    <n v="2"/>
    <s v="Intermediate"/>
    <s v="http://www.rapid7.com/db/modules/auxiliary/scanner/http/options,http://www.rapid7.com/db/modules/auxiliary/scanner/http/trace"/>
    <s v="38 Days"/>
    <m/>
    <m/>
    <s v="Fixed"/>
    <x v="5"/>
    <d v="2020-11-07T00:00:00"/>
    <d v="2020-11-07T00:00:00"/>
    <x v="0"/>
    <s v="Unix"/>
    <s v="Fixed"/>
    <s v="Client"/>
    <s v="Fixed"/>
    <s v="Client"/>
    <d v="2020-10-20T00:00:00"/>
    <e v="#N/A"/>
    <s v="Fixed"/>
    <x v="1"/>
    <x v="0"/>
    <x v="0"/>
  </r>
  <r>
    <s v="81.192.11.146/443/jquery-cve-2011-4969"/>
    <s v="81.192.11.146"/>
    <x v="8"/>
    <m/>
    <s v="New"/>
    <m/>
    <m/>
    <s v="Linux"/>
    <s v="4.0"/>
    <s v="443"/>
    <s v="HTTPS"/>
    <s v="PHP"/>
    <n v="4"/>
    <x v="1"/>
    <s v="jquery-cve-2011-4969"/>
    <s v="jquery-cve-2011-4969"/>
    <s v="jQuery Vulnerability: CVE-2011-4969"/>
    <s v="Cross-site scripting (XSS) vulnerability in jQuery before 1.6.3, when using location.hash to select elements, allows remote attackers to inject arbitrary web script or HTML via a crafted tag."/>
    <s v="&lt; 1.6.3_x000d__x000a__x000d__x000a_Upgrade to jQuery version 1.6.3_x000d__x000a__x000d__x000a_Download and apply the upgrade from:  https://jquery.com/download/"/>
    <s v="* Running HTTPS service_x000d__x000a__x000d__x000a_ * Vulnerable version of component jQuery found -- jQuery 1.6.2"/>
    <s v=""/>
    <s v="CVE-2011-4969"/>
    <s v="2013-03-08"/>
    <m/>
    <m/>
    <m/>
    <m/>
    <s v="3 Days"/>
    <m/>
    <m/>
    <s v="(Dématérialisation Des Marchés) Vulnérabilités transférés à l'éditeur"/>
    <x v="1"/>
    <m/>
    <m/>
    <x v="4"/>
    <m/>
    <s v="Unix"/>
    <m/>
    <m/>
    <m/>
    <m/>
    <e v="#N/A"/>
    <e v="#N/A"/>
    <x v="1"/>
    <x v="5"/>
    <x v="1"/>
  </r>
  <r>
    <s v="81.192.11.146/443/jquery-cve-2012-6708"/>
    <s v="81.192.11.146"/>
    <x v="8"/>
    <m/>
    <s v="New"/>
    <m/>
    <m/>
    <s v="Linux"/>
    <s v="4.0"/>
    <s v="443"/>
    <s v="HTTPS"/>
    <s v="PHP"/>
    <n v="4"/>
    <x v="1"/>
    <s v="jquery-cve-2012-6708"/>
    <s v="jquery-cve-2012-6708"/>
    <s v="jQuery Vulnerability: CVE-2012-6708"/>
    <s v="jQuery before 1.9.0 is vulnerable to Cross-site Scripting (XSS) attacks. 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
    <s v="&lt; 1.9.0_x000d__x000a__x000d__x000a_Upgrade to jQuery version 1.9.0_x000d__x000a__x000d__x000a_Download and apply the upgrade from:  https://jquery.com/download/"/>
    <s v="* Running HTTPS service_x000d__x000a__x000d__x000a_ * Vulnerable version of component jQuery found -- jQuery 1.6.2"/>
    <s v="https://bugs.jquery.com/ticket/11290"/>
    <s v="CVE-2012-6708"/>
    <s v="2018-01-18"/>
    <m/>
    <m/>
    <m/>
    <m/>
    <s v="3 Days"/>
    <m/>
    <m/>
    <s v="(Dématérialisation Des Marchés) Vulnérabilités transférés à l'éditeur"/>
    <x v="1"/>
    <m/>
    <m/>
    <x v="4"/>
    <m/>
    <s v="Unix"/>
    <m/>
    <m/>
    <m/>
    <m/>
    <e v="#N/A"/>
    <e v="#N/A"/>
    <x v="1"/>
    <x v="5"/>
    <x v="1"/>
  </r>
  <r>
    <s v="81.192.11.146/443/jquery-cve-2014-6071"/>
    <s v="81.192.11.146"/>
    <x v="8"/>
    <m/>
    <s v="New"/>
    <m/>
    <m/>
    <s v="Linux"/>
    <s v="4.0"/>
    <s v="443"/>
    <s v="HTTPS"/>
    <s v="PHP"/>
    <n v="4"/>
    <x v="1"/>
    <s v="jquery-cve-2014-6071"/>
    <s v="jquery-cve-2014-6071"/>
    <s v="jQuery Vulnerability: CVE-2014-6071"/>
    <s v="jQuery 1.4.2 allows remote attackers to conduct cross-site scripting (XSS) attacks via vectors related to use of the text method inside after."/>
    <s v="&lt; 1.11.1_x000d__x000a__x000d__x000a_Upgrade to jQuery version 1.11.1_x000d__x000a__x000d__x000a_Download and apply the upgrade from:  https://jquery.com/download/"/>
    <s v="* Running HTTPS service_x000d__x000a__x000d__x000a_ * Vulnerable version of component jQuery found -- jQuery 1.6.2"/>
    <s v=""/>
    <s v="CVE-2014-6071"/>
    <s v="2018-01-16"/>
    <m/>
    <m/>
    <m/>
    <m/>
    <s v="3 Days"/>
    <m/>
    <m/>
    <s v="(Dématérialisation Des Marchés) Vulnérabilités transférés à l'éditeur"/>
    <x v="1"/>
    <m/>
    <m/>
    <x v="4"/>
    <m/>
    <s v="Unix"/>
    <m/>
    <m/>
    <m/>
    <m/>
    <e v="#N/A"/>
    <e v="#N/A"/>
    <x v="1"/>
    <x v="5"/>
    <x v="1"/>
  </r>
  <r>
    <s v="81.192.11.146/443/jquery-cve-2020-7656"/>
    <s v="81.192.11.146"/>
    <x v="8"/>
    <m/>
    <s v="New"/>
    <m/>
    <m/>
    <s v="Linux"/>
    <s v="4.0"/>
    <s v="443"/>
    <s v="HTTPS"/>
    <s v="PHP"/>
    <n v="4"/>
    <x v="1"/>
    <s v="jquery-cve-2020-7656"/>
    <s v="jquery-cve-2020-7656"/>
    <s v="jQuery Vulnerability: CVE-2020-7656"/>
    <s v="jquery prior to 1.9.0 allows Cross-site Scripting attacks via the load method. The load method fails to recognize and remove &quot;&lt;script&gt;&quot; HTML tags that contain a whitespace character, i.e: &quot;&lt;/script &gt;&quot;, which results in the enclosed script logic to be executed."/>
    <s v="&lt; 1.9.0_x000d__x000a__x000d__x000a_Upgrade to jQuery version 1.9.0_x000d__x000a__x000d__x000a_Download and apply the upgrade from:  https://jquery.com/download/"/>
    <s v="* Running HTTPS service_x000d__x000a__x000d__x000a_ * Vulnerable version of component jQuery found -- jQuery 1.6.2"/>
    <s v=""/>
    <s v="CVE-2020-7656"/>
    <s v="2020-05-19"/>
    <m/>
    <m/>
    <m/>
    <m/>
    <s v="3 Days"/>
    <m/>
    <m/>
    <s v="(Dématérialisation Des Marchés) Vulnérabilités transférés à l'éditeur"/>
    <x v="1"/>
    <m/>
    <m/>
    <x v="4"/>
    <m/>
    <s v="Unix"/>
    <m/>
    <m/>
    <m/>
    <m/>
    <e v="#N/A"/>
    <e v="#N/A"/>
    <x v="1"/>
    <x v="5"/>
    <x v="1"/>
  </r>
  <r>
    <s v="81.192.11.146/443/ssl-3des-ciphers"/>
    <s v="81.192.11.146"/>
    <x v="8"/>
    <s v="10.9.0.25"/>
    <s v="WIP"/>
    <s v="21/10/2020: _x000a_Un redémarrage est nécessaire, et il est planifié le weekend. _x000a_En raison de l’arrêt de service un change sera initié."/>
    <s v="ll81-2-146-11-192-81.ll81-2.iam.net.ma"/>
    <s v="Linux"/>
    <s v="4.0"/>
    <n v="443"/>
    <s v="HTTPS"/>
    <s v="PHP"/>
    <n v="1"/>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a_      Negotiated with the following insecure cipher suites: _x000a_    * TLS 1.2 ciphers: 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n v="39845"/>
    <s v="ve"/>
    <n v="0"/>
    <s v=""/>
    <s v=""/>
    <s v="168 Days"/>
    <m/>
    <m/>
    <s v="Fixed"/>
    <x v="0"/>
    <d v="2020-11-15T00:00:00"/>
    <d v="2020-11-15T00:00:00"/>
    <x v="0"/>
    <s v="Unix"/>
    <s v="In Progress"/>
    <s v="Client"/>
    <s v="In Progress"/>
    <s v="Client"/>
    <d v="2020-10-20T00:00:00"/>
    <e v="#N/A"/>
    <s v="Fixed"/>
    <x v="1"/>
    <x v="0"/>
    <x v="0"/>
  </r>
  <r>
    <s v="81.192.11.146/443/ssl-cve-2016-2183-sweet32"/>
    <s v="81.192.11.146"/>
    <x v="8"/>
    <s v="10.9.0.25"/>
    <s v="Clos"/>
    <s v="21/10/2020: _x000a_Un redémarrage est nécessaire, et il est planifié le weekend. _x000a_En raison de l’arrêt de service un change sera initié."/>
    <s v="ll81-2-146-11-192-81.ll81-2.iam.net.ma"/>
    <s v="Linux"/>
    <s v="4.0"/>
    <n v="443"/>
    <s v="HTTPS"/>
    <s v="PHP"/>
    <n v="5"/>
    <x v="1"/>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s://sweet32.info/,https://www.openssl.org/blog/blog/2016/08/24/sweet32,https://access.redhat.com/articles/2548661"/>
    <s v="CVE-2016-2183"/>
    <s v="http://nvd.nist.gov/vuln/detail/CVE-2016-2183"/>
    <n v="42606"/>
    <s v="ve"/>
    <n v="1"/>
    <s v="Expert"/>
    <s v="http://www.exploit-db.com/exploits/42091"/>
    <s v="168 Days"/>
    <m/>
    <m/>
    <s v="Fixed"/>
    <x v="5"/>
    <d v="2020-11-07T00:00:00"/>
    <d v="2020-11-07T00:00:00"/>
    <x v="0"/>
    <s v="Unix"/>
    <s v="Not Fixed"/>
    <s v="Client"/>
    <s v="Not Fixed"/>
    <s v="Client"/>
    <d v="2020-10-20T00:00:00"/>
    <e v="#N/A"/>
    <s v="Fixed"/>
    <x v="1"/>
    <x v="0"/>
    <x v="0"/>
  </r>
  <r>
    <s v="81.192.11.146/443/ssl-static-key-ciphers"/>
    <s v="81.192.11.146"/>
    <x v="8"/>
    <s v="10.9.0.25"/>
    <s v="WIP"/>
    <s v="21/10/2020: _x000a_Un redémarrage est nécessaire, et il est planifié le weekend. _x000a_En raison de l’arrêt de service un change sera initié."/>
    <s v="ll81-2-146-11-192-81.ll81-2.iam.net.ma"/>
    <s v="Linux"/>
    <s v="4.0"/>
    <n v="443"/>
    <s v="HTTPS"/>
    <s v="PHP"/>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n v="42036"/>
    <s v="ve"/>
    <n v="0"/>
    <s v=""/>
    <s v=""/>
    <s v="168 Days"/>
    <m/>
    <m/>
    <s v="Fixed"/>
    <x v="0"/>
    <d v="2020-11-15T00:00:00"/>
    <d v="2020-11-15T00:00:00"/>
    <x v="0"/>
    <s v="Unix"/>
    <s v="In Progress"/>
    <s v="Client"/>
    <s v="In Progress"/>
    <s v="Client"/>
    <d v="2020-10-20T00:00:00"/>
    <e v="#N/A"/>
    <s v="Fixed"/>
    <x v="1"/>
    <x v="0"/>
    <x v="0"/>
  </r>
  <r>
    <s v="81.192.11.148/0/generic-tcp-timestamp"/>
    <s v="81.192.11.148"/>
    <x v="9"/>
    <s v="10.9.0.56"/>
    <s v="New"/>
    <s v="Windows"/>
    <s v="ll81-2-148-11-192-81.ll81-2.iam.net.ma"/>
    <s v="Microsoft Windows"/>
    <s v="4.0"/>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35 Days"/>
    <m/>
    <s v="Vulnérabilité cloturé après retour de l'editeur voir Mail de Khalid smila du 28/01/21"/>
    <s v="Fixed"/>
    <x v="6"/>
    <d v="2021-01-28T00:00:00"/>
    <m/>
    <x v="1"/>
    <s v="Windows"/>
    <s v="New"/>
    <s v="Client"/>
    <m/>
    <m/>
    <d v="2020-11-20T00:00:00"/>
    <e v="#N/A"/>
    <s v="Fixed"/>
    <x v="0"/>
    <x v="0"/>
    <x v="0"/>
  </r>
  <r>
    <s v="81.192.11.148/443/certificate-common-name-mismatch"/>
    <s v="81.192.11.148"/>
    <x v="9"/>
    <s v="172.20.60.251"/>
    <s v="Faux Positive"/>
    <s v="change à initié pour tls 1,2_x000a_Tls 1.0 &amp; Tls 1,1 sont corrigés dans le change ID91438"/>
    <s v="ll81-2-148-11-192-81.ll81-2.iam.net.ma"/>
    <s v="Microsoft Windows"/>
    <s v="4.0"/>
    <n v="443"/>
    <s v="HTTPS"/>
    <s v="CDGWS"/>
    <n v="7"/>
    <x v="2"/>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168 Days"/>
    <m/>
    <m/>
    <s v="Faux Positive"/>
    <x v="1"/>
    <m/>
    <m/>
    <x v="0"/>
    <s v="Windows"/>
    <s v="Faux Positive"/>
    <s v="Client"/>
    <s v="Faux Positive"/>
    <s v="Client"/>
    <d v="2020-10-20T00:00:00"/>
    <e v="#N/A"/>
    <s v="Faux Positive"/>
    <x v="0"/>
    <x v="1"/>
    <x v="1"/>
  </r>
  <r>
    <s v="81.192.11.148/443/http-generic-click-jacking"/>
    <s v="81.192.11.148"/>
    <x v="9"/>
    <s v="172.20.60.251"/>
    <s v="Clos"/>
    <s v="change ID 91438 "/>
    <s v="ll81-2-148-11-192-81.ll81-2.iam.net.ma"/>
    <s v="Microsoft Windows"/>
    <s v="4.0"/>
    <n v="443"/>
    <s v="HTTPS"/>
    <s v="CDGWS"/>
    <n v="4"/>
    <x v="1"/>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48/cgi-bin/test-cgi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38 Days"/>
    <m/>
    <m/>
    <s v="Point escaladé à La CDG pour intervention de l'éditeur (HFM)"/>
    <x v="1"/>
    <m/>
    <m/>
    <x v="0"/>
    <s v="Windows"/>
    <s v="Not Fixed"/>
    <s v="Client"/>
    <s v="Not Fixed"/>
    <s v="Client"/>
    <d v="2020-10-20T00:00:00"/>
    <e v="#N/A"/>
    <s v="Point escaladé à La CDG pour intervention de l'éditeur (HFM)"/>
    <x v="0"/>
    <x v="6"/>
    <x v="1"/>
  </r>
  <r>
    <s v="81.192.11.148/443/http-options-method-enabled"/>
    <s v="81.192.11.148"/>
    <x v="9"/>
    <s v="172.20.60.251"/>
    <s v="Clos"/>
    <s v="change ID 91438 "/>
    <s v="ll81-2-148-11-192-81.ll81-2.iam.net.ma"/>
    <s v="Microsoft Windows"/>
    <s v="4.0"/>
    <n v="443"/>
    <s v="HTTPS"/>
    <s v="CDGWS"/>
    <n v="3"/>
    <x v="0"/>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s v=""/>
    <s v=""/>
    <d v="2005-10-07T00:00:00"/>
    <s v="ve"/>
    <n v="0"/>
    <s v=""/>
    <s v=""/>
    <s v="38 Days"/>
    <m/>
    <m/>
    <s v="Point escaladé à La CDG pour intervention de l'éditeur (HFM)"/>
    <x v="1"/>
    <m/>
    <m/>
    <x v="0"/>
    <s v="Windows"/>
    <s v="Not Fixed"/>
    <s v="Client"/>
    <s v="Not Fixed"/>
    <s v="Client"/>
    <d v="2020-10-20T00:00:00"/>
    <e v="#N/A"/>
    <s v="Point escaladé à La CDG pour intervention de l'éditeur (HFM)"/>
    <x v="0"/>
    <x v="6"/>
    <x v="1"/>
  </r>
  <r>
    <s v="81.192.11.148/443/http-trace-method-enabled"/>
    <s v="81.192.11.148"/>
    <x v="9"/>
    <s v="172.20.60.251"/>
    <s v="WIP"/>
    <s v="partager avec khalid  appache Applicati_x000a_11/11 l'équipe qui traitera le point n'est toujours identifie (Midware Non identifié )"/>
    <s v="ll81-2-148-11-192-81.ll81-2.iam.net.ma"/>
    <s v="Microsoft Windows"/>
    <s v="4.0"/>
    <n v="443"/>
    <s v="HTTPS"/>
    <s v="CDGWS"/>
    <n v="6"/>
    <x v="1"/>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 Apache Tomcat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S service_x000a__x000a__x000a__x000a__x000a_HTTP TRACE request to  https://81.192.11.148/ _x000a__x000a_2: Host: 81.192.11.148 3: X-Forwarded-For: 172.20.66.77 4: X-Forwarded-Host: 81.192.11.148 5: X-Forwarded-Server: 10.9.0.56 6: Cookie: vulnerable=yes"/>
    <s v="http://www.apacheweek.com/issues/03-01-24#news,http://www.kb.cert.org/vuls/id/867593"/>
    <s v="CVE-2010-0386,CVE-2009-2823,CVE-2008-7253,CVE-2007-3008,CVE-2006-4683,CVE-2005-3398,CVE-2004-2763,CVE-2004-2320"/>
    <s v="http://nvd.nist.gov/vuln/detail/CVE-2010-0386,http://nvd.nist.gov/vuln/detail/CVE-2009-2823,http://nvd.nist.gov/vuln/detail/CVE-2008-7253,http://nvd.nist.gov/vuln/detail/CVE-2007-3008,http://nvd.nist.gov/vuln/detail/CVE-2006-4683,http://nvd.nist.gov/vuln/detail/CVE-2005-3398,http://nvd.nist.gov/vuln/detail/CVE-2004-2763,http://nvd.nist.gov/vuln/detail/CVE-2004-2320"/>
    <d v="2004-11-01T00:00:00"/>
    <s v="ve"/>
    <n v="2"/>
    <s v="Intermediate"/>
    <s v="http://www.rapid7.com/db/modules/auxiliary/scanner/http/options,http://www.rapid7.com/db/modules/auxiliary/scanner/http/trace"/>
    <s v="38 Days"/>
    <m/>
    <m/>
    <s v="Point escaladé à La CDG pour intervention de l'éditeur (HFM)"/>
    <x v="1"/>
    <m/>
    <m/>
    <x v="0"/>
    <s v="Windows"/>
    <s v="Not Fixed"/>
    <s v="Client"/>
    <s v="Not Fixed"/>
    <s v="Client"/>
    <d v="2020-10-20T00:00:00"/>
    <e v="#N/A"/>
    <s v="Point escaladé à La CDG pour intervention de l'éditeur (HFM)"/>
    <x v="0"/>
    <x v="6"/>
    <x v="1"/>
  </r>
  <r>
    <s v="81.192.11.148/443/ssl-3des-ciphers"/>
    <s v="81.192.11.148"/>
    <x v="9"/>
    <s v="172.20.60.251"/>
    <s v="Clos"/>
    <m/>
    <s v="ll81-2-148-11-192-81.ll81-2.iam.net.ma"/>
    <s v="Microsoft Windows"/>
    <s v="4.0"/>
    <n v="443"/>
    <s v="HTTPS"/>
    <s v="CDGWS"/>
    <n v="1"/>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68 Days"/>
    <m/>
    <m/>
    <s v="Fixed"/>
    <x v="7"/>
    <d v="2020-11-11T00:00:00"/>
    <d v="2020-11-11T00:00:00"/>
    <x v="0"/>
    <s v="Windows"/>
    <s v="Fixed"/>
    <s v="Client"/>
    <s v="Fixed"/>
    <s v="Client"/>
    <d v="2020-10-20T00:00:00"/>
    <e v="#N/A"/>
    <s v="Fixed"/>
    <x v="0"/>
    <x v="0"/>
    <x v="0"/>
  </r>
  <r>
    <s v="81.192.11.148/443/ssl-cve-2011-3389-beast"/>
    <s v="81.192.11.148"/>
    <x v="9"/>
    <s v="172.20.60.251"/>
    <s v="Clos"/>
    <s v="change ID 91438 "/>
    <s v="ll81-2-148-11-192-81.ll81-2.iam.net.ma"/>
    <s v="Microsoft Windows"/>
    <s v="4.0"/>
    <n v="443"/>
    <s v="HTTPS"/>
    <s v="CDGWS"/>
    <n v="4"/>
    <x v="1"/>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ECDHE_RSA_WITH_3DES_EDE_CBC_SHA_x000d__x000a__x000d__x000a_       * TLS_ECDHE_RSA_WITH_AES_128_CBC_SHA_x000d__x000a__x000d__x000a_       * TLS_ECDHE_RSA_WITH_AES_256_CBC_SHA_x000d__x000a__x000d__x000a_       * TLS_RSA_WITH_AES_128_CBC_SHA_x000d__x000a__x000d__x000a_       * TLS_RSA_WITH_AES_256_CBC_SHA"/>
    <s v="http://vnhacker.blogspot.co.uk/2011/09/beast.html"/>
    <s v="CVE-2011-3389"/>
    <s v="http://nvd.nist.gov/vuln/detail/CVE-2011-3389"/>
    <d v="2011-09-06T00:00:00"/>
    <s v="ve"/>
    <n v="0"/>
    <s v=""/>
    <s v=""/>
    <s v="168 Days"/>
    <m/>
    <m/>
    <s v="Fixed"/>
    <x v="7"/>
    <d v="2020-11-11T00:00:00"/>
    <m/>
    <x v="0"/>
    <s v="Windows"/>
    <s v="Fixed"/>
    <s v="Client"/>
    <s v="Fixed"/>
    <s v="Client"/>
    <d v="2020-10-20T00:00:00"/>
    <e v="#N/A"/>
    <s v="Fixed"/>
    <x v="0"/>
    <x v="0"/>
    <x v="0"/>
  </r>
  <r>
    <s v="81.192.11.148/443/ssl-cve-2016-2183-sweet32"/>
    <s v="81.192.11.148"/>
    <x v="9"/>
    <s v="172.20.60.251"/>
    <s v="Clos"/>
    <m/>
    <s v="ll81-2-148-11-192-81.ll81-2.iam.net.ma"/>
    <s v="Microsoft Windows"/>
    <s v="4.0"/>
    <n v="443"/>
    <s v="HTTPS"/>
    <s v="CDGWS"/>
    <n v="5"/>
    <x v="1"/>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s://sweet32.info/,https://www.openssl.org/blog/blog/2016/08/24/sweet32,https://access.redhat.com/articles/2548661"/>
    <s v="CVE-2016-2183"/>
    <s v="http://nvd.nist.gov/vuln/detail/CVE-2016-2183"/>
    <d v="2016-08-24T00:00:00"/>
    <s v="ve"/>
    <n v="1"/>
    <s v="Expert"/>
    <s v="http://www.exploit-db.com/exploits/42091"/>
    <s v="168 Days"/>
    <m/>
    <m/>
    <s v="Fixed"/>
    <x v="7"/>
    <d v="2020-11-11T00:00:00"/>
    <m/>
    <x v="0"/>
    <s v="Windows"/>
    <s v="Fixed"/>
    <s v="Client"/>
    <s v="Fixed"/>
    <s v="Client"/>
    <d v="2020-10-20T00:00:00"/>
    <e v="#N/A"/>
    <s v="Fixed"/>
    <x v="0"/>
    <x v="0"/>
    <x v="0"/>
  </r>
  <r>
    <s v="81.192.11.148/443/ssl-static-key-ciphers"/>
    <s v="81.192.11.148"/>
    <x v="9"/>
    <s v="172.20.60.251"/>
    <s v="Clos"/>
    <m/>
    <s v="ll81-2-148-11-192-81.ll81-2.iam.net.ma"/>
    <s v="Microsoft Windows"/>
    <s v="4.0"/>
    <n v="443"/>
    <s v="HTTPS"/>
    <s v="CDGWS"/>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68 Days"/>
    <m/>
    <m/>
    <s v="Fixed"/>
    <x v="7"/>
    <d v="2020-11-11T00:00:00"/>
    <m/>
    <x v="0"/>
    <s v="Windows"/>
    <s v="Fixed"/>
    <s v="Client"/>
    <s v="Fixed"/>
    <s v="Client"/>
    <d v="2020-10-20T00:00:00"/>
    <e v="#N/A"/>
    <s v="Fixed"/>
    <x v="0"/>
    <x v="0"/>
    <x v="0"/>
  </r>
  <r>
    <s v="81.192.11.148/443/tlsv1_0-enabled"/>
    <s v="81.192.11.148"/>
    <x v="9"/>
    <s v="172.20.60.251"/>
    <s v="Clos"/>
    <s v="change ID 91438 "/>
    <s v="ll81-2-148-11-192-81.ll81-2.iam.net.ma"/>
    <s v="Microsoft Windows"/>
    <s v="4.0"/>
    <n v="443"/>
    <s v="HTTPS"/>
    <s v="CDGWS"/>
    <n v="4"/>
    <x v="1"/>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168 Days"/>
    <m/>
    <m/>
    <s v="Fixed"/>
    <x v="7"/>
    <d v="2020-11-11T00:00:00"/>
    <m/>
    <x v="0"/>
    <s v="Windows"/>
    <s v="Fixed"/>
    <s v="Client"/>
    <s v="Fixed"/>
    <s v="Client"/>
    <d v="2020-10-20T00:00:00"/>
    <e v="#N/A"/>
    <s v="Fixed"/>
    <x v="0"/>
    <x v="0"/>
    <x v="0"/>
  </r>
  <r>
    <s v="81.192.11.148/443/tlsv1_1-enabled"/>
    <s v="81.192.11.148"/>
    <x v="9"/>
    <s v="172.20.60.251"/>
    <s v="Clos"/>
    <s v="change ID 91438 "/>
    <s v="ll81-2-148-11-192-81.ll81-2.iam.net.ma"/>
    <s v="Microsoft Windows"/>
    <s v="4.0"/>
    <n v="443"/>
    <s v="HTTPS"/>
    <s v="CDGWS"/>
    <n v="3"/>
    <x v="0"/>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168 Days"/>
    <m/>
    <m/>
    <s v="Fixed"/>
    <x v="7"/>
    <d v="2020-11-11T00:00:00"/>
    <m/>
    <x v="0"/>
    <s v="Windows"/>
    <s v="Fixed"/>
    <s v="Client"/>
    <s v="Fixed"/>
    <s v="Client"/>
    <d v="2020-10-20T00:00:00"/>
    <e v="#N/A"/>
    <s v="Fixed"/>
    <x v="0"/>
    <x v="0"/>
    <x v="0"/>
  </r>
  <r>
    <s v="81.192.11.151/0/drupal-cve-2020-11022"/>
    <s v="81.192.11.151"/>
    <x v="10"/>
    <s v="10.8.0.54_x000a__x000a_10.9.0.31"/>
    <s v="Open"/>
    <m/>
    <s v="ll81-2-151-11-192-81.ll81-2.iam.net.ma"/>
    <s v="Linux"/>
    <s v="4.0"/>
    <n v="0"/>
    <s v="System"/>
    <s v=""/>
    <n v="4"/>
    <x v="1"/>
    <s v="drupal-cve-2020-11022"/>
    <s v="Drupal: CVE-2020-11022: Drupal core - Moderately critical - Cross Site Scripting - SA-CORE-2020-002"/>
    <s v="In jQuery versions greater than or equal to 1.2 and before 3.5.0, passing HTML from untrusted sources - even after sanitizing it - to one of jQuery's DOM manipulation methods (i.e. .html(), .append(), and others) may execute untrusted code. This problem is patched in jQuery 3.5.0."/>
    <s v="* Upgrade to drupal version 7.70_x000d__x000a_      Download and apply the upgrade from:  https://www.drupal.org/project/drupal/releases _x000d__x000a__x000d__x000a__x000d__x000a_ * Upgrade to drupal version 8.7.1_x000d__x000a_      Download and apply the upgrade from:  https://www.drupal.org/project/drupal/releases _x000d__x000a__x000d__x000a__x000d__x000a_ * Upgrade to drupal version 8.8.6_x000d__x000a_      Download and apply the upgrade from:  https://www.drupal.org/project/drupal/releases"/>
    <s v="Vulnerable software installed: Drupal 7.69"/>
    <s v="https://www.drupal.org/sa-core-2020-002"/>
    <s v="CVE-2020-11022"/>
    <s v="http://nvd.nist.gov/vuln/detail/CVE-2020-11022"/>
    <d v="2020-04-29T00:00:00"/>
    <s v="vv"/>
    <n v="0"/>
    <s v=""/>
    <s v=""/>
    <s v="101 Days"/>
    <m/>
    <m/>
    <s v="Fixed"/>
    <x v="1"/>
    <d v="2021-03-01T00:00:00"/>
    <m/>
    <x v="0"/>
    <s v="NA"/>
    <s v="Not Fixed"/>
    <s v="Unix"/>
    <s v="Not Fixed"/>
    <s v="Unix"/>
    <d v="2020-10-20T00:00:00"/>
    <e v="#N/A"/>
    <s v="Refonte encours (website CDG)"/>
    <x v="1"/>
    <x v="0"/>
    <x v="0"/>
  </r>
  <r>
    <s v="81.192.11.151/0/drupal-cve-2020-11023"/>
    <s v="81.192.11.151"/>
    <x v="10"/>
    <s v="10.8.0.54_x000a__x000a_10.9.0.31"/>
    <s v="Open"/>
    <m/>
    <s v="ll81-2-151-11-192-81.ll81-2.iam.net.ma"/>
    <s v="Linux"/>
    <s v="4.0"/>
    <n v="0"/>
    <s v="System"/>
    <s v=""/>
    <n v="4"/>
    <x v="1"/>
    <s v="drupal-cve-2020-11023"/>
    <s v="Drupal: CVE-2020-11023: Drupal core - Moderately critical - Cross Site Scripting - SA-CORE-2020-002"/>
    <s v="In jQuery versions greater than or equal to 1.0.3 and before 3.5.0, passing HTML containing &lt;option&gt; elements from untrusted sources - even after sanitizing it - to one of jQuery's DOM manipulation methods (i.e. .html(), .append(), and others) may execute untrusted code. This problem is patched in jQuery 3.5.0."/>
    <s v="* Upgrade to drupal version 7.70_x000d__x000a_      Download and apply the upgrade from:  https://www.drupal.org/project/drupal/releases _x000d__x000a__x000d__x000a__x000d__x000a_ * Upgrade to drupal version 8.7.1_x000d__x000a_      Download and apply the upgrade from:  https://www.drupal.org/project/drupal/releases _x000d__x000a__x000d__x000a__x000d__x000a_ * Upgrade to drupal version 8.8.6_x000d__x000a_      Download and apply the upgrade from:  https://www.drupal.org/project/drupal/releases"/>
    <s v="Vulnerable software installed: Drupal 7.69"/>
    <s v="https://www.drupal.org/sa-core-2020-002"/>
    <s v="CVE-2020-11023"/>
    <s v="http://nvd.nist.gov/vuln/detail/CVE-2020-11023"/>
    <d v="2020-04-29T00:00:00"/>
    <s v="vv"/>
    <n v="0"/>
    <s v=""/>
    <s v=""/>
    <s v="101 Days"/>
    <m/>
    <m/>
    <s v="Fixed"/>
    <x v="1"/>
    <d v="2021-03-01T00:00:00"/>
    <m/>
    <x v="0"/>
    <s v="NA"/>
    <s v="Not Fixed"/>
    <s v="Unix"/>
    <s v="Not Fixed"/>
    <s v="Unix"/>
    <d v="2020-10-20T00:00:00"/>
    <e v="#N/A"/>
    <s v="Refonte encours (website CDG)"/>
    <x v="1"/>
    <x v="0"/>
    <x v="0"/>
  </r>
  <r>
    <s v="81.192.11.151/0/drupal-cve-2020-13663"/>
    <s v="81.192.11.151"/>
    <x v="10"/>
    <s v="10.8.0.54_x000a__x000a_10.9.0.31"/>
    <s v="Open"/>
    <m/>
    <s v="ll81-2-151-11-192-81.ll81-2.iam.net.ma"/>
    <s v="Linux"/>
    <s v="4.0"/>
    <n v="0"/>
    <s v="System"/>
    <s v=""/>
    <n v="4"/>
    <x v="1"/>
    <s v="drupal-cve-2020-13663"/>
    <s v="Drupal: CVE-2020-13663: Drupal core - Critical - Cross Site Request Forgery - SA-CORE-2020-004"/>
    <s v="The Drupal core Form API does not properly handle certain form input from cross-site requests, which can lead to other vulnerabilities."/>
    <s v="* Upgrade to drupal version 7.72_x000d__x000a_      Download and apply the upgrade from:  https://www.drupal.org/project/drupal/releases _x000d__x000a__x000d__x000a__x000d__x000a_ * Upgrade to drupal version 8.8.8_x000d__x000a_      Download and apply the upgrade from:  https://www.drupal.org/project/drupal/releases _x000d__x000a__x000d__x000a__x000d__x000a_ * Upgrade to drupal version 8.9.1_x000d__x000a_      Download and apply the upgrade from:  https://www.drupal.org/project/drupal/releases _x000d__x000a__x000d__x000a__x000d__x000a_ * Upgrade to drupal version 9.0.1_x000d__x000a_      Download and apply the upgrade from:  https://www.drupal.org/project/drupal/releases"/>
    <s v="Vulnerable software installed: Drupal 7.69"/>
    <s v="https://www.drupal.org/sa-core-2020-004"/>
    <s v="CVE-2020-13663"/>
    <s v="http://nvd.nist.gov/vuln/detail/CVE-2020-13663"/>
    <d v="2020-06-18T00:00:00"/>
    <s v="vv"/>
    <n v="0"/>
    <s v=""/>
    <s v=""/>
    <s v="101 Days"/>
    <m/>
    <m/>
    <s v="Fixed"/>
    <x v="1"/>
    <d v="2021-03-01T00:00:00"/>
    <m/>
    <x v="0"/>
    <s v="NA"/>
    <s v="Not Fixed"/>
    <s v="Unix"/>
    <s v="Not Fixed"/>
    <s v="Unix"/>
    <d v="2020-10-20T00:00:00"/>
    <e v="#N/A"/>
    <s v="Refonte encours (website CDG)"/>
    <x v="1"/>
    <x v="0"/>
    <x v="0"/>
  </r>
  <r>
    <s v="81.192.11.151/0/drupal-cve-2020-13666"/>
    <s v="81.192.11.151"/>
    <x v="10"/>
    <s v="10.8.0.54_x000a__x000a_10.9.0.31"/>
    <s v="Open"/>
    <m/>
    <s v="ll81-2-151-11-192-81.ll81-2.iam.net.ma"/>
    <s v="Linux"/>
    <s v="4.0"/>
    <n v="0"/>
    <s v="System"/>
    <s v=""/>
    <n v="4"/>
    <x v="1"/>
    <s v="drupal-cve-2020-13666"/>
    <s v="Drupal: CVE-2020-13666: Drupal core - Moderately critical - Cross-site scripting - SA-CORE-2020-007"/>
    <s v="The Drupal AJAX API does not disable JSONP by default, which can lead to cross-site scripting."/>
    <s v="* Upgrade to drupal version 7.73_x000d__x000a_      Download and apply the upgrade from:  https://www.drupal.org/project/drupal/releases _x000d__x000a__x000d__x000a__x000d__x000a_ * Upgrade to drupal version 8.8.1_x000d__x000a_      Download and apply the upgrade from:  https://www.drupal.org/project/drupal/releases _x000d__x000a__x000d__x000a__x000d__x000a_ * Upgrade to drupal version 8.9.6_x000d__x000a_      Download and apply the upgrade from:  https://www.drupal.org/project/drupal/releases _x000d__x000a__x000d__x000a__x000d__x000a_ * Upgrade to drupal version 9.0.6_x000d__x000a_      Download and apply the upgrade from:  https://www.drupal.org/project/drupal/releases"/>
    <s v="Vulnerable software installed: Drupal 7.69"/>
    <s v="https://www.drupal.org/sa-core-2020-007"/>
    <s v="CVE-2020-13666"/>
    <s v="http://nvd.nist.gov/vuln/detail/CVE-2020-13666"/>
    <d v="2020-09-17T00:00:00"/>
    <s v="vv"/>
    <n v="0"/>
    <s v=""/>
    <s v=""/>
    <s v="2 Days"/>
    <m/>
    <m/>
    <s v="Fixed"/>
    <x v="1"/>
    <d v="2021-03-01T00:00:00"/>
    <m/>
    <x v="0"/>
    <s v="NA"/>
    <s v="Not Fixed"/>
    <s v="Unix"/>
    <s v="Not Fixed"/>
    <s v="Unix"/>
    <d v="2020-10-20T00:00:00"/>
    <e v="#N/A"/>
    <s v="Refonte encours (website CDG)"/>
    <x v="1"/>
    <x v="0"/>
    <x v="0"/>
  </r>
  <r>
    <s v="81.192.11.151/0/drupal-cve-2020-13671"/>
    <s v="81.192.11.151"/>
    <x v="10"/>
    <s v="10.8.0.54_x000a__x000a_10.9.0.31"/>
    <s v="New"/>
    <s v="UNIX"/>
    <s v="ll81-2-151-11-192-81.ll81-2.iam.net.ma"/>
    <s v="Linux"/>
    <s v="4.0"/>
    <n v="0"/>
    <s v="System"/>
    <s v=""/>
    <n v="4"/>
    <x v="1"/>
    <s v="drupal-cve-2020-13671"/>
    <s v="Drupal: CVE-2020-13671: Drupal core - Critical - Remote code execution - SA-CORE-2020-012"/>
    <s v="Update November 18: Documented longer list of dangerous file extensions Drupal core does not properly sanitize certain filenames on uploaded files, which can lead to files being interpreted as the incorrect extension and served as the wrong MIME type or executed as PHP for certain hosting configurations."/>
    <s v="* Upgrade to drupal version 7.74_x000d__x000a_      Download and apply the upgrade from:  https://www.drupal.org/project/drupal/releases _x000d__x000a__x000d__x000a__x000d__x000a_ * Upgrade to drupal version 8.8.1_x000d__x000a_      Download and apply the upgrade from:  https://www.drupal.org/project/drupal/releases _x000d__x000a__x000d__x000a__x000d__x000a_ * Upgrade to drupal version 8.9.9_x000d__x000a_      Download and apply the upgrade from:  https://www.drupal.org/project/drupal/releases _x000d__x000a__x000d__x000a__x000d__x000a_ * Upgrade to drupal version 9.0.8_x000d__x000a_      Download and apply the upgrade from:  https://www.drupal.org/project/drupal/releases"/>
    <s v="Vulnerable software installed: Drupal 7.69"/>
    <s v="https://www.drupal.org/sa-core-2020-012"/>
    <s v="CVE-2020-13671"/>
    <s v="http://nvd.nist.gov/vuln/detail/CVE-2020-13671"/>
    <d v="2020-11-19T00:00:00"/>
    <s v="vv"/>
    <n v="0"/>
    <s v=""/>
    <s v=""/>
    <s v="2 Days"/>
    <m/>
    <m/>
    <s v="Fixed"/>
    <x v="1"/>
    <d v="2021-03-01T00:00:00"/>
    <m/>
    <x v="1"/>
    <s v="NA"/>
    <s v="New"/>
    <s v="Unix"/>
    <m/>
    <m/>
    <d v="2020-11-20T00:00:00"/>
    <e v="#N/A"/>
    <s v="Point escaldé à La CDG ( Web site CGI)"/>
    <x v="1"/>
    <x v="0"/>
    <x v="0"/>
  </r>
  <r>
    <s v="81.192.11.151/0/drupal-cve-2020-28948"/>
    <s v="81.192.11.151"/>
    <x v="10"/>
    <s v="10.8.0.54_x000a__x000a_10.9.0.31"/>
    <s v="New"/>
    <s v="Refonte encours (website CDG)"/>
    <s v="ll81-2-151-11-192-81.ll81-2.iam.net.ma"/>
    <s v="Linux"/>
    <s v="4.4"/>
    <n v="0"/>
    <s v="System"/>
    <s v=""/>
    <n v="7"/>
    <x v="2"/>
    <s v="drupal-cve-2020-28948"/>
    <s v="Drupal: CVE-2020-28948: Drupal core - Critical - Arbitrary PHP code execution - SA-CORE-2020-013"/>
    <s v="Archive_Tar through 1.4.10 allows an unserialization attack because phar: is blocked but PHAR: is not blocked."/>
    <s v="* Upgrade to drupal version 7.75_x000d__x000a_      Download and apply the upgrade from:  https://www.drupal.org/project/drupal/releases _x000d__x000a__x000d__x000a__x000d__x000a_ * Upgrade to drupal version 8.8.1_x000d__x000a_      Download and apply the upgrade from:  https://www.drupal.org/project/drupal/releases _x000d__x000a__x000d__x000a__x000d__x000a_ * Upgrade to drupal version 8.9.1_x000d__x000a_      Download and apply the upgrade from:  https://www.drupal.org/project/drupal/releases _x000d__x000a__x000d__x000a__x000d__x000a_ * Upgrade to drupal version 9.0.9_x000d__x000a_      Download and apply the upgrade from:  https://www.drupal.org/project/drupal/releases"/>
    <s v="Vulnerable software installed: Drupal 7.69"/>
    <s v="https://www.drupal.org/sa-core-2020-013"/>
    <s v="CVE-2020-28948"/>
    <s v="http://nvd.nist.gov/vuln/detail/CVE-2020-28948"/>
    <d v="2020-11-19T00:00:00"/>
    <s v="vv"/>
    <n v="0"/>
    <s v=""/>
    <s v=""/>
    <s v="2 Days"/>
    <m/>
    <m/>
    <s v="Fixed"/>
    <x v="1"/>
    <d v="2021-03-01T00:00:00"/>
    <m/>
    <x v="3"/>
    <s v="NA"/>
    <e v="#N/A"/>
    <m/>
    <m/>
    <m/>
    <d v="2020-12-20T00:00:00"/>
    <e v="#N/A"/>
    <s v="Refonte encours (website CDG)"/>
    <x v="1"/>
    <x v="0"/>
    <x v="0"/>
  </r>
  <r>
    <s v="81.192.11.151/0/drupal-cve-2020-28949"/>
    <s v="81.192.11.151"/>
    <x v="10"/>
    <s v="10.8.0.54_x000a__x000a_10.9.0.31"/>
    <s v="New"/>
    <s v="Refonte encours (website CDG)"/>
    <s v="ll81-2-151-11-192-81.ll81-2.iam.net.ma"/>
    <s v="Linux"/>
    <s v="4.4"/>
    <n v="0"/>
    <s v="System"/>
    <s v=""/>
    <n v="7"/>
    <x v="2"/>
    <s v="drupal-cve-2020-28949"/>
    <s v="Drupal: CVE-2020-28949: Drupal core - Critical - Arbitrary PHP code execution - SA-CORE-2020-013"/>
    <s v="Archive_Tar through 1.4.10 has :// filename sanitization only to address phar attacks, and thus any other stream-wrapper attack (such as file:// to overwrite files) can still succeed."/>
    <s v="* Upgrade to drupal version 7.75_x000d__x000a_      Download and apply the upgrade from:  https://www.drupal.org/project/drupal/releases _x000d__x000a__x000d__x000a__x000d__x000a_ * Upgrade to drupal version 8.8.1_x000d__x000a_      Download and apply the upgrade from:  https://www.drupal.org/project/drupal/releases _x000d__x000a__x000d__x000a__x000d__x000a_ * Upgrade to drupal version 8.9.1_x000d__x000a_      Download and apply the upgrade from:  https://www.drupal.org/project/drupal/releases _x000d__x000a__x000d__x000a__x000d__x000a_ * Upgrade to drupal version 9.0.9_x000d__x000a_      Download and apply the upgrade from:  https://www.drupal.org/project/drupal/releases"/>
    <s v="Vulnerable software installed: Drupal 7.69"/>
    <s v="https://www.drupal.org/sa-core-2020-013"/>
    <s v="CVE-2020-28949"/>
    <s v="http://nvd.nist.gov/vuln/detail/CVE-2020-28949"/>
    <d v="2020-11-19T00:00:00"/>
    <s v="vv"/>
    <n v="0"/>
    <s v=""/>
    <s v=""/>
    <s v="2 Days"/>
    <m/>
    <m/>
    <s v="Fixed"/>
    <x v="1"/>
    <d v="2021-03-01T00:00:00"/>
    <m/>
    <x v="3"/>
    <s v="NA"/>
    <e v="#N/A"/>
    <m/>
    <m/>
    <m/>
    <d v="2020-12-20T00:00:00"/>
    <e v="#N/A"/>
    <s v="Refonte encours (website CDG)"/>
    <x v="1"/>
    <x v="0"/>
    <x v="0"/>
  </r>
  <r>
    <s v="81.192.11.151/0/drupal-cve-2020-36193"/>
    <s v="81.192.11.151"/>
    <x v="10"/>
    <m/>
    <s v="New"/>
    <m/>
    <m/>
    <s v="Linux"/>
    <s v="3.11"/>
    <s v="0"/>
    <s v="System"/>
    <s v=""/>
    <s v="5"/>
    <x v="1"/>
    <s v="drupal-cve-2020-36193"/>
    <s v="drupal-cve-2020-36193"/>
    <s v="Drupal: CVE-2020-36193: Drupal core - Critical - Third-party libraries - SA-CORE-2021-001"/>
    <s v="Tar.php in Archive_Tar through 1.4.11 allows write operations with Directory Traversal due to inadequate checking of symbolic links, a related issue to CVE-2020-28948."/>
    <s v="* Upgrade to drupal version 7.78_x000d__x000a_      Download and apply the upgrade from:  https://www.drupal.org/project/drupal/releases _x000d__x000a__x000d__x000a__x000d__x000a_ * Upgrade to drupal version 8.9.1_x000d__x000a_      Download and apply the upgrade from:  https://www.drupal.org/project/drupal/releases _x000d__x000a__x000d__x000a__x000d__x000a_ * Upgrade to drupal version 9.0.1_x000d__x000a_      Download and apply the upgrade from:  https://www.drupal.org/project/drupal/releases _x000d__x000a__x000d__x000a__x000d__x000a_ * Upgrade to drupal version 9.1.3_x000d__x000a_      Download and apply the upgrade from:  https://www.drupal.org/project/drupal/releases"/>
    <s v="Vulnerable software installed: Drupal 7.69"/>
    <s v="https://www.drupal.org/sa-core-2021-001"/>
    <s v="CVE-2020-36193"/>
    <s v="2021-01-18"/>
    <m/>
    <m/>
    <m/>
    <m/>
    <s v="2 Days"/>
    <m/>
    <m/>
    <s v="Fixed"/>
    <x v="1"/>
    <m/>
    <m/>
    <x v="4"/>
    <m/>
    <s v="Unix"/>
    <m/>
    <m/>
    <m/>
    <m/>
    <e v="#N/A"/>
    <e v="#N/A"/>
    <x v="1"/>
    <x v="0"/>
    <x v="0"/>
  </r>
  <r>
    <s v="81.192.11.151/0/generic-tcp-timestamp"/>
    <s v="81.192.11.151"/>
    <x v="10"/>
    <s v="10.8.0.54_x000a__x000a_10.9.0.31"/>
    <s v="Open"/>
    <m/>
    <s v="ll81-2-151-11-192-81.ll81-2.iam.net.ma"/>
    <s v="Linux"/>
    <s v="4.0"/>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m/>
    <s v="Fixed"/>
    <x v="1"/>
    <d v="2021-03-01T00:00:00"/>
    <m/>
    <x v="0"/>
    <s v="NA"/>
    <s v="Fixed"/>
    <s v="Unix"/>
    <s v="Fixed"/>
    <s v="Unix"/>
    <d v="2020-10-20T00:00:00"/>
    <e v="#N/A"/>
    <s v="Refonte encours (website CDG)"/>
    <x v="1"/>
    <x v="0"/>
    <x v="1"/>
  </r>
  <r>
    <s v="81.192.11.151/443/certificate-common-name-mismatch"/>
    <s v="81.192.11.151"/>
    <x v="10"/>
    <m/>
    <s v="Faux Positive"/>
    <m/>
    <m/>
    <s v="Linux"/>
    <s v="3.11"/>
    <s v="443"/>
    <s v="HTTPS"/>
    <s v="CDGWS"/>
    <n v="7"/>
    <x v="2"/>
    <s v="certificate-common-name-mismatch"/>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2007-08-03"/>
    <m/>
    <m/>
    <m/>
    <m/>
    <s v="2 Days"/>
    <m/>
    <m/>
    <s v="Faux Positive"/>
    <x v="1"/>
    <m/>
    <m/>
    <x v="4"/>
    <m/>
    <s v="Unix"/>
    <m/>
    <m/>
    <m/>
    <m/>
    <e v="#N/A"/>
    <e v="#N/A"/>
    <x v="1"/>
    <x v="1"/>
    <x v="1"/>
  </r>
  <r>
    <s v="81.192.11.151/443/ssl-3des-ciphers"/>
    <s v="81.192.11.151"/>
    <x v="10"/>
    <s v="10.8.0.54_x000a__x000a_10.9.0.31"/>
    <s v="WIP"/>
    <s v="21/10/2020: _x000a_Un redémarrage est nécessaire, et il est planifié le weekend. _x000a_En raison de l’arrêt de service un change sera initié._x000a_Projet de refonte est encours"/>
    <s v="ll81-2-151-11-192-81.ll81-2.iam.net.ma"/>
    <s v="Linux"/>
    <s v="4.0"/>
    <n v="443"/>
    <s v="HTTPS"/>
    <s v="CDGWS"/>
    <n v="1"/>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68 Days"/>
    <m/>
    <m/>
    <s v="Fixed"/>
    <x v="1"/>
    <d v="2021-03-01T00:00:00"/>
    <m/>
    <x v="0"/>
    <s v="NA"/>
    <s v="In Progress"/>
    <s v="Unix"/>
    <s v="In Progress"/>
    <s v="Unix"/>
    <d v="2020-10-20T00:00:00"/>
    <e v="#N/A"/>
    <s v="Refonte encours (website CDG)"/>
    <x v="1"/>
    <x v="0"/>
    <x v="0"/>
  </r>
  <r>
    <s v="81.192.11.151/443/ssl-cve-2011-3389-beast"/>
    <s v="81.192.11.151"/>
    <x v="10"/>
    <s v="10.8.0.54_x000a__x000a_10.9.0.31"/>
    <s v="WIP"/>
    <s v="21/10/2020: _x000a_Un redémarrage est nécessaire, et il est planifié le weekend. _x000a_En raison de l’arrêt de service un change sera initié._x000a_Projet de refonte est encours"/>
    <s v="ll81-2-151-11-192-81.ll81-2.iam.net.ma"/>
    <s v="Linux"/>
    <s v="4.0"/>
    <n v="443"/>
    <s v="HTTPS"/>
    <s v="CDGWS"/>
    <n v="4"/>
    <x v="1"/>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ECDHE_RSA_WITH_3DES_EDE_CBC_SHA_x000d__x000a__x000d__x000a_       * TLS_ECDHE_RSA_WITH_AES_128_CBC_SHA_x000d__x000a__x000d__x000a_       * TLS_ECDHE_RSA_WITH_AES_256_CBC_SHA_x000d__x000a__x000d__x000a_       * TLS_RSA_WITH_AES_128_CBC_SHA_x000d__x000a__x000d__x000a_       * TLS_RSA_WITH_AES_256_CBC_SHA"/>
    <s v="http://vnhacker.blogspot.co.uk/2011/09/beast.html"/>
    <s v="CVE-2011-3389"/>
    <s v="http://nvd.nist.gov/vuln/detail/CVE-2011-3389"/>
    <d v="2011-09-06T00:00:00"/>
    <s v="ve"/>
    <n v="0"/>
    <s v=""/>
    <s v=""/>
    <s v="168 Days"/>
    <m/>
    <m/>
    <s v="Fixed"/>
    <x v="1"/>
    <d v="2021-03-01T00:00:00"/>
    <m/>
    <x v="0"/>
    <s v="NA"/>
    <s v="In Progress"/>
    <s v="Unix"/>
    <s v="In Progress"/>
    <s v="Unix"/>
    <d v="2020-10-20T00:00:00"/>
    <e v="#N/A"/>
    <s v="Refonte encours (website CDG)"/>
    <x v="1"/>
    <x v="0"/>
    <x v="0"/>
  </r>
  <r>
    <s v="81.192.11.151/443/ssl-cve-2016-2183-sweet32"/>
    <s v="81.192.11.151"/>
    <x v="10"/>
    <s v="10.8.0.54_x000a__x000a_10.9.0.31"/>
    <s v="WIP"/>
    <s v="21/10/2020: _x000a_Un redémarrage est nécessaire, et il est planifié le weekend. _x000a_En raison de l’arrêt de service un change sera initié._x000a_Projet de refonte est encours"/>
    <s v="ll81-2-151-11-192-81.ll81-2.iam.net.ma"/>
    <s v="Linux"/>
    <s v="4.0"/>
    <n v="443"/>
    <s v="HTTPS"/>
    <s v="CDGWS"/>
    <n v="5"/>
    <x v="1"/>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s://sweet32.info/,https://www.openssl.org/blog/blog/2016/08/24/sweet32,https://access.redhat.com/articles/2548661"/>
    <s v="CVE-2016-2183"/>
    <s v="http://nvd.nist.gov/vuln/detail/CVE-2016-2183"/>
    <d v="2016-08-24T00:00:00"/>
    <s v="ve"/>
    <n v="1"/>
    <s v="Expert"/>
    <s v="http://www.exploit-db.com/exploits/42091"/>
    <s v="168 Days"/>
    <m/>
    <m/>
    <s v="Fixed"/>
    <x v="1"/>
    <d v="2021-03-01T00:00:00"/>
    <m/>
    <x v="0"/>
    <s v="NA"/>
    <s v="In Progress"/>
    <s v="Unix"/>
    <s v="In Progress"/>
    <s v="Unix"/>
    <d v="2020-10-20T00:00:00"/>
    <e v="#N/A"/>
    <s v="Refonte encours (website CDG)"/>
    <x v="1"/>
    <x v="0"/>
    <x v="0"/>
  </r>
  <r>
    <s v="81.192.11.151/443/ssl-static-key-ciphers"/>
    <s v="81.192.11.151"/>
    <x v="10"/>
    <s v="10.8.0.54_x000a__x000a_10.9.0.31"/>
    <s v="WIP"/>
    <s v="21/10/2020: _x000a_Un redémarrage est nécessaire, et il est planifié le weekend. _x000a_En raison de l’arrêt de service un change sera initié._x000a_Projet de refonte est encours"/>
    <s v="ll81-2-151-11-192-81.ll81-2.iam.net.ma"/>
    <s v="Linux"/>
    <s v="4.0"/>
    <n v="443"/>
    <s v="HTTPS"/>
    <s v="CDGWS"/>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68 Days"/>
    <m/>
    <m/>
    <s v="Fixed"/>
    <x v="1"/>
    <d v="2021-03-01T00:00:00"/>
    <m/>
    <x v="0"/>
    <s v="NA"/>
    <s v="In Progress"/>
    <s v="Unix"/>
    <s v="In Progress"/>
    <s v="Unix"/>
    <d v="2020-10-20T00:00:00"/>
    <e v="#N/A"/>
    <s v="Refonte encours (website CDG)"/>
    <x v="1"/>
    <x v="0"/>
    <x v="0"/>
  </r>
  <r>
    <s v="81.192.11.151/443/tlsv1_0-enabled"/>
    <s v="81.192.11.151"/>
    <x v="10"/>
    <s v="10.8.0.54_x000a__x000a_10.9.0.31"/>
    <s v="WIP"/>
    <s v="21/10/2020: _x000a_Un redémarrage est nécessaire, et il est planifié le weekend. _x000a_En raison de l’arrêt de service un change sera initié._x000a_Projet de refonte est encours"/>
    <s v="ll81-2-151-11-192-81.ll81-2.iam.net.ma"/>
    <s v="Linux"/>
    <s v="4.0"/>
    <n v="443"/>
    <s v="HTTPS"/>
    <s v="CDGWS"/>
    <n v="4"/>
    <x v="1"/>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168 Days"/>
    <m/>
    <m/>
    <s v="Fixed"/>
    <x v="1"/>
    <d v="2021-03-01T00:00:00"/>
    <m/>
    <x v="0"/>
    <s v="NA"/>
    <s v="In Progress"/>
    <s v="Unix"/>
    <s v="In Progress"/>
    <s v="Unix"/>
    <d v="2020-10-20T00:00:00"/>
    <e v="#N/A"/>
    <s v="Refonte encours (website CDG)"/>
    <x v="1"/>
    <x v="0"/>
    <x v="0"/>
  </r>
  <r>
    <s v="81.192.11.151/443/tlsv1_1-enabled"/>
    <s v="81.192.11.151"/>
    <x v="10"/>
    <s v="10.8.0.54_x000a__x000a_10.9.0.31"/>
    <s v="WIP"/>
    <s v="21/10/2020: _x000a_Un redémarrage est nécessaire, et il est planifié le weekend. _x000a_En raison de l’arrêt de service un change sera initié._x000a_Projet de refonte est encours"/>
    <s v="ll81-2-151-11-192-81.ll81-2.iam.net.ma"/>
    <s v="Linux"/>
    <s v="4.0"/>
    <n v="443"/>
    <s v="HTTPS"/>
    <s v="CDGWS"/>
    <n v="3"/>
    <x v="0"/>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168 Days"/>
    <m/>
    <m/>
    <s v="Fixed"/>
    <x v="1"/>
    <d v="2021-03-01T00:00:00"/>
    <m/>
    <x v="0"/>
    <s v="NA"/>
    <s v="In Progress"/>
    <s v="Unix"/>
    <s v="In Progress"/>
    <s v="Unix"/>
    <d v="2020-10-20T00:00:00"/>
    <e v="#N/A"/>
    <s v="Refonte encours (website CDG)"/>
    <x v="1"/>
    <x v="0"/>
    <x v="0"/>
  </r>
  <r>
    <s v="81.192.11.154/0/drupal-cve-2020-11022"/>
    <s v="81.192.11.154"/>
    <x v="11"/>
    <s v="10.8.0.51_x000a_10.9.0.61"/>
    <s v="Si en Arrét "/>
    <m/>
    <s v="ll81-2-154-11-192-81.ll81-2.iam.net.ma"/>
    <s v="Linux"/>
    <s v="4.0"/>
    <n v="0"/>
    <s v="System"/>
    <s v=""/>
    <n v="4"/>
    <x v="1"/>
    <s v="drupal-cve-2020-11022"/>
    <s v="Drupal: CVE-2020-11022: Drupal core - Moderately critical - Cross Site Scripting - SA-CORE-2020-002"/>
    <s v="In jQuery versions greater than or equal to 1.2 and before 3.5.0, passing HTML from untrusted sources - even after sanitizing it - to one of jQuery's DOM manipulation methods (i.e. .html(), .append(), and others) may execute untrusted code. This problem is patched in jQuery 3.5.0."/>
    <s v="* Upgrade to drupal version 7.70_x000d__x000a_      Download and apply the upgrade from:  https://www.drupal.org/project/drupal/releases _x000d__x000a__x000d__x000a__x000d__x000a_ * Upgrade to drupal version 8.7.1_x000d__x000a_      Download and apply the upgrade from:  https://www.drupal.org/project/drupal/releases _x000d__x000a__x000d__x000a__x000d__x000a_ * Upgrade to drupal version 8.8.6_x000d__x000a_      Download and apply the upgrade from:  https://www.drupal.org/project/drupal/releases"/>
    <s v="Vulnerable software installed: Drupal 7.69"/>
    <s v="https://www.drupal.org/sa-core-2020-002"/>
    <s v="CVE-2020-11022"/>
    <s v="http://nvd.nist.gov/vuln/detail/CVE-2020-11022"/>
    <d v="2020-04-29T00:00:00"/>
    <s v="vv"/>
    <n v="0"/>
    <s v=""/>
    <s v=""/>
    <s v="127 Days"/>
    <m/>
    <m/>
    <s v="Fixed"/>
    <x v="1"/>
    <d v="2021-03-01T00:00:00"/>
    <m/>
    <x v="0"/>
    <s v="NA"/>
    <s v="Not Fixed"/>
    <s v="Unix"/>
    <s v="Not Fixed"/>
    <s v="Unix"/>
    <d v="2020-10-20T00:00:00"/>
    <e v="#N/A"/>
    <s v="Point escaladé à la CDG (Site Web - Fondation)"/>
    <x v="1"/>
    <x v="0"/>
    <x v="0"/>
  </r>
  <r>
    <s v="81.192.11.154/0/drupal-cve-2020-11023"/>
    <s v="81.192.11.154"/>
    <x v="11"/>
    <s v="10.8.0.51_x000a_10.9.0.61"/>
    <s v="Si en Arrét "/>
    <m/>
    <s v="ll81-2-154-11-192-81.ll81-2.iam.net.ma"/>
    <s v="Linux"/>
    <s v="4.0"/>
    <n v="0"/>
    <s v="System"/>
    <s v=""/>
    <n v="4"/>
    <x v="1"/>
    <s v="drupal-cve-2020-11023"/>
    <s v="Drupal: CVE-2020-11023: Drupal core - Moderately critical - Cross Site Scripting - SA-CORE-2020-002"/>
    <s v="In jQuery versions greater than or equal to 1.0.3 and before 3.5.0, passing HTML containing &lt;option&gt; elements from untrusted sources - even after sanitizing it - to one of jQuery's DOM manipulation methods (i.e. .html(), .append(), and others) may execute untrusted code. This problem is patched in jQuery 3.5.0."/>
    <s v="* Upgrade to drupal version 7.70_x000d__x000a_      Download and apply the upgrade from:  https://www.drupal.org/project/drupal/releases _x000d__x000a__x000d__x000a__x000d__x000a_ * Upgrade to drupal version 8.7.1_x000d__x000a_      Download and apply the upgrade from:  https://www.drupal.org/project/drupal/releases _x000d__x000a__x000d__x000a__x000d__x000a_ * Upgrade to drupal version 8.8.6_x000d__x000a_      Download and apply the upgrade from:  https://www.drupal.org/project/drupal/releases"/>
    <s v="Vulnerable software installed: Drupal 7.69"/>
    <s v="https://www.drupal.org/sa-core-2020-002"/>
    <s v="CVE-2020-11023"/>
    <s v="http://nvd.nist.gov/vuln/detail/CVE-2020-11023"/>
    <d v="2020-04-29T00:00:00"/>
    <s v="vv"/>
    <n v="0"/>
    <s v=""/>
    <s v=""/>
    <s v="127 Days"/>
    <m/>
    <m/>
    <s v="Fixed"/>
    <x v="1"/>
    <d v="2021-03-01T00:00:00"/>
    <m/>
    <x v="0"/>
    <s v="NA"/>
    <s v="Not Fixed"/>
    <s v="Unix"/>
    <s v="Not Fixed"/>
    <s v="Unix"/>
    <d v="2020-10-20T00:00:00"/>
    <e v="#N/A"/>
    <s v="Point escaladé à la CDG (Site Web - Fondation)"/>
    <x v="1"/>
    <x v="0"/>
    <x v="0"/>
  </r>
  <r>
    <s v="81.192.11.154/0/drupal-cve-2020-13663"/>
    <s v="81.192.11.154"/>
    <x v="11"/>
    <s v="10.8.0.51_x000a_10.9.0.61"/>
    <s v="Si en Arrét "/>
    <m/>
    <s v="ll81-2-154-11-192-81.ll81-2.iam.net.ma"/>
    <s v="Linux"/>
    <s v="4.0"/>
    <n v="0"/>
    <s v="System"/>
    <s v=""/>
    <n v="4"/>
    <x v="1"/>
    <s v="drupal-cve-2020-13663"/>
    <s v="Drupal: CVE-2020-13663: Drupal core - Critical - Cross Site Request Forgery - SA-CORE-2020-004"/>
    <s v="The Drupal core Form API does not properly handle certain form input from cross-site requests, which can lead to other vulnerabilities."/>
    <s v="* Upgrade to drupal version 7.72_x000d__x000a_      Download and apply the upgrade from:  https://www.drupal.org/project/drupal/releases _x000d__x000a__x000d__x000a__x000d__x000a_ * Upgrade to drupal version 8.8.8_x000d__x000a_      Download and apply the upgrade from:  https://www.drupal.org/project/drupal/releases _x000d__x000a__x000d__x000a__x000d__x000a_ * Upgrade to drupal version 8.9.1_x000d__x000a_      Download and apply the upgrade from:  https://www.drupal.org/project/drupal/releases _x000d__x000a__x000d__x000a__x000d__x000a_ * Upgrade to drupal version 9.0.1_x000d__x000a_      Download and apply the upgrade from:  https://www.drupal.org/project/drupal/releases"/>
    <s v="Vulnerable software installed: Drupal 7.69"/>
    <s v="https://www.drupal.org/sa-core-2020-004"/>
    <s v="CVE-2020-13663"/>
    <s v="http://nvd.nist.gov/vuln/detail/CVE-2020-13663"/>
    <d v="2020-06-18T00:00:00"/>
    <s v="vv"/>
    <n v="0"/>
    <s v=""/>
    <s v=""/>
    <s v="100 Days"/>
    <m/>
    <m/>
    <s v="Fixed"/>
    <x v="1"/>
    <d v="2021-03-01T00:00:00"/>
    <m/>
    <x v="0"/>
    <s v="NA"/>
    <s v="Not Fixed"/>
    <s v="Unix"/>
    <s v="Not Fixed"/>
    <s v="Unix"/>
    <d v="2020-10-20T00:00:00"/>
    <e v="#N/A"/>
    <s v="Point escaladé à la CDG (Site Web - Fondation)"/>
    <x v="1"/>
    <x v="0"/>
    <x v="0"/>
  </r>
  <r>
    <s v="81.192.11.154/0/drupal-cve-2020-13666"/>
    <s v="81.192.11.154"/>
    <x v="11"/>
    <s v="10.8.0.51_x000a_10.9.0.61"/>
    <s v="Si en Arrét "/>
    <m/>
    <s v="ll81-2-154-11-192-81.ll81-2.iam.net.ma"/>
    <s v="Linux"/>
    <s v="4.0"/>
    <n v="0"/>
    <s v="System"/>
    <s v=""/>
    <n v="4"/>
    <x v="1"/>
    <s v="drupal-cve-2020-13666"/>
    <s v="Drupal: CVE-2020-13666: Drupal core - Moderately critical - Cross-site scripting - SA-CORE-2020-007"/>
    <s v="The Drupal AJAX API does not disable JSONP by default, which can lead to cross-site scripting."/>
    <s v="* Upgrade to drupal version 7.73_x000d__x000a_      Download and apply the upgrade from:  https://www.drupal.org/project/drupal/releases _x000d__x000a__x000d__x000a__x000d__x000a_ * Upgrade to drupal version 8.8.1_x000d__x000a_      Download and apply the upgrade from:  https://www.drupal.org/project/drupal/releases _x000d__x000a__x000d__x000a__x000d__x000a_ * Upgrade to drupal version 8.9.6_x000d__x000a_      Download and apply the upgrade from:  https://www.drupal.org/project/drupal/releases _x000d__x000a__x000d__x000a__x000d__x000a_ * Upgrade to drupal version 9.0.6_x000d__x000a_      Download and apply the upgrade from:  https://www.drupal.org/project/drupal/releases"/>
    <s v="Vulnerable software installed: Drupal 7.69"/>
    <s v="https://www.drupal.org/sa-core-2020-007"/>
    <s v="CVE-2020-13666"/>
    <s v="http://nvd.nist.gov/vuln/detail/CVE-2020-13666"/>
    <d v="2020-09-17T00:00:00"/>
    <s v="vv"/>
    <n v="0"/>
    <s v=""/>
    <s v=""/>
    <s v="2 Days"/>
    <m/>
    <m/>
    <s v="Fixed"/>
    <x v="1"/>
    <d v="2021-03-01T00:00:00"/>
    <m/>
    <x v="0"/>
    <s v="NA"/>
    <s v="Not Fixed"/>
    <s v="Unix"/>
    <s v="Not Fixed"/>
    <s v="Unix"/>
    <d v="2020-10-20T00:00:00"/>
    <e v="#N/A"/>
    <s v="Point escaladé à la CDG (Site Web - Fondation)"/>
    <x v="1"/>
    <x v="0"/>
    <x v="0"/>
  </r>
  <r>
    <s v="81.192.11.154/0/drupal-cve-2020-13671"/>
    <s v="81.192.11.154"/>
    <x v="11"/>
    <s v="10.8.0.51_x000a_10.9.0.61"/>
    <s v="New"/>
    <s v="UNIX"/>
    <s v="ll81-2-154-11-192-81.ll81-2.iam.net.ma"/>
    <s v="Linux"/>
    <s v="4.0"/>
    <n v="0"/>
    <s v="System"/>
    <s v=""/>
    <n v="4"/>
    <x v="1"/>
    <s v="drupal-cve-2020-13671"/>
    <s v="Drupal: CVE-2020-13671: Drupal core - Critical - Remote code execution - SA-CORE-2020-012"/>
    <s v="Update November 18: Documented longer list of dangerous file extensions Drupal core does not properly sanitize certain filenames on uploaded files, which can lead to files being interpreted as the incorrect extension and served as the wrong MIME type or executed as PHP for certain hosting configurations."/>
    <s v="* Upgrade to drupal version 7.74_x000d__x000a_      Download and apply the upgrade from:  https://www.drupal.org/project/drupal/releases _x000d__x000a__x000d__x000a__x000d__x000a_ * Upgrade to drupal version 8.8.1_x000d__x000a_      Download and apply the upgrade from:  https://www.drupal.org/project/drupal/releases _x000d__x000a__x000d__x000a__x000d__x000a_ * Upgrade to drupal version 8.9.9_x000d__x000a_      Download and apply the upgrade from:  https://www.drupal.org/project/drupal/releases _x000d__x000a__x000d__x000a__x000d__x000a_ * Upgrade to drupal version 9.0.8_x000d__x000a_      Download and apply the upgrade from:  https://www.drupal.org/project/drupal/releases"/>
    <s v="Vulnerable software installed: Drupal 7.69"/>
    <s v="https://www.drupal.org/sa-core-2020-012"/>
    <s v="CVE-2020-13671"/>
    <s v="http://nvd.nist.gov/vuln/detail/CVE-2020-13671"/>
    <d v="2020-11-19T00:00:00"/>
    <s v="vv"/>
    <n v="0"/>
    <s v=""/>
    <s v=""/>
    <s v="2 Days"/>
    <m/>
    <m/>
    <s v="Fixed"/>
    <x v="1"/>
    <d v="2021-03-01T00:00:00"/>
    <m/>
    <x v="1"/>
    <s v="NA"/>
    <s v="New"/>
    <s v="Unix"/>
    <m/>
    <m/>
    <d v="2020-11-20T00:00:00"/>
    <e v="#N/A"/>
    <s v="Point escaladé à la CDG (Site Web - Fondation)"/>
    <x v="1"/>
    <x v="0"/>
    <x v="0"/>
  </r>
  <r>
    <s v="81.192.11.154/0/drupal-cve-2020-28948"/>
    <s v="81.192.11.154"/>
    <x v="11"/>
    <s v="10.8.0.51_x000a_10.9.0.61"/>
    <s v="New"/>
    <s v="NA"/>
    <s v="ll81-2-154-11-192-81.ll81-2.iam.net.ma"/>
    <s v="Linux"/>
    <s v="4.0"/>
    <n v="0"/>
    <s v="System"/>
    <s v=""/>
    <n v="7"/>
    <x v="2"/>
    <s v="drupal-cve-2020-28948"/>
    <s v="Drupal: CVE-2020-28948: Drupal core - Critical - Arbitrary PHP code execution - SA-CORE-2020-013"/>
    <s v="Archive_Tar through 1.4.10 allows an unserialization attack because phar: is blocked but PHAR: is not blocked."/>
    <s v="* Upgrade to drupal version 7.75_x000d__x000a_      Download and apply the upgrade from:  https://www.drupal.org/project/drupal/releases _x000d__x000a__x000d__x000a__x000d__x000a_ * Upgrade to drupal version 8.8.1_x000d__x000a_      Download and apply the upgrade from:  https://www.drupal.org/project/drupal/releases _x000d__x000a__x000d__x000a__x000d__x000a_ * Upgrade to drupal version 8.9.1_x000d__x000a_      Download and apply the upgrade from:  https://www.drupal.org/project/drupal/releases _x000d__x000a__x000d__x000a__x000d__x000a_ * Upgrade to drupal version 9.0.9_x000d__x000a_      Download and apply the upgrade from:  https://www.drupal.org/project/drupal/releases"/>
    <s v="Vulnerable software installed: Drupal 7.69"/>
    <s v="https://www.drupal.org/sa-core-2020-013"/>
    <s v="CVE-2020-28948"/>
    <s v="http://nvd.nist.gov/vuln/detail/CVE-2020-28948"/>
    <d v="2020-11-19T00:00:00"/>
    <s v="vv"/>
    <n v="0"/>
    <s v=""/>
    <s v=""/>
    <s v="2 Days"/>
    <m/>
    <m/>
    <s v="Fixed"/>
    <x v="1"/>
    <d v="2021-03-01T00:00:00"/>
    <m/>
    <x v="3"/>
    <s v="NA"/>
    <e v="#N/A"/>
    <s v="Client"/>
    <m/>
    <m/>
    <d v="2020-12-20T00:00:00"/>
    <e v="#N/A"/>
    <s v="Point escaladé à la CDG (Site Web - Fondation)"/>
    <x v="1"/>
    <x v="0"/>
    <x v="0"/>
  </r>
  <r>
    <s v="81.192.11.154/0/drupal-cve-2020-28949"/>
    <s v="81.192.11.154"/>
    <x v="11"/>
    <s v="10.8.0.51_x000a_10.9.0.61"/>
    <s v="New"/>
    <s v="NA"/>
    <s v="ll81-2-154-11-192-81.ll81-2.iam.net.ma"/>
    <s v="Linux"/>
    <s v="4.0"/>
    <n v="0"/>
    <s v="System"/>
    <s v=""/>
    <n v="7"/>
    <x v="2"/>
    <s v="drupal-cve-2020-28949"/>
    <s v="Drupal: CVE-2020-28949: Drupal core - Critical - Arbitrary PHP code execution - SA-CORE-2020-013"/>
    <s v="Archive_Tar through 1.4.10 has :// filename sanitization only to address phar attacks, and thus any other stream-wrapper attack (such as file:// to overwrite files) can still succeed."/>
    <s v="* Upgrade to drupal version 7.75_x000d__x000a_      Download and apply the upgrade from:  https://www.drupal.org/project/drupal/releases _x000d__x000a__x000d__x000a__x000d__x000a_ * Upgrade to drupal version 8.8.1_x000d__x000a_      Download and apply the upgrade from:  https://www.drupal.org/project/drupal/releases _x000d__x000a__x000d__x000a__x000d__x000a_ * Upgrade to drupal version 8.9.1_x000d__x000a_      Download and apply the upgrade from:  https://www.drupal.org/project/drupal/releases _x000d__x000a__x000d__x000a__x000d__x000a_ * Upgrade to drupal version 9.0.9_x000d__x000a_      Download and apply the upgrade from:  https://www.drupal.org/project/drupal/releases"/>
    <s v="Vulnerable software installed: Drupal 7.69"/>
    <s v="https://www.drupal.org/sa-core-2020-013"/>
    <s v="CVE-2020-28949"/>
    <s v="http://nvd.nist.gov/vuln/detail/CVE-2020-28949"/>
    <d v="2020-11-19T00:00:00"/>
    <s v="vv"/>
    <n v="0"/>
    <s v=""/>
    <s v=""/>
    <s v="2 Days"/>
    <m/>
    <m/>
    <s v="Fixed"/>
    <x v="1"/>
    <d v="2021-03-01T00:00:00"/>
    <m/>
    <x v="3"/>
    <s v="NA"/>
    <e v="#N/A"/>
    <s v="Client"/>
    <m/>
    <m/>
    <d v="2020-12-20T00:00:00"/>
    <e v="#N/A"/>
    <s v="Point escaladé à la CDG (Site Web - Fondation)"/>
    <x v="1"/>
    <x v="0"/>
    <x v="0"/>
  </r>
  <r>
    <s v="81.192.11.154/0/generic-tcp-timestamp"/>
    <s v="81.192.11.154"/>
    <x v="11"/>
    <s v="10.8.0.51_x000a_10.9.0.61"/>
    <s v="Si en Arrét "/>
    <m/>
    <s v="ll81-2-154-11-192-81.ll81-2.iam.net.ma"/>
    <s v="Linux"/>
    <s v="4.0"/>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7 Days"/>
    <m/>
    <m/>
    <s v="Fixed"/>
    <x v="1"/>
    <d v="2021-03-01T00:00:00"/>
    <m/>
    <x v="0"/>
    <s v="NA"/>
    <s v="Not Fixed"/>
    <s v="Unix"/>
    <s v="Not Fixed"/>
    <s v="Unix"/>
    <d v="2020-10-20T00:00:00"/>
    <e v="#N/A"/>
    <s v="Point escaladé à la CDG (Site Web - Fondation)"/>
    <x v="1"/>
    <x v="0"/>
    <x v="0"/>
  </r>
  <r>
    <s v="81.192.11.154/22/ssh-3des-ciphers"/>
    <s v="81.192.11.154"/>
    <x v="11"/>
    <s v="10.8.0.51_x000a_10.9.0.61"/>
    <s v="Si en Arrét "/>
    <m/>
    <s v="ll81-2-154-11-192-81.ll81-2.iam.net.ma"/>
    <s v="Linux"/>
    <s v="4.0"/>
    <n v="22"/>
    <s v="SSH"/>
    <s v="OpenSSH 5.3"/>
    <n v="1"/>
    <x v="0"/>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s v=""/>
    <s v=""/>
    <d v="2009-02-01T00:00:00"/>
    <s v="vv"/>
    <n v="0"/>
    <s v=""/>
    <s v=""/>
    <s v="167 Days"/>
    <m/>
    <m/>
    <s v="Fixed"/>
    <x v="1"/>
    <d v="2021-03-01T00:00:00"/>
    <m/>
    <x v="0"/>
    <s v="NA"/>
    <s v="Not Fixed"/>
    <s v="Unix"/>
    <s v="Not Fixed"/>
    <s v="Unix"/>
    <d v="2020-10-20T00:00:00"/>
    <e v="#N/A"/>
    <s v="Point escaladé à la CDG (Site Web - Fondation)"/>
    <x v="1"/>
    <x v="0"/>
    <x v="0"/>
  </r>
  <r>
    <s v="81.192.11.154/22/ssh-cbc-ciphers"/>
    <s v="81.192.11.154"/>
    <x v="11"/>
    <s v="10.8.0.51_x000a_10.9.0.61"/>
    <s v="Si en Arrét "/>
    <m/>
    <s v="ll81-2-154-11-192-81.ll81-2.iam.net.ma"/>
    <s v="Linux"/>
    <s v="4.0"/>
    <n v="22"/>
    <s v="SSH"/>
    <s v="OpenSSH 5.3"/>
    <n v="3"/>
    <x v="0"/>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28-cbc,3des-cbc,blowfish-cbc,cast128-cbc,aes192-cbc,aes256-cbc"/>
    <s v="https://www.kb.cert.org/vuls/id/958563"/>
    <s v=""/>
    <s v=""/>
    <d v="2013-02-08T00:00:00"/>
    <s v="vv"/>
    <n v="0"/>
    <s v=""/>
    <s v=""/>
    <s v="167 Days"/>
    <m/>
    <m/>
    <s v="Fixed"/>
    <x v="1"/>
    <d v="2021-03-01T00:00:00"/>
    <m/>
    <x v="0"/>
    <s v="NA"/>
    <s v="Not Fixed"/>
    <s v="Unix"/>
    <s v="Not Fixed"/>
    <s v="Unix"/>
    <d v="2020-10-20T00:00:00"/>
    <e v="#N/A"/>
    <s v="Point escaladé à la CDG (Site Web - Fondation)"/>
    <x v="1"/>
    <x v="0"/>
    <x v="0"/>
  </r>
  <r>
    <s v="81.192.11.154/22/ssh-cve-2015-4000"/>
    <s v="81.192.11.154"/>
    <x v="11"/>
    <s v="10.8.0.51_x000a_10.9.0.61"/>
    <s v="Si en Arrét "/>
    <m/>
    <s v="ll81-2-154-11-192-81.ll81-2.iam.net.ma"/>
    <s v="Linux"/>
    <s v="4.0"/>
    <n v="22"/>
    <s v="SSH"/>
    <s v="OpenSSH 5.3"/>
    <n v="4"/>
    <x v="1"/>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s v="http://nvd.nist.gov/vuln/detail/CVE-2015-4000"/>
    <d v="2015-05-20T00:00:00"/>
    <s v="vv"/>
    <n v="0"/>
    <s v=""/>
    <s v=""/>
    <s v="167 Days"/>
    <m/>
    <m/>
    <s v="Fixed"/>
    <x v="1"/>
    <d v="2021-03-01T00:00:00"/>
    <m/>
    <x v="0"/>
    <s v="NA"/>
    <s v="Not Fixed"/>
    <s v="Unix"/>
    <s v="Not Fixed"/>
    <s v="Unix"/>
    <d v="2020-10-20T00:00:00"/>
    <e v="#N/A"/>
    <s v="Point escaladé à la CDG (Site Web - Fondation)"/>
    <x v="1"/>
    <x v="0"/>
    <x v="0"/>
  </r>
  <r>
    <s v="81.192.11.154/22/ssh-cve-2016-2183-sweet32"/>
    <s v="81.192.11.154"/>
    <x v="11"/>
    <s v="10.8.0.51_x000a_10.9.0.61"/>
    <s v="Si en Arrét "/>
    <m/>
    <s v="ll81-2-154-11-192-81.ll81-2.iam.net.ma"/>
    <s v="Linux"/>
    <s v="4.0"/>
    <n v="22"/>
    <s v="SSH"/>
    <s v="OpenSSH 5.3"/>
    <n v="5"/>
    <x v="1"/>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s v="http://nvd.nist.gov/vuln/detail/CVE-2016-2183"/>
    <d v="2016-08-24T00:00:00"/>
    <s v="vv"/>
    <n v="1"/>
    <s v="Expert"/>
    <s v="http://www.exploit-db.com/exploits/42091"/>
    <s v="167 Days"/>
    <m/>
    <m/>
    <s v="Fixed"/>
    <x v="1"/>
    <d v="2021-03-01T00:00:00"/>
    <m/>
    <x v="0"/>
    <s v="NA"/>
    <s v="Not Fixed"/>
    <s v="Unix"/>
    <s v="Not Fixed"/>
    <s v="Unix"/>
    <d v="2020-10-20T00:00:00"/>
    <e v="#N/A"/>
    <s v="Point escaladé à la CDG (Site Web - Fondation)"/>
    <x v="1"/>
    <x v="0"/>
    <x v="0"/>
  </r>
  <r>
    <s v="81.192.11.154/22/ssh-rc4-ciphers"/>
    <s v="81.192.11.154"/>
    <x v="11"/>
    <s v="10.8.0.51_x000a_10.9.0.61"/>
    <s v="Si en Arrét "/>
    <m/>
    <s v="ll81-2-154-11-192-81.ll81-2.iam.net.ma"/>
    <s v="Linux"/>
    <s v="4.0"/>
    <n v="22"/>
    <s v="SSH"/>
    <s v="OpenSSH 5.3"/>
    <n v="4"/>
    <x v="1"/>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256,arcfour128,arcfour"/>
    <s v="http://www.openssh.com/txt/release-6.7"/>
    <s v=""/>
    <s v=""/>
    <d v="2013-03-12T00:00:00"/>
    <s v="vv"/>
    <n v="0"/>
    <s v=""/>
    <s v=""/>
    <s v="167 Days"/>
    <m/>
    <m/>
    <s v="Fixed"/>
    <x v="1"/>
    <d v="2021-03-01T00:00:00"/>
    <m/>
    <x v="0"/>
    <s v="NA"/>
    <s v="Not Fixed"/>
    <s v="Unix"/>
    <s v="Not Fixed"/>
    <s v="Unix"/>
    <d v="2020-10-20T00:00:00"/>
    <e v="#N/A"/>
    <s v="Point escaladé à la CDG (Site Web - Fondation)"/>
    <x v="1"/>
    <x v="0"/>
    <x v="0"/>
  </r>
  <r>
    <s v="81.192.11.154/22/ssh-weak-kex-algorithms"/>
    <s v="81.192.11.154"/>
    <x v="11"/>
    <s v="10.8.0.51_x000a_10.9.0.61"/>
    <s v="Si en Arrét "/>
    <m/>
    <s v="ll81-2-154-11-192-81.ll81-2.iam.net.ma"/>
    <s v="Linux"/>
    <s v="4.0"/>
    <n v="22"/>
    <s v="SSH"/>
    <s v="OpenSSH 5.3"/>
    <n v="4"/>
    <x v="1"/>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s v=""/>
    <s v=""/>
    <d v="2017-07-13T00:00:00"/>
    <s v="vv"/>
    <n v="0"/>
    <s v=""/>
    <s v=""/>
    <s v="167 Days"/>
    <m/>
    <m/>
    <s v="Fixed"/>
    <x v="1"/>
    <d v="2021-03-01T00:00:00"/>
    <m/>
    <x v="0"/>
    <s v="NA"/>
    <s v="Not Fixed"/>
    <s v="Unix"/>
    <s v="Not Fixed"/>
    <s v="Unix"/>
    <d v="2020-10-20T00:00:00"/>
    <e v="#N/A"/>
    <s v="Point escaladé à la CDG (Site Web - Fondation)"/>
    <x v="1"/>
    <x v="0"/>
    <x v="0"/>
  </r>
  <r>
    <s v="81.192.11.154/22/ssh-weak-message-authentication-code-algorithms"/>
    <s v="81.192.11.154"/>
    <x v="11"/>
    <s v="10.8.0.51_x000a_10.9.0.61"/>
    <s v="Si en Arrét "/>
    <m/>
    <s v="ll81-2-154-11-192-81.ll81-2.iam.net.ma"/>
    <s v="Linux"/>
    <s v="4.0"/>
    <n v="22"/>
    <s v="SSH"/>
    <s v="OpenSSH 5.3"/>
    <n v="4"/>
    <x v="1"/>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hmac-sha1-96,hmac-md5-96"/>
    <s v="http://csrc.nist.gov/archive/ipsec/papers/rfc2403-hmacmd5.txt"/>
    <s v=""/>
    <s v=""/>
    <d v="2014-01-06T00:00:00"/>
    <s v="vv"/>
    <n v="0"/>
    <s v=""/>
    <s v=""/>
    <s v="167 Days"/>
    <m/>
    <m/>
    <s v="Fixed"/>
    <x v="1"/>
    <d v="2021-03-01T00:00:00"/>
    <m/>
    <x v="0"/>
    <s v="NA"/>
    <s v="Not Fixed"/>
    <s v="Unix"/>
    <s v="Not Fixed"/>
    <s v="Unix"/>
    <d v="2020-10-20T00:00:00"/>
    <e v="#N/A"/>
    <s v="Point escaladé à la CDG (Site Web - Fondation)"/>
    <x v="1"/>
    <x v="0"/>
    <x v="0"/>
  </r>
  <r>
    <s v="81.192.11.154/443/http-cookie-http-only-flag"/>
    <s v="81.192.11.154"/>
    <x v="11"/>
    <s v="10.8.0.51_x000a_10.9.0.61"/>
    <s v="Si en Arrét "/>
    <m/>
    <s v="ll81-2-154-11-192-81.ll81-2.iam.net.ma"/>
    <s v="Linux"/>
    <s v="4.0"/>
    <n v="443"/>
    <s v="HTTPS"/>
    <s v="HTTPD"/>
    <n v="5"/>
    <x v="1"/>
    <s v="http-cookie-http-only-flag"/>
    <s v="Missing HttpOnly Flag From Cookie"/>
    <s v="HttpOnly is an additional flag included in a Set-Cookie HTTP response header. If supported by the browser, using the HttpOnly flag when generating a cookie helps mitigate the risk of client side script accessing the protected cookie. If a browser that supports HttpOnly detects a cookie containing the HttpOnly flag, and client side script code attempts to read the cookie, the browser returns an empty string as the result. This causes the attack to fail by preventing the malicious (usually XSS) code from sending the data to an attacker's website."/>
    <s v="Add the HttpOnly to all cookies_x000d__x000a__x000d__x000a__x000d__x000a_For each cookie generated by your web-site, add the &quot;HttpOnly&quot; flag to the cookie. For example:_x000d__x000a__x000d__x000a__x000d__x000a_ Set-Cookie: &lt;name&gt;=&lt;value&gt;[; &lt;Max-Age&gt;=&lt;age&gt;] [; expires=&lt;date&gt;][; domain=&lt;domain_name&gt;] [; path=&lt;some_path&gt;][; secure][; HttpOnly]"/>
    <s v="Cookie is not marked as HttpOnly: 'DRUPAL_UID=0; path=/; secure; domain=81.192.11.154'_x000d__x000a__x000d__x000a_URL:  https://81.192.11.154/01-exposition-carte-blanche-mahi-binebine/"/>
    <s v="http://msdn.microsoft.com/en-us/library/ms533046.aspx,https://www.owasp.org/index.php/HttpOnly"/>
    <s v=""/>
    <s v=""/>
    <d v="2011-05-31T00:00:00"/>
    <s v="ve"/>
    <n v="0"/>
    <s v=""/>
    <s v=""/>
    <s v="167 Days"/>
    <m/>
    <m/>
    <s v="Fixed"/>
    <x v="1"/>
    <d v="2021-03-01T00:00:00"/>
    <m/>
    <x v="0"/>
    <s v="NA"/>
    <s v="Not Fixed"/>
    <s v="Unix"/>
    <s v="Not Fixed"/>
    <s v="Unix"/>
    <d v="2020-10-20T00:00:00"/>
    <e v="#N/A"/>
    <s v="Point escaladé à la CDG (Site Web - Fondation)"/>
    <x v="1"/>
    <x v="0"/>
    <x v="0"/>
  </r>
  <r>
    <s v="81.192.11.154/443/ssl-3des-ciphers"/>
    <s v="81.192.11.154"/>
    <x v="11"/>
    <s v="10.8.0.51_x000a_10.9.0.61"/>
    <s v="Si en Arrét "/>
    <m/>
    <s v="ll81-2-154-11-192-81.ll81-2.iam.net.ma"/>
    <s v="Linux"/>
    <s v="4.0"/>
    <n v="443"/>
    <s v="HTTPS"/>
    <s v="HTTPD"/>
    <n v="1"/>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67 Days"/>
    <m/>
    <m/>
    <s v="Fixed"/>
    <x v="1"/>
    <d v="2021-03-01T00:00:00"/>
    <m/>
    <x v="0"/>
    <s v="NA"/>
    <s v="Not Fixed"/>
    <s v="Unix"/>
    <s v="Not Fixed"/>
    <s v="Unix"/>
    <d v="2020-10-20T00:00:00"/>
    <e v="#N/A"/>
    <s v="Point escaladé à la CDG (Site Web - Fondation)"/>
    <x v="1"/>
    <x v="0"/>
    <x v="0"/>
  </r>
  <r>
    <s v="81.192.11.154/443/ssl-cve-2016-2183-sweet32"/>
    <s v="81.192.11.154"/>
    <x v="11"/>
    <s v="10.8.0.51_x000a_10.9.0.61"/>
    <s v="Si en Arrét "/>
    <m/>
    <s v="ll81-2-154-11-192-81.ll81-2.iam.net.ma"/>
    <s v="Linux"/>
    <s v="4.0"/>
    <n v="443"/>
    <s v="HTTPS"/>
    <s v="HTTPD"/>
    <n v="5"/>
    <x v="1"/>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s://sweet32.info/,https://www.openssl.org/blog/blog/2016/08/24/sweet32,https://access.redhat.com/articles/2548661"/>
    <s v="CVE-2016-2183"/>
    <s v="http://nvd.nist.gov/vuln/detail/CVE-2016-2183"/>
    <d v="2016-08-24T00:00:00"/>
    <s v="ve"/>
    <n v="1"/>
    <s v="Expert"/>
    <s v="http://www.exploit-db.com/exploits/42091"/>
    <s v="167 Days"/>
    <m/>
    <m/>
    <s v="Fixed"/>
    <x v="1"/>
    <d v="2021-03-01T00:00:00"/>
    <m/>
    <x v="0"/>
    <s v="NA"/>
    <s v="Not Fixed"/>
    <s v="Unix"/>
    <s v="Not Fixed"/>
    <s v="Unix"/>
    <d v="2020-10-20T00:00:00"/>
    <e v="#N/A"/>
    <s v="Point escaladé à la CDG (Site Web - Fondation)"/>
    <x v="1"/>
    <x v="0"/>
    <x v="0"/>
  </r>
  <r>
    <s v="81.192.11.154/443/ssl-self-signed-certificate"/>
    <s v="81.192.11.154"/>
    <x v="11"/>
    <s v="10.8.0.51_x000a_10.9.0.61"/>
    <s v="Si en Arrét "/>
    <m/>
    <s v="ll81-2-154-11-192-81.ll81-2.iam.net.ma"/>
    <s v="Linux"/>
    <s v="4.0"/>
    <n v="443"/>
    <s v="HTTPS"/>
    <s v="HTTPD"/>
    <n v="4"/>
    <x v="1"/>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s v=""/>
    <s v=""/>
    <d v="1995-01-01T00:00:00"/>
    <s v="ve"/>
    <n v="0"/>
    <s v=""/>
    <s v=""/>
    <s v="167 Days"/>
    <m/>
    <m/>
    <s v="Fixed"/>
    <x v="1"/>
    <d v="2021-03-01T00:00:00"/>
    <m/>
    <x v="0"/>
    <s v="NA"/>
    <s v="Not Fixed"/>
    <s v="Unix"/>
    <s v="Not Fixed"/>
    <s v="Unix"/>
    <d v="2020-10-20T00:00:00"/>
    <e v="#N/A"/>
    <s v="Point escaladé à la CDG (Site Web - Fondation)"/>
    <x v="1"/>
    <x v="0"/>
    <x v="0"/>
  </r>
  <r>
    <s v="81.192.11.154/443/ssl-static-key-ciphers"/>
    <s v="81.192.11.154"/>
    <x v="11"/>
    <s v="10.8.0.51_x000a_10.9.0.61"/>
    <s v="Si en Arrét "/>
    <m/>
    <s v="ll81-2-154-11-192-81.ll81-2.iam.net.ma"/>
    <s v="Linux"/>
    <s v="4.0"/>
    <n v="443"/>
    <s v="HTTPS"/>
    <s v="HTTPD"/>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67 Days"/>
    <m/>
    <m/>
    <s v="Fixed"/>
    <x v="1"/>
    <d v="2021-03-01T00:00:00"/>
    <m/>
    <x v="0"/>
    <s v="NA"/>
    <s v="Not Fixed"/>
    <s v="Unix"/>
    <s v="Not Fixed"/>
    <s v="Unix"/>
    <d v="2020-10-20T00:00:00"/>
    <e v="#N/A"/>
    <s v="Point escaladé à la CDG (Site Web - Fondation)"/>
    <x v="1"/>
    <x v="0"/>
    <x v="0"/>
  </r>
  <r>
    <s v="81.192.11.154/443/tls-server-cert-sig-alg-sha1"/>
    <s v="81.192.11.154"/>
    <x v="11"/>
    <s v="10.8.0.51_x000a_10.9.0.61"/>
    <s v="Si en Arrét "/>
    <m/>
    <s v="ll81-2-154-11-192-81.ll81-2.iam.net.ma"/>
    <s v="Linux"/>
    <s v="4.0"/>
    <n v="443"/>
    <s v="HTTPS"/>
    <s v="HTTPD"/>
    <n v="3"/>
    <x v="0"/>
    <s v="tls-server-cert-sig-alg-sha1"/>
    <s v="SHA-1-based Signature in TLS/SSL Server X.509 Certificate"/>
    <s v="The SHA-1 hashing algorithm has known weaknesses that expose it to collision attacks, which may allow an attacker to generate additional X.509 digital certificates with the same signature as an original."/>
    <s v="Stop Using SHA-1_x000d__x000a__x000d__x000a__x000d__x000a_ Stop using signature algorithms relying on SHA-1, such as &quot;SHA1withRSA&quot;, when signing X.509 certificates. Instead, use the SHA-2 family (SHA-224, SHA-256, SHA-384, and SHA-512)."/>
    <s v="SSL certificate is signed with SHA1withRSA"/>
    <s v="https://technet.microsoft.com/en-us/library/security/2880823.aspx,https://blog.mozilla.org/security/2014/09/23/phasing-out-certificates-with-sha-1-based-signature-algorithms/,http://googleonlinesecurity.blogspot.co.uk/2014/09/gradually-sunsetting-sha-1.html,https://www.schneier.com/blog/archives/2005/02/cryptanalysis_o.html"/>
    <s v=""/>
    <s v=""/>
    <d v="2005-02-13T00:00:00"/>
    <s v="ve"/>
    <n v="0"/>
    <s v=""/>
    <s v=""/>
    <s v="167 Days"/>
    <m/>
    <m/>
    <s v="Fixed"/>
    <x v="1"/>
    <d v="2021-03-01T00:00:00"/>
    <m/>
    <x v="0"/>
    <s v="NA"/>
    <s v="Not Fixed"/>
    <s v="Unix"/>
    <s v="Not Fixed"/>
    <s v="Unix"/>
    <d v="2020-10-20T00:00:00"/>
    <e v="#N/A"/>
    <s v="Point escaladé à la CDG (Site Web - Fondation)"/>
    <x v="1"/>
    <x v="0"/>
    <x v="0"/>
  </r>
  <r>
    <s v="81.192.11.154/443/tls-untrusted-ca"/>
    <s v="81.192.11.154"/>
    <x v="11"/>
    <s v="10.8.0.51_x000a_10.9.0.61"/>
    <s v="Si en Arrét "/>
    <m/>
    <s v="ll81-2-154-11-192-81.ll81-2.iam.net.ma"/>
    <s v="Linux"/>
    <s v="4.0"/>
    <n v="443"/>
    <s v="HTTPS"/>
    <s v="HTTPD"/>
    <n v="6"/>
    <x v="1"/>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www.fondationcdg.ma, OU=CDG, O=Fondation CDG, L=Rabat, ST=Rabat, C=MA -- [Path does not chain with any of the trust anchors]."/>
    <s v="http://httpd.apache.org/docs/2.2/mod/mod_ssl.html,http://nginx.org/en/docs/http/configuring_https_servers.html,https://support.microsoft.com/en-us/kb/954755"/>
    <s v=""/>
    <s v=""/>
    <d v="1995-01-01T00:00:00"/>
    <s v="ve"/>
    <n v="0"/>
    <s v=""/>
    <s v=""/>
    <s v="167 Days"/>
    <m/>
    <m/>
    <s v="Fixed"/>
    <x v="1"/>
    <d v="2021-03-01T00:00:00"/>
    <m/>
    <x v="0"/>
    <s v="NA"/>
    <s v="Not Fixed"/>
    <s v="Unix"/>
    <s v="Not Fixed"/>
    <s v="Unix"/>
    <d v="2020-10-20T00:00:00"/>
    <e v="#N/A"/>
    <s v="Point escaladé à la CDG (Site Web - Fondation)"/>
    <x v="1"/>
    <x v="0"/>
    <x v="0"/>
  </r>
  <r>
    <s v="81.192.11.154/80/http-generic-click-jacking"/>
    <s v="81.192.11.154"/>
    <x v="11"/>
    <s v="10.8.0.51_x000a_10.9.0.61"/>
    <s v="Si en Arrét "/>
    <m/>
    <s v="ll81-2-154-11-192-81.ll81-2.iam.net.ma"/>
    <s v="Linux"/>
    <s v="4.0"/>
    <n v="80"/>
    <s v="HTTP"/>
    <s v=""/>
    <n v="4"/>
    <x v="1"/>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81.192.11.154/login.jsp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66 Days"/>
    <m/>
    <m/>
    <s v="Fixed"/>
    <x v="1"/>
    <d v="2021-03-01T00:00:00"/>
    <m/>
    <x v="0"/>
    <s v="NA"/>
    <s v="Not Fixed"/>
    <s v="Unix"/>
    <s v="Not Fixed"/>
    <s v="Unix"/>
    <d v="2020-10-20T00:00:00"/>
    <e v="#N/A"/>
    <s v="Point escaladé à la CDG (Site Web - Fondation)"/>
    <x v="1"/>
    <x v="0"/>
    <x v="0"/>
  </r>
  <r>
    <s v="81.192.11.155/0/generic-tcp-timestamp"/>
    <s v="81.192.11.155"/>
    <x v="0"/>
    <s v="10.8.0.53 _x000a_10.9.0.67"/>
    <s v="N/A"/>
    <s v="SI en arrêt, serveur doit être décommissionner"/>
    <s v="ll81-2-155-11-192-81.ll81-2.iam.net.ma"/>
    <s v="Linux"/>
    <s v="4.0"/>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m/>
    <s v="Fixed"/>
    <x v="0"/>
    <d v="2021-03-01T00:00:00"/>
    <m/>
    <x v="0"/>
    <s v="NA"/>
    <s v="Fixed"/>
    <s v="Unix"/>
    <s v="Fixed"/>
    <s v="Unix"/>
    <d v="2020-10-20T00:00:00"/>
    <e v="#N/A"/>
    <s v="Serveur  à décommisioner (Site Web Institut CDG)"/>
    <x v="0"/>
    <x v="0"/>
    <x v="1"/>
  </r>
  <r>
    <s v="81.192.11.155/443/certificate-common-name-mismatch"/>
    <s v="81.192.11.155"/>
    <x v="12"/>
    <m/>
    <s v="N/A"/>
    <s v="09/11 Work in Progress avec  LMPS "/>
    <s v="ll81-2-155-11-192-81.ll81-2.iam.net.ma"/>
    <s v="Linux"/>
    <s v="4.0"/>
    <n v="443"/>
    <s v="HTTPS"/>
    <s v=""/>
    <n v="7"/>
    <x v="2"/>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3 Days"/>
    <m/>
    <m/>
    <s v="Faux Positive"/>
    <x v="1"/>
    <m/>
    <m/>
    <x v="3"/>
    <s v="NA"/>
    <e v="#N/A"/>
    <s v="Client"/>
    <m/>
    <m/>
    <d v="2020-12-20T00:00:00"/>
    <m/>
    <s v="Faux Positive"/>
    <x v="1"/>
    <x v="1"/>
    <x v="1"/>
  </r>
  <r>
    <s v="81.192.11.155/443/http-generic-browsable-dir"/>
    <s v="81.192.11.155"/>
    <x v="12"/>
    <m/>
    <s v="Not Fixed"/>
    <m/>
    <m/>
    <s v="Linux"/>
    <s v="3.11"/>
    <s v="443"/>
    <s v="HTTPS"/>
    <s v=""/>
    <s v="5"/>
    <x v="1"/>
    <s v="http-generic-browsable-dir"/>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quot;HTTP request to  https://81.192.11.155/icons/ _x000a_HTTP response code was an expected 200_x000a_5: &lt;/head&gt; 6: &lt;body&gt; 7: &lt;h1&gt;Index of /icons&lt;/h1&gt; 8: &lt;table&gt; 9: ...CO]&quot;&quot;&gt;&lt;/th&gt;&lt;th&gt;&lt;a href=&quot;&quot;?C=N;O=D&quot;&quot;&gt;Name&lt;/a&gt;&lt;/th&gt;&lt;th&gt;&lt;a href=&quot;&quot;?C=M;O=A...&quot;_x000a_&quot;HTTP request to  https://81.192.11.155/manual/style/xsl/util/ _x000a_HTTP response code was an expected 200_x000a_5: &lt;/head&gt; 6: &lt;body&gt; 7: &lt;h1&gt;Index of /manual/style/xsl/util&lt;/h1&gt; 8: &lt;table&gt; 9: ...CO]&quot;&quot;&gt;&lt;/th&gt;&lt;th&gt;&lt;a href=&quot;&quot;?C=N;O=D&quot;&quot;&gt;Name&lt;/a&gt;&lt;/th&gt;&lt;th&gt;&lt;a href=&quot;&quot;?C=M;O=A...&quot;_x000a_&quot;HTTP request to  https://81.192.11.155/manual/style/xsl/ _x000a_HTTP response code was an expected 200_x000a_5: &lt;/head&gt; 6: &lt;body&gt; 7: &lt;h1&gt;Index of /manual/style/xsl&lt;/h1&gt; 8: &lt;table&gt; 9: ...CO]&quot;&quot;&gt;&lt;/th&gt;&lt;th&gt;&lt;a href=&quot;&quot;?C=N;O=D&quot;&quot;&gt;Name&lt;/a&gt;&lt;/th&gt;&lt;th&gt;&lt;a href=&quot;&quot;?C=M;O=A...&quot;_x000a_&quot;HTTP request to  https://81.192.11.155/manual/style/scripts/ _x000a_HTTP response code was an expected 200_x000a_5: &lt;/head&gt; 6: &lt;body&gt; 7: &lt;h1&gt;Index of /manual/style/scripts&lt;/h1&gt; 8: &lt;table&gt; 9: ...CO]&quot;&quot;&gt;&lt;/th&gt;&lt;th&gt;&lt;a href=&quot;&quot;?C=N;O=D&quot;&quot;&gt;Name&lt;/a&gt;&lt;/th&gt;&lt;th&gt;&lt;a href=&quot;&quot;?C=M;O=A...&quot;_x000a_&quot;HTTP request to  https://81.192.11.155/manual/style/css/ _x000a_HTTP response code was an expected 200_x000a_5: &lt;/head&gt; 6: &lt;body&gt; 7: &lt;h1&gt;Index of /manual/style/css&lt;/h1&gt; 8: &lt;table&gt; 9: ...CO]&quot;&quot;&gt;&lt;/th&gt;&lt;th&gt;&lt;a href=&quot;&quot;?C=N;O=D&quot;&quot;&gt;Name&lt;/a&gt;&lt;/th&gt;&lt;th&gt;&lt;a href=&quot;&quot;?C=M;O=A...&quot;_x000a_&quot;HTTP request to  https://81.192.11.155/manual/style/ _x000a_HTTP response code was an expected 200_x000a_5: &lt;/head&gt; 6: &lt;body&gt; 7: &lt;h1&gt;Index of /manual/style&lt;/h1&gt; 8: &lt;table&gt; 9: ...CO]&quot;&quot;&gt;&lt;/th&gt;&lt;th&gt;&lt;a href=&quot;&quot;?C=N;O=D&quot;&quot;&gt;Name&lt;/a&gt;&lt;/th&gt;&lt;th&gt;&lt;a href=&quot;&quot;?C=M;O=A...&quot;_x000a_&quot;HTTP request to  https://81.192.11.155/manual/style/latex/ _x000a_HTTP response code was an expected 200_x000a_5: &lt;/head&gt; 6: &lt;body&gt; 7: &lt;h1&gt;Index of /manual/style/latex&lt;/h1&gt; 8: &lt;table&gt; 9: ...CO]&quot;&quot;&gt;&lt;/th&gt;&lt;th&gt;&lt;a href=&quot;&quot;?C=N;O=D&quot;&quot;&gt;Name&lt;/a&gt;&lt;/th&gt;&lt;th&gt;&lt;a href=&quot;&quot;?C=M;O=A...&quot;_x000a_&quot;HTTP request to  https://81.192.11.155/manual/images/ _x000a_HTTP response code was an expected 200_x000a_5: &lt;/head&gt; 6: &lt;body&gt; 7: &lt;h1&gt;Index of /manual/images&lt;/h1&gt; 8: &lt;table&gt; 9: ...CO]&quot;&quot;&gt;&lt;/th&gt;&lt;th&gt;&lt;a href=&quot;&quot;?C=N;O=D&quot;&quot;&gt;Name&lt;/a&gt;&lt;/th&gt;&lt;th&gt;&lt;a href=&quot;&quot;?C=M;O=A...&quot;_x000a_&quot;HTTP request to  https://81.192.11.155/manual/style/lang/ _x000a_HTTP response code was an expected 200_x000a_5: &lt;/head&gt; 6: &lt;body&gt; 7: &lt;h1&gt;Index of /manual/style/lang&lt;/h1&gt; 8: &lt;table&gt; 9: ...CO]&quot;&quot;&gt;&lt;/th&gt;&lt;th&gt;&lt;a href=&quot;&quot;?C=N;O=D&quot;&quot;&gt;Name&lt;/a&gt;&lt;/th&gt;&lt;th&gt;&lt;a href=&quot;&quot;?C=M;O=A...&quot;_x000a_&quot;HTTP request to  https://81.192.11.155/icons/small/ _x000a_HTTP response code was an expected 200_x000a_5: &lt;/head&gt; 6: &lt;body&gt; 7: &lt;h1&gt;Index of /icons/small&lt;/h1&gt; 8: &lt;table&gt; 9: ...CO]&quot;&quot;&gt;&lt;/th&gt;&lt;th&gt;&lt;a href=&quot;&quot;?C=N;O=D&quot;&quot;&gt;Name&lt;/a&gt;&lt;/th&gt;&lt;th&gt;&lt;a href=&quot;&quot;?C=M;O=A...&quot;"/>
    <s v=""/>
    <s v=""/>
    <s v="2001-01-01"/>
    <m/>
    <m/>
    <m/>
    <m/>
    <s v="67 Days"/>
    <m/>
    <m/>
    <s v="Not Fixed 'Encours d'investigation) "/>
    <x v="1"/>
    <m/>
    <m/>
    <x v="4"/>
    <m/>
    <s v="Unix"/>
    <s v="Client"/>
    <m/>
    <m/>
    <m/>
    <e v="#N/A"/>
    <s v="Not Fixed New "/>
    <x v="1"/>
    <x v="3"/>
    <x v="1"/>
  </r>
  <r>
    <s v="81.192.11.155/443/http-generic-click-jacking"/>
    <s v="81.192.11.155"/>
    <x v="12"/>
    <s v="10.8.0.53 _x000a_10.9.0.67"/>
    <s v="N/A"/>
    <s v="09/11 Work in Progress avec  LMPS "/>
    <s v="ll81-2-155-11-192-81.ll81-2.iam.net.ma"/>
    <s v="Linux"/>
    <s v="4.0"/>
    <n v="443"/>
    <s v="HTTPS"/>
    <s v=""/>
    <n v="4"/>
    <x v="1"/>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quot;* Running HTTPS service_x000a__x000a__x000a__x000a_HTTP request to  https://81.192.11.155/manual/howto/cgi.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howto/auth.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howto/htacces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howto/acces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http2.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heartbeat.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heartmonitor.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filter.html#filterprovider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header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ext_filter.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expire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file_cach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example_hook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env.html#setenv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echo.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dir.html#directoryindex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deflat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dumpio.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dbd.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dialup.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dav_lock.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dav.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dav_f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charset_lit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data.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cgi.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cgid.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cern_meta.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cache_socach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cach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cache_disk.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buffer.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oindex.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brotli.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z_user.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z_groupfile.html#reqgroup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z_host.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z_owner.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z_core.html#require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z_dbd.html#reqgroup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z_dbm.html#reqgroup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nz_ldap.html#requser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nz_fcgi.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n_socach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n_fil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n_dbd.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n_dbm.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n_core.html#authtype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_form.html#authformloginrequiredlocation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authn_anon.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session_dbd.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setenvif.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session_crypto.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session.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rewrit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session_cooki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sed.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remoteip.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request.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reqtimeout.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ratelimit.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reflector.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wstunnel.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http2.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uwsgi.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scgi.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http.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html.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hcheck.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ftp.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fcgi.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fdpas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balancer.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expres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connect.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html#proxypass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md.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oxy_ajp.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privilege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nw_ssl.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negotiation.html#cachenegotiateddocs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mime_magic.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mim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ua.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macro.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ogio.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og_forensic.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og_config.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og_debug.html#logmessage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dap.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bmethod_bytraffic.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bmethod_heartbeat.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isapi.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include.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bmethod_byrequest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lbmethod_bybusynes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info.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imagemap.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mod/mod_ident.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platform/windows.html _x000a_HTTP response code was an expected 200_x000a_1: text/html; charset=UTF-8_x000a__x000a_HTTP header 'Content-Type' was present and matched expectation_x000a__x000a_HTTP header 'Content-Security-Policy' not present_x000a__x000a_HTTP header 'X-Frame-Options' not present&quot;_x000a_&quot;* Running HTTPS service_x000a__x000a__x000a__x000a_HTTP request to  https://81.192.11.155/manual/programs/ab.html _x000a_HTTP response code was an expected 200_x000a_1: text/html; charset=UTF-8_x000a__x000a_HTTP header 'Content-Type' was present and matched expectation_x000a__x000a_HTTP header 'Content-Se"/>
    <s v="https://www.owasp.org/index.php/Clickjacking"/>
    <s v=""/>
    <s v=""/>
    <d v="2008-09-17T00:00:00"/>
    <s v="ve"/>
    <n v="0"/>
    <s v=""/>
    <s v=""/>
    <s v="3 Days"/>
    <m/>
    <m/>
    <s v="Not Fixed 'Encours d'investigation) "/>
    <x v="1"/>
    <m/>
    <m/>
    <x v="3"/>
    <s v="NA"/>
    <e v="#N/A"/>
    <s v="Client"/>
    <m/>
    <m/>
    <d v="2020-12-20T00:00:00"/>
    <m/>
    <s v="Not Fixed New "/>
    <x v="1"/>
    <x v="3"/>
    <x v="1"/>
  </r>
  <r>
    <s v="81.192.11.155/80/http-generic-click-jacking"/>
    <s v="81.192.11.155"/>
    <x v="0"/>
    <s v="10.8.0.53 _x000a_10.9.0.67"/>
    <s v="N/A"/>
    <s v="SI en arrêt, serveur doit être décommissionner"/>
    <s v="ll81-2-155-11-192-81.ll81-2.iam.net.ma"/>
    <s v="Linux"/>
    <s v="4.0"/>
    <n v="80"/>
    <s v="HTTP"/>
    <s v=""/>
    <n v="4"/>
    <x v="1"/>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81.192.11.155/login.jsp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8 Days"/>
    <m/>
    <m/>
    <s v="Fixed"/>
    <x v="0"/>
    <d v="2021-03-01T00:00:00"/>
    <m/>
    <x v="0"/>
    <s v="NA"/>
    <s v="Fixed"/>
    <s v="Unix"/>
    <s v="Fixed"/>
    <s v="Unix"/>
    <d v="2020-10-20T00:00:00"/>
    <e v="#N/A"/>
    <s v="Serveur  à décommisioner (Site Web Institut CDG)"/>
    <x v="0"/>
    <x v="0"/>
    <x v="0"/>
  </r>
  <r>
    <s v="81.192.11.157/0/generic-tcp-timestamp"/>
    <s v="81.192.11.157"/>
    <x v="13"/>
    <s v="10.9.0.3"/>
    <s v="WIP"/>
    <m/>
    <s v="ll81-2-157-11-192-81.ll81-2.iam.net.ma"/>
    <s v="Linux"/>
    <s v="4.0"/>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n v="35643"/>
    <s v="ve"/>
    <n v="0"/>
    <s v=""/>
    <s v=""/>
    <s v="168 Days"/>
    <m/>
    <m/>
    <s v="Fixed"/>
    <x v="0"/>
    <d v="2020-11-15T00:00:00"/>
    <d v="2020-11-15T00:00:00"/>
    <x v="0"/>
    <s v="Unix"/>
    <s v="Fixed"/>
    <s v="Unix"/>
    <s v="Fixed"/>
    <s v="Unix"/>
    <d v="2020-10-20T00:00:00"/>
    <e v="#N/A"/>
    <s v="Fixed"/>
    <x v="1"/>
    <x v="0"/>
    <x v="1"/>
  </r>
  <r>
    <s v="81.192.11.157/443/http-generic-click-jacking"/>
    <s v="81.192.11.157"/>
    <x v="13"/>
    <s v="10.9.0.3"/>
    <s v="Clos"/>
    <m/>
    <s v="ll81-2-157-11-192-81.ll81-2.iam.net.ma"/>
    <s v="Linux"/>
    <s v="4.0"/>
    <n v="443"/>
    <s v="HTTPS"/>
    <s v=""/>
    <n v="4"/>
    <x v="1"/>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57/login.jsp _x000d__x000a_HTTP response code was an expected 200_x000d__x000a_1: text/html_x000d__x000a__x000d__x000a_HTTP header 'Content-Type' was present and matched expectation_x000d__x000a__x000d__x000a_HTTP header 'Content-Security-Policy' not present_x000d__x000a__x000d__x000a_HTTP header 'X-Frame-Options' not present"/>
    <s v="https://www.owasp.org/index.php/Clickjacking"/>
    <s v=""/>
    <s v=""/>
    <n v="39708"/>
    <s v="ve"/>
    <n v="0"/>
    <s v=""/>
    <s v=""/>
    <s v="38 Days"/>
    <m/>
    <m/>
    <s v="Fixed"/>
    <x v="5"/>
    <d v="2020-11-07T00:00:00"/>
    <d v="2020-11-07T00:00:00"/>
    <x v="0"/>
    <s v="Unix"/>
    <s v="Fixed"/>
    <s v="Unix"/>
    <s v="Fixed"/>
    <s v="Unix"/>
    <d v="2020-10-20T00:00:00"/>
    <e v="#N/A"/>
    <s v="Fixed"/>
    <x v="1"/>
    <x v="0"/>
    <x v="0"/>
  </r>
  <r>
    <s v="81.192.11.157/443/ssl-3des-ciphers"/>
    <s v="81.192.11.157"/>
    <x v="13"/>
    <s v="10.9.0.3"/>
    <s v="WIP"/>
    <m/>
    <s v="ll81-2-157-11-192-81.ll81-2.iam.net.ma"/>
    <s v="Linux"/>
    <s v="4.0"/>
    <n v="443"/>
    <s v="HTTPS"/>
    <s v=""/>
    <n v="1"/>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n v="39845"/>
    <s v="ve"/>
    <n v="0"/>
    <s v=""/>
    <s v=""/>
    <s v="161 Days"/>
    <m/>
    <m/>
    <s v="Fixed"/>
    <x v="0"/>
    <d v="2020-11-15T00:00:00"/>
    <d v="2020-11-15T00:00:00"/>
    <x v="0"/>
    <s v="Unix"/>
    <s v="In Progress"/>
    <s v="Unix"/>
    <s v="In Progress"/>
    <s v="Unix"/>
    <d v="2020-10-20T00:00:00"/>
    <e v="#N/A"/>
    <s v="Fixed"/>
    <x v="1"/>
    <x v="0"/>
    <x v="0"/>
  </r>
  <r>
    <s v="81.192.11.157/443/ssl-cve-2016-2183-sweet32"/>
    <s v="81.192.11.157"/>
    <x v="13"/>
    <s v="10.9.0.3"/>
    <s v="Clos"/>
    <m/>
    <s v="ll81-2-157-11-192-81.ll81-2.iam.net.ma"/>
    <s v="Linux"/>
    <s v="4.0"/>
    <n v="443"/>
    <s v="HTTPS"/>
    <s v=""/>
    <n v="5"/>
    <x v="1"/>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s://sweet32.info/,https://www.openssl.org/blog/blog/2016/08/24/sweet32,https://access.redhat.com/articles/2548661"/>
    <s v="CVE-2016-2183"/>
    <s v="http://nvd.nist.gov/vuln/detail/CVE-2016-2183"/>
    <n v="42606"/>
    <s v="ve"/>
    <n v="1"/>
    <s v="Expert"/>
    <s v="http://www.exploit-db.com/exploits/42091"/>
    <s v="161 Days"/>
    <m/>
    <m/>
    <s v="Fixed"/>
    <x v="8"/>
    <d v="2021-01-19T00:00:00"/>
    <d v="2020-11-07T00:00:00"/>
    <x v="0"/>
    <s v="Unix"/>
    <s v="Not Fixed"/>
    <s v="Unix"/>
    <s v="Not Fixed"/>
    <s v="Unix"/>
    <d v="2020-10-20T00:00:00"/>
    <e v="#N/A"/>
    <s v="Fixed"/>
    <x v="1"/>
    <x v="0"/>
    <x v="0"/>
  </r>
  <r>
    <s v="81.192.11.157/443/ssl-static-key-ciphers"/>
    <s v="81.192.11.157"/>
    <x v="13"/>
    <s v="10.9.0.3"/>
    <s v="WIP"/>
    <m/>
    <s v="ll81-2-157-11-192-81.ll81-2.iam.net.ma"/>
    <s v="Linux"/>
    <s v="4.0"/>
    <n v="443"/>
    <s v="HTTPS"/>
    <s v=""/>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n v="42036"/>
    <s v="ve"/>
    <n v="0"/>
    <s v=""/>
    <s v=""/>
    <s v="161 Days"/>
    <m/>
    <m/>
    <s v="Fixed"/>
    <x v="0"/>
    <d v="2020-11-15T00:00:00"/>
    <d v="2020-11-15T00:00:00"/>
    <x v="0"/>
    <s v="Unix"/>
    <s v="In Progress"/>
    <s v="Unix"/>
    <s v="In Progress"/>
    <s v="Unix"/>
    <d v="2020-10-20T00:00:00"/>
    <e v="#N/A"/>
    <s v="Fixed"/>
    <x v="1"/>
    <x v="0"/>
    <x v="0"/>
  </r>
  <r>
    <s v="81.192.11.157/443/tls-server-cert-expired"/>
    <s v="81.192.11.157"/>
    <x v="13"/>
    <s v="10.9.0.3"/>
    <s v="New"/>
    <s v="Apparu dans le scan de decembre"/>
    <s v="ll81-2-157-11-192-81.ll81-2.iam.net.ma"/>
    <s v="Linux"/>
    <s v="4.0"/>
    <n v="443"/>
    <s v="HTTPS"/>
    <s v=""/>
    <n v="7"/>
    <x v="2"/>
    <s v="tls-server-cert-expired"/>
    <s v="X.509 Server Certificate Is Invalid/Expired"/>
    <s v="The TLS/SSL server's X.509 certificate either contains a start date in the future or is expired.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Sat, 28 Nov 2020 12:20:27 WEST"/>
    <s v=""/>
    <s v=""/>
    <s v=""/>
    <d v="1995-01-01T00:00:00"/>
    <s v="ve"/>
    <n v="0"/>
    <s v=""/>
    <s v=""/>
    <s v="3 Days"/>
    <m/>
    <m/>
    <s v="Fixed"/>
    <x v="9"/>
    <d v="2021-01-12T00:00:00"/>
    <m/>
    <x v="3"/>
    <s v="Unix"/>
    <e v="#N/A"/>
    <s v="Unix"/>
    <m/>
    <m/>
    <d v="2020-12-20T00:00:00"/>
    <e v="#N/A"/>
    <s v="Fixed"/>
    <x v="1"/>
    <x v="0"/>
    <x v="0"/>
  </r>
  <r>
    <s v="81.192.11.157/443/tls-server-cert-to-expire"/>
    <s v="81.192.11.157"/>
    <x v="13"/>
    <s v="10.9.0.3-10.250.251.4"/>
    <s v="Clos"/>
    <s v="UNIX"/>
    <s v="ll81-2-157-11-192-81.ll81-2.iam.net.ma"/>
    <s v="Linux"/>
    <s v="4.0"/>
    <n v="443"/>
    <s v="HTTPS"/>
    <s v=""/>
    <n v="1"/>
    <x v="0"/>
    <s v="tls-server-cert-to-expire"/>
    <s v="X.509 Server Certificate Will Expire Within 30 Days"/>
    <s v="The TLS/SSL server's X.509 certificate will expire within 30 days.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Sat, 28 Nov 2020 12:20:27 WEST"/>
    <s v=""/>
    <s v=""/>
    <s v=""/>
    <d v="1995-01-01T00:00:00"/>
    <s v="ve"/>
    <n v="0"/>
    <s v=""/>
    <s v=""/>
    <s v="3 Days"/>
    <m/>
    <m/>
    <s v="Fixed"/>
    <x v="10"/>
    <d v="2020-11-18T00:00:00"/>
    <d v="2020-11-18T00:00:00"/>
    <x v="1"/>
    <s v="Unix"/>
    <s v="New"/>
    <s v="Unix"/>
    <m/>
    <m/>
    <d v="2020-11-20T00:00:00"/>
    <e v="#N/A"/>
    <s v="Fixed"/>
    <x v="1"/>
    <x v="0"/>
    <x v="0"/>
  </r>
  <r>
    <s v="81.192.11.157/443/tls-untrusted-ca"/>
    <s v="81.192.11.157"/>
    <x v="13"/>
    <s v="10.9.0.3"/>
    <s v="Clos"/>
    <s v="WIP: Regénerer un nouveau certificat "/>
    <s v="ll81-2-157-11-192-81.ll81-2.iam.net.ma"/>
    <s v="Linux"/>
    <s v="4.0"/>
    <n v="443"/>
    <s v="HTTPS"/>
    <s v=""/>
    <n v="6"/>
    <x v="1"/>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Entrust Certification Authority - L1K, OU=&quot;(c) 2012 Entrust, Inc. - for authorized use only&quot;, OU=See www.entrust.net/legal-terms, O=&quot;Entrust, Inc.&quot;, C=US -- [Path does not chain with any of the trust anchors]."/>
    <s v="http://httpd.apache.org/docs/2.2/mod/mod_ssl.html,http://nginx.org/en/docs/http/configuring_https_servers.html,https://support.microsoft.com/en-us/kb/954755"/>
    <s v=""/>
    <s v=""/>
    <n v="34700"/>
    <s v="ve"/>
    <n v="0"/>
    <s v=""/>
    <s v=""/>
    <s v="128 Days"/>
    <m/>
    <m/>
    <s v="Fixed"/>
    <x v="8"/>
    <d v="2021-01-19T00:00:00"/>
    <d v="2020-11-07T00:00:00"/>
    <x v="0"/>
    <s v="Unix"/>
    <s v="In Progress"/>
    <s v="Unix"/>
    <s v="In Progress"/>
    <s v="Unix"/>
    <d v="2020-10-20T00:00:00"/>
    <e v="#N/A"/>
    <s v="Fixed"/>
    <x v="1"/>
    <x v="0"/>
    <x v="0"/>
  </r>
  <r>
    <s v="81.192.11.158/0/generic-tcp-timestamp"/>
    <s v="81.192.11.158"/>
    <x v="12"/>
    <s v="10.8.0.51_x000a_10.9.0.61"/>
    <s v="Open"/>
    <s v="09/11 Work in Progress avec  LMPS "/>
    <s v="ll81-2-158-11-192-81.ll81-2.iam.net.ma"/>
    <s v=""/>
    <s v=""/>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28 Days"/>
    <m/>
    <m/>
    <s v="Fixed"/>
    <x v="1"/>
    <m/>
    <m/>
    <x v="0"/>
    <s v="NA"/>
    <s v="Not Fixed"/>
    <s v="Unix"/>
    <s v="Not Fixed"/>
    <s v="Unix"/>
    <d v="2020-10-20T00:00:00"/>
    <e v="#N/A"/>
    <s v="Not Fixed New "/>
    <x v="1"/>
    <x v="0"/>
    <x v="1"/>
  </r>
  <r>
    <s v="81.192.11.160/0/generic-tcp-timestamp"/>
    <s v="81.192.11.160"/>
    <x v="14"/>
    <s v="10.9.0.32"/>
    <s v="Open"/>
    <m/>
    <s v="ll81-2-160-11-192-81.ll81-2.iam.net.ma"/>
    <s v="Linux"/>
    <s v="4.0"/>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a_      Disable TCP timestamp responses on Cisco_x000a__x000a_      _x000a_       Run the following command to disable TCP timestamps: _x000a__x000a_       no ip tcp timestamp _x000a__x000a__x000a__x000a_ * FreeBSD_x000a_      Disable TCP timestamp responses on Free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Linux_x000a_      Disable TCP timestamp responses on Linux_x000a__x000a_      _x000a_       Set the value of net.ipv4.tcp_timestamps to 0 by running the following command: _x000a__x000a_       sysctl -w net.ipv4.tcp_timestamps=0 _x000a__x000a_       Additionally, put the following value in the default sysctl configuration file, generally sysctl.conf: _x000a__x000a_       net.ipv4.tcp_timestamps=0 _x000a__x000a__x000a__x000a_ * OpenBSD_x000a_      Disable TCP timestamp responses on Open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a_      Disable TCP timestamp responses on Windows versions before Vista_x000a__x000a_      _x000a_       Set the Tcp1323Opts value in the following key to 1: _x000a__x000a_       HKEY_LOCAL_MACHINE\System\CurrentControlSet\Services\Tcpip\Parameters _x000a__x000a__x000a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a_      Disable TCP timestamp responses on Windows versions since Vista_x000a__x000a_      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m/>
    <s v="Fixed"/>
    <x v="0"/>
    <d v="2020-11-15T00:00:00"/>
    <d v="2020-11-15T00:00:00"/>
    <x v="0"/>
    <s v="Unix"/>
    <s v="Fixed"/>
    <s v="Unix"/>
    <s v="Fixed"/>
    <s v="Unix"/>
    <d v="2020-10-20T00:00:00"/>
    <e v="#N/A"/>
    <s v="Fixed"/>
    <x v="1"/>
    <x v="0"/>
    <x v="1"/>
  </r>
  <r>
    <s v="81.192.11.161/0/generic-tcp-timestamp"/>
    <s v="81.192.11.161"/>
    <x v="15"/>
    <s v="10.8.0.46"/>
    <s v="N/A"/>
    <s v="SI en arrêt"/>
    <s v="ll81-2-161-11-192-81.ll81-2.iam.net.ma"/>
    <s v="Linux"/>
    <s v="4.0"/>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m/>
    <s v="Fixed"/>
    <x v="1"/>
    <d v="2021-03-01T00:00:00"/>
    <m/>
    <x v="0"/>
    <s v="NA"/>
    <s v="Not Fixed"/>
    <s v="Unix"/>
    <s v="Not Fixed"/>
    <s v="Unix"/>
    <d v="2020-10-20T00:00:00"/>
    <e v="#N/A"/>
    <s v="SI à arrêter (web site Wifak)"/>
    <x v="1"/>
    <x v="0"/>
    <x v="0"/>
  </r>
  <r>
    <s v="81.192.11.161/22/ssh-3des-ciphers"/>
    <s v="81.192.11.161"/>
    <x v="15"/>
    <s v="10.8.0.46"/>
    <s v="N/A"/>
    <s v="SI en arrêt"/>
    <s v="ll81-2-161-11-192-81.ll81-2.iam.net.ma"/>
    <s v="Linux"/>
    <s v="4.0"/>
    <n v="22"/>
    <s v="SSH"/>
    <s v="OpenSSH 5.3"/>
    <n v="1"/>
    <x v="0"/>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s v=""/>
    <s v=""/>
    <d v="2009-02-01T00:00:00"/>
    <s v="vv"/>
    <n v="0"/>
    <s v=""/>
    <s v=""/>
    <s v="168 Days"/>
    <m/>
    <m/>
    <s v="Fixed"/>
    <x v="1"/>
    <d v="2021-03-01T00:00:00"/>
    <m/>
    <x v="0"/>
    <s v="NA"/>
    <s v="Not Fixed"/>
    <s v="Unix"/>
    <s v="Not Fixed"/>
    <s v="Unix"/>
    <d v="2020-10-20T00:00:00"/>
    <e v="#N/A"/>
    <s v="SI à arrêter (web site Wifak)"/>
    <x v="1"/>
    <x v="0"/>
    <x v="0"/>
  </r>
  <r>
    <s v="81.192.11.161/22/ssh-cbc-ciphers"/>
    <s v="81.192.11.161"/>
    <x v="15"/>
    <s v="10.8.0.46"/>
    <s v="N/A"/>
    <s v="SI en arrêt"/>
    <s v="ll81-2-161-11-192-81.ll81-2.iam.net.ma"/>
    <s v="Linux"/>
    <s v="4.0"/>
    <n v="22"/>
    <s v="SSH"/>
    <s v="OpenSSH 5.3"/>
    <n v="3"/>
    <x v="0"/>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28-cbc,3des-cbc,blowfish-cbc,cast128-cbc,aes192-cbc,aes256-cbc"/>
    <s v="https://www.kb.cert.org/vuls/id/958563"/>
    <s v=""/>
    <s v=""/>
    <d v="2013-02-08T00:00:00"/>
    <s v="vv"/>
    <n v="0"/>
    <s v=""/>
    <s v=""/>
    <s v="168 Days"/>
    <m/>
    <m/>
    <s v="Fixed"/>
    <x v="1"/>
    <d v="2021-03-01T00:00:00"/>
    <m/>
    <x v="0"/>
    <s v="NA"/>
    <s v="Not Fixed"/>
    <s v="Unix"/>
    <s v="Not Fixed"/>
    <s v="Unix"/>
    <d v="2020-10-20T00:00:00"/>
    <e v="#N/A"/>
    <s v="SI à arrêter (web site Wifak)"/>
    <x v="1"/>
    <x v="0"/>
    <x v="0"/>
  </r>
  <r>
    <s v="81.192.11.161/22/ssh-cve-2015-4000"/>
    <s v="81.192.11.161"/>
    <x v="15"/>
    <s v="10.8.0.46"/>
    <s v="N/A"/>
    <s v="SI en arrêt"/>
    <s v="ll81-2-161-11-192-81.ll81-2.iam.net.ma"/>
    <s v="Linux"/>
    <s v="4.0"/>
    <n v="22"/>
    <s v="SSH"/>
    <s v="OpenSSH 5.3"/>
    <n v="4"/>
    <x v="1"/>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s v="http://nvd.nist.gov/vuln/detail/CVE-2015-4000"/>
    <d v="2015-05-20T00:00:00"/>
    <s v="vv"/>
    <n v="0"/>
    <s v=""/>
    <s v=""/>
    <s v="168 Days"/>
    <m/>
    <m/>
    <s v="Fixed"/>
    <x v="1"/>
    <d v="2021-03-01T00:00:00"/>
    <m/>
    <x v="0"/>
    <s v="NA"/>
    <s v="Not Fixed"/>
    <s v="Unix"/>
    <s v="Not Fixed"/>
    <s v="Unix"/>
    <d v="2020-10-20T00:00:00"/>
    <e v="#N/A"/>
    <s v="SI à arrêter (web site Wifak)"/>
    <x v="1"/>
    <x v="0"/>
    <x v="0"/>
  </r>
  <r>
    <s v="81.192.11.161/22/ssh-cve-2016-2183-sweet32"/>
    <s v="81.192.11.161"/>
    <x v="15"/>
    <s v="10.8.0.46"/>
    <s v="N/A"/>
    <s v="SI en arrêt"/>
    <s v="ll81-2-161-11-192-81.ll81-2.iam.net.ma"/>
    <s v="Linux"/>
    <s v="4.0"/>
    <n v="22"/>
    <s v="SSH"/>
    <s v="OpenSSH 5.3"/>
    <n v="5"/>
    <x v="1"/>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s v="http://nvd.nist.gov/vuln/detail/CVE-2016-2183"/>
    <d v="2016-08-24T00:00:00"/>
    <s v="vv"/>
    <n v="1"/>
    <s v="Expert"/>
    <s v="http://www.exploit-db.com/exploits/42091"/>
    <s v="168 Days"/>
    <m/>
    <m/>
    <s v="Fixed"/>
    <x v="1"/>
    <d v="2021-03-01T00:00:00"/>
    <m/>
    <x v="0"/>
    <s v="NA"/>
    <s v="Not Fixed"/>
    <s v="Unix"/>
    <s v="Not Fixed"/>
    <s v="Unix"/>
    <d v="2020-10-20T00:00:00"/>
    <e v="#N/A"/>
    <s v="SI à arrêter (web site Wifak)"/>
    <x v="1"/>
    <x v="0"/>
    <x v="0"/>
  </r>
  <r>
    <s v="81.192.11.161/22/ssh-rc4-ciphers"/>
    <s v="81.192.11.161"/>
    <x v="15"/>
    <s v="10.8.0.46"/>
    <s v="N/A"/>
    <s v="SI en arrêt"/>
    <s v="ll81-2-161-11-192-81.ll81-2.iam.net.ma"/>
    <s v="Linux"/>
    <s v="4.0"/>
    <n v="22"/>
    <s v="SSH"/>
    <s v="OpenSSH 5.3"/>
    <n v="4"/>
    <x v="1"/>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256,arcfour128,arcfour"/>
    <s v="http://www.openssh.com/txt/release-6.7"/>
    <s v=""/>
    <s v=""/>
    <d v="2013-03-12T00:00:00"/>
    <s v="vv"/>
    <n v="0"/>
    <s v=""/>
    <s v=""/>
    <s v="168 Days"/>
    <m/>
    <m/>
    <s v="Fixed"/>
    <x v="1"/>
    <d v="2021-03-01T00:00:00"/>
    <m/>
    <x v="0"/>
    <s v="NA"/>
    <s v="Not Fixed"/>
    <s v="Unix"/>
    <s v="Not Fixed"/>
    <s v="Unix"/>
    <d v="2020-10-20T00:00:00"/>
    <e v="#N/A"/>
    <s v="SI à arrêter (web site Wifak)"/>
    <x v="1"/>
    <x v="0"/>
    <x v="0"/>
  </r>
  <r>
    <s v="81.192.11.161/22/ssh-weak-kex-algorithms"/>
    <s v="81.192.11.161"/>
    <x v="15"/>
    <s v="10.8.0.46"/>
    <s v="N/A"/>
    <s v="SI en arrêt"/>
    <s v="ll81-2-161-11-192-81.ll81-2.iam.net.ma"/>
    <s v="Linux"/>
    <s v="4.0"/>
    <n v="22"/>
    <s v="SSH"/>
    <s v="OpenSSH 5.3"/>
    <n v="4"/>
    <x v="1"/>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s v=""/>
    <s v=""/>
    <d v="2017-07-13T00:00:00"/>
    <s v="vv"/>
    <n v="0"/>
    <s v=""/>
    <s v=""/>
    <s v="168 Days"/>
    <m/>
    <m/>
    <s v="Fixed"/>
    <x v="1"/>
    <d v="2021-03-01T00:00:00"/>
    <m/>
    <x v="0"/>
    <s v="NA"/>
    <s v="Not Fixed"/>
    <s v="Unix"/>
    <s v="Not Fixed"/>
    <s v="Unix"/>
    <d v="2020-10-20T00:00:00"/>
    <e v="#N/A"/>
    <s v="SI à arrêter (web site Wifak)"/>
    <x v="1"/>
    <x v="0"/>
    <x v="0"/>
  </r>
  <r>
    <s v="81.192.11.161/22/ssh-weak-message-authentication-code-algorithms"/>
    <s v="81.192.11.161"/>
    <x v="15"/>
    <s v="10.8.0.46"/>
    <s v="N/A"/>
    <s v="SI en arrêt"/>
    <s v="ll81-2-161-11-192-81.ll81-2.iam.net.ma"/>
    <s v="Linux"/>
    <s v="4.0"/>
    <n v="22"/>
    <s v="SSH"/>
    <s v="OpenSSH 5.3"/>
    <n v="4"/>
    <x v="1"/>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hmac-sha1-96,hmac-md5-96"/>
    <s v="http://csrc.nist.gov/archive/ipsec/papers/rfc2403-hmacmd5.txt"/>
    <s v=""/>
    <s v=""/>
    <d v="2014-01-06T00:00:00"/>
    <s v="vv"/>
    <n v="0"/>
    <s v=""/>
    <s v=""/>
    <s v="168 Days"/>
    <m/>
    <m/>
    <s v="Fixed"/>
    <x v="1"/>
    <d v="2021-03-01T00:00:00"/>
    <m/>
    <x v="0"/>
    <s v="NA"/>
    <s v="Not Fixed"/>
    <s v="Unix"/>
    <s v="Not Fixed"/>
    <s v="Unix"/>
    <d v="2020-10-20T00:00:00"/>
    <e v="#N/A"/>
    <s v="SI à arrêter (web site Wifak)"/>
    <x v="1"/>
    <x v="0"/>
    <x v="0"/>
  </r>
  <r>
    <s v="81.192.11.161/443/certificate-common-name-mismatch"/>
    <s v="81.192.11.161"/>
    <x v="15"/>
    <s v="10.8.0.46"/>
    <s v="N/A"/>
    <s v="SI en arrêt"/>
    <s v="ll81-2-161-11-192-81.ll81-2.iam.net.ma"/>
    <s v="Linux"/>
    <s v="4.0"/>
    <n v="443"/>
    <s v="HTTPS"/>
    <s v="HTTPD"/>
    <n v="7"/>
    <x v="2"/>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PCDG-RECLAS does not match target name specified in the site._x000d__x000a__x000d__x000a_ * Subject CN PCDG-RECLAS does not match DNS name specified in the site._x000d__x000a__x000d__x000a_ * Subject CN PCDG-RECLAS could not be resolved to an IP address via DNS lookup"/>
    <s v=""/>
    <s v=""/>
    <s v=""/>
    <d v="2007-08-03T00:00:00"/>
    <s v="ve"/>
    <n v="0"/>
    <s v=""/>
    <s v=""/>
    <s v="168 Days"/>
    <m/>
    <m/>
    <s v="Fixed"/>
    <x v="1"/>
    <d v="2021-03-01T00:00:00"/>
    <m/>
    <x v="0"/>
    <s v="NA"/>
    <s v="Faux Positive"/>
    <s v="Unix"/>
    <s v="Faux Positive"/>
    <s v="Unix"/>
    <d v="2020-10-20T00:00:00"/>
    <e v="#N/A"/>
    <s v="SI à arrêter (web site Wifak)"/>
    <x v="1"/>
    <x v="0"/>
    <x v="0"/>
  </r>
  <r>
    <s v="81.192.11.161/443/http-generic-browsable-dir"/>
    <s v="81.192.11.161"/>
    <x v="15"/>
    <s v="10.8.0.46"/>
    <s v="N/A"/>
    <s v="SI en arrêt"/>
    <s v="ll81-2-161-11-192-81.ll81-2.iam.net.ma"/>
    <s v="Linux"/>
    <s v="4.0"/>
    <n v="443"/>
    <s v="HTTPS"/>
    <s v="HTTPD"/>
    <n v="5"/>
    <x v="1"/>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61/icons/small/?P=+ADw-script+AD4-alert(42)+ADw-/script+AD4- _x000d__x000a_HTTP response code was an expected 200_x000d__x000a_5: &lt;/head&gt; 6: &lt;body&gt; 7: &lt;h1&gt;Index of /icons/small&lt;/h1&gt; 8: &lt;table&gt;&lt;tr&gt;&lt;th&gt;&lt;img src=&quot;/icons/blank.gif&quot; alt=&quot;[ICO]&quot;&gt;&lt;/th&gt;&lt;th&gt;&lt;a ... 9: ...IR]&quot;&gt;&lt;/td&gt;&lt;td&gt;&lt;a href=&quot;/icons/&quot;&gt;Parent Directory&lt;/a&gt;&lt;/td&gt;&lt;td&gt;&amp;nbsp;..."/>
    <s v=""/>
    <s v=""/>
    <s v=""/>
    <d v="2001-01-01T00:00:00"/>
    <s v="ve"/>
    <n v="0"/>
    <s v=""/>
    <s v=""/>
    <s v="168 Days"/>
    <m/>
    <m/>
    <s v="Fixed"/>
    <x v="1"/>
    <d v="2021-03-01T00:00:00"/>
    <m/>
    <x v="0"/>
    <s v="NA"/>
    <s v="Not Fixed"/>
    <s v="Unix"/>
    <s v="Not Fixed"/>
    <s v="Unix"/>
    <d v="2020-10-20T00:00:00"/>
    <e v="#N/A"/>
    <s v="SI à arrêter (web site Wifak)"/>
    <x v="1"/>
    <x v="0"/>
    <x v="0"/>
  </r>
  <r>
    <s v="81.192.11.161/443/rc4-cve-2013-2566"/>
    <s v="81.192.11.161"/>
    <x v="15"/>
    <s v="10.8.0.46"/>
    <s v="N/A"/>
    <s v="SI en arrêt"/>
    <s v="ll81-2-161-11-192-81.ll81-2.iam.net.ma"/>
    <s v="Linux"/>
    <s v="4.0"/>
    <n v="443"/>
    <s v="HTTPS"/>
    <s v="HTTPD"/>
    <n v="4"/>
    <x v="1"/>
    <s v="rc4-cve-2013-2566"/>
    <s v="TLS/SSL Server Supports RC4 Cipher Algorithms (CVE-2013-2566)"/>
    <s v="Recent cryptanalysis results exploit biases in the RC4 keystream to recover repeatedly encrypted plaintexts. As a result, RC4 can no longer be seen as providing a sufficient level of security for SSL/TLS sessions. It has many single-byte biases, which makes it easier for remote attackers to conduct plaintext-recovery attacks via statistical analysis of ciphertext in a large number of sessions that use the same plaintext."/>
    <s v="Disable TLS/SSL support for RC4 ciphers_x000d__x000a__x000d__x000a__x000d__x000a_Configure the server to disable support for RC4 ciphers._x000d__x000a__x000d__x000a_For Microsoft IIS web servers, see Microsoft Knowledgebase article  245030 (http://support.microsoft.com/kb/245030/)  for instructions on disabling rc4 cipher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RC4_128_SHA_x000d__x000a__x000d__x000a_       * TLS_RSA_WITH_RC4_128_MD5_x000d__x000a__x000d__x000a_       * TLS_RSA_WITH_RC4_128_SHA"/>
    <s v="http://www.isg.rhul.ac.uk/tls/,https://tools.ietf.org/html/rfc7465,http://www.nist.gov/manuscript-publication-search.cfm?pub_id=915295,https://wiki.mozilla.org/Security/Server_Side_TLS,https://www.owasp.org/index.php/Transport_Layer_Protection_Cheat_Sheet#Rule_-_Only_Support_Strong_Cryptographic_Ciphers,http://support.microsoft.com/kb/245030/"/>
    <s v="CVE-2013-2566"/>
    <s v="http://nvd.nist.gov/vuln/detail/CVE-2013-2566"/>
    <d v="2013-03-12T00:00:00"/>
    <s v="ve"/>
    <n v="0"/>
    <s v=""/>
    <s v=""/>
    <s v="168 Days"/>
    <m/>
    <m/>
    <s v="Fixed"/>
    <x v="1"/>
    <d v="2021-03-01T00:00:00"/>
    <m/>
    <x v="0"/>
    <s v="NA"/>
    <s v="Not Fixed"/>
    <s v="Unix"/>
    <s v="Not Fixed"/>
    <s v="Unix"/>
    <d v="2020-10-20T00:00:00"/>
    <e v="#N/A"/>
    <s v="SI à arrêter (web site Wifak)"/>
    <x v="1"/>
    <x v="0"/>
    <x v="0"/>
  </r>
  <r>
    <s v="81.192.11.161/443/ssl-3des-ciphers"/>
    <s v="81.192.11.161"/>
    <x v="15"/>
    <s v="10.8.0.46"/>
    <s v="N/A"/>
    <s v="SI en arrêt"/>
    <s v="ll81-2-161-11-192-81.ll81-2.iam.net.ma"/>
    <s v="Linux"/>
    <s v="4.0"/>
    <n v="443"/>
    <s v="HTTPS"/>
    <s v="HTTPD"/>
    <n v="1"/>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DHE_RSA_WITH_3DES_EDE_CBC_SHA_x000d__x000a__x000d__x000a_       * TLS_EC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68 Days"/>
    <m/>
    <m/>
    <s v="Fixed"/>
    <x v="1"/>
    <d v="2021-03-01T00:00:00"/>
    <m/>
    <x v="0"/>
    <s v="NA"/>
    <s v="Not Fixed"/>
    <s v="Unix"/>
    <s v="Not Fixed"/>
    <s v="Unix"/>
    <d v="2020-10-20T00:00:00"/>
    <e v="#N/A"/>
    <s v="SI à arrêter (web site Wifak)"/>
    <x v="1"/>
    <x v="0"/>
    <x v="0"/>
  </r>
  <r>
    <s v="81.192.11.161/443/ssl-cve-2016-2183-sweet32"/>
    <s v="81.192.11.161"/>
    <x v="15"/>
    <s v="10.8.0.46"/>
    <s v="N/A"/>
    <s v="SI en arrêt"/>
    <s v="ll81-2-161-11-192-81.ll81-2.iam.net.ma"/>
    <s v="Linux"/>
    <s v="4.0"/>
    <n v="443"/>
    <s v="HTTPS"/>
    <s v="HTTPD"/>
    <n v="5"/>
    <x v="1"/>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DHE_RSA_WITH_3DES_EDE_CBC_SHA_x000d__x000a__x000d__x000a_       * TLS_ECDHE_RSA_WITH_3DES_EDE_CBC_SHA_x000d__x000a__x000d__x000a_       * TLS_RSA_WITH_3DES_EDE_CBC_SHA"/>
    <s v="https://sweet32.info/,https://www.openssl.org/blog/blog/2016/08/24/sweet32,https://access.redhat.com/articles/2548661"/>
    <s v="CVE-2016-2183"/>
    <s v="http://nvd.nist.gov/vuln/detail/CVE-2016-2183"/>
    <d v="2016-08-24T00:00:00"/>
    <s v="ve"/>
    <n v="1"/>
    <s v="Expert"/>
    <s v="http://www.exploit-db.com/exploits/42091"/>
    <s v="168 Days"/>
    <m/>
    <m/>
    <s v="Fixed"/>
    <x v="1"/>
    <d v="2021-03-01T00:00:00"/>
    <m/>
    <x v="0"/>
    <s v="NA"/>
    <s v="Not Fixed"/>
    <s v="Unix"/>
    <s v="Not Fixed"/>
    <s v="Unix"/>
    <d v="2020-10-20T00:00:00"/>
    <e v="#N/A"/>
    <s v="SI à arrêter (web site Wifak)"/>
    <x v="1"/>
    <x v="0"/>
    <x v="0"/>
  </r>
  <r>
    <s v="81.192.11.161/443/ssl-des-ciphers"/>
    <s v="81.192.11.161"/>
    <x v="15"/>
    <s v="10.8.0.46"/>
    <s v="N/A"/>
    <s v="SI en arrêt"/>
    <s v="ll81-2-161-11-192-81.ll81-2.iam.net.ma"/>
    <s v="Linux"/>
    <s v="4.0"/>
    <n v="443"/>
    <s v="HTTPS"/>
    <s v="HTTPD"/>
    <n v="6"/>
    <x v="1"/>
    <s v="ssl-des-ciphers"/>
    <s v="TLS/SSL Server Supports DES and IDEA Cipher Suites"/>
    <s v="Transport Layer Security (TLS) versions 1.0 (RFC 2246) and 1.1 (RFC 4346) include cipher suites based on the DES (Data Encryption Standard) and IDEA (International Data Encryption Algorithm) algorithms. DES and IDEA algorithms are no longer recommended for general use in TLS, and have been removed from TLS version 1.2."/>
    <s v="Disable TLS/SSL support for DES and IDEA cipher suites_x000d__x000a__x000d__x000a__x000d__x000a_Configure the server to disable support for DES and IDEA cipher suites._x000d__x000a__x000d__x000a_For Microsoft IIS web servers, see Microsoft Knowledgebase article  245030 (http://support.microsoft.com/kb/245030/)  for instructions on disabling DES and IDEA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IDEA_CBC_SHA"/>
    <s v="http://www.nist.gov/manuscript-publication-search.cfm?pub_id=915295,https://wiki.mozilla.org/Security/Server_Side_TLS,https://www.owasp.org/index.php/Transport_Layer_Protection_Cheat_Sheet#Rule_-_Only_Support_Strong_Cryptographic_Ciphers,http://support.microsoft.com/kb/245030/,https://tools.ietf.org/html/rfc5469"/>
    <s v=""/>
    <s v=""/>
    <d v="2009-02-01T00:00:00"/>
    <s v="ve"/>
    <n v="0"/>
    <s v=""/>
    <s v=""/>
    <s v="168 Days"/>
    <m/>
    <m/>
    <s v="Fixed"/>
    <x v="1"/>
    <d v="2021-03-01T00:00:00"/>
    <m/>
    <x v="0"/>
    <s v="NA"/>
    <s v="Not Fixed"/>
    <s v="Unix"/>
    <s v="Not Fixed"/>
    <s v="Unix"/>
    <d v="2020-10-20T00:00:00"/>
    <e v="#N/A"/>
    <s v="SI à arrêter (web site Wifak)"/>
    <x v="1"/>
    <x v="0"/>
    <x v="0"/>
  </r>
  <r>
    <s v="81.192.11.161/443/ssl-self-signed-certificate"/>
    <s v="81.192.11.161"/>
    <x v="15"/>
    <s v="10.8.0.46"/>
    <s v="N/A"/>
    <s v="SI en arrêt"/>
    <s v="ll81-2-161-11-192-81.ll81-2.iam.net.ma"/>
    <s v="Linux"/>
    <s v="4.0"/>
    <n v="443"/>
    <s v="HTTPS"/>
    <s v="HTTPD"/>
    <n v="4"/>
    <x v="1"/>
    <s v="ssl-self-signed-certificate"/>
    <s v="Self-signed TLS/SSL certificate"/>
    <s v="The server's TLS/SSL certificate is self-signed. Self-signed certificates cannot be trusted by default, especially because TLS/SSL man-in-the-middle attacks typically use self-signed certificates to eavesdrop on TLS/SSL connections."/>
    <s v="Replace TLS/SSL self-signed certificate_x000d__x000a__x000d__x000a__x000d__x000a_Obtain a new TLS/SSL server certificate that is NOT self-signed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Your organization may have its own internal Certificate Authority. If not, you may have to pay for a certificate from a trusted external Certificate Authority, such as  Thawte (http://www.thawte.com)  or  Verisign (http://www.verisign.com) ."/>
    <s v="TLS/SSL certificate is self-signed."/>
    <s v=""/>
    <s v=""/>
    <s v=""/>
    <d v="1995-01-01T00:00:00"/>
    <s v="ve"/>
    <n v="0"/>
    <s v=""/>
    <s v=""/>
    <s v="168 Days"/>
    <m/>
    <m/>
    <s v="Fixed"/>
    <x v="1"/>
    <d v="2021-03-01T00:00:00"/>
    <m/>
    <x v="0"/>
    <s v="NA"/>
    <s v="Not Fixed"/>
    <s v="Unix"/>
    <s v="Not Fixed"/>
    <s v="Unix"/>
    <d v="2020-10-20T00:00:00"/>
    <e v="#N/A"/>
    <s v="SI à arrêter (web site Wifak)"/>
    <x v="1"/>
    <x v="0"/>
    <x v="0"/>
  </r>
  <r>
    <s v="81.192.11.161/443/ssl-static-key-ciphers"/>
    <s v="81.192.11.161"/>
    <x v="15"/>
    <s v="10.8.0.46"/>
    <s v="N/A"/>
    <s v="SI en arrêt"/>
    <s v="ll81-2-161-11-192-81.ll81-2.iam.net.ma"/>
    <s v="Linux"/>
    <s v="4.0"/>
    <n v="443"/>
    <s v="HTTPS"/>
    <s v="HTTPD"/>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CAMELLIA_128_CBC_SHA_x000d__x000a__x000d__x000a_       * TLS_RSA_WITH_CAMELLIA_256_CBC_SHA_x000d__x000a__x000d__x000a_       * TLS_RSA_WITH_IDEA_CBC_SHA_x000d__x000a__x000d__x000a_       * TLS_RSA_WITH_RC4_128_MD5_x000d__x000a__x000d__x000a_       * TLS_RSA_WITH_RC4_128_SHA_x000d__x000a__x000d__x000a_       * TLS_RSA_WITH_SEED_CBC_SHA"/>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68 Days"/>
    <m/>
    <m/>
    <s v="Fixed"/>
    <x v="1"/>
    <d v="2021-03-01T00:00:00"/>
    <m/>
    <x v="0"/>
    <s v="NA"/>
    <s v="Not Fixed"/>
    <s v="Unix"/>
    <s v="Not Fixed"/>
    <s v="Unix"/>
    <d v="2020-10-20T00:00:00"/>
    <e v="#N/A"/>
    <s v="SI à arrêter (web site Wifak)"/>
    <x v="1"/>
    <x v="0"/>
    <x v="0"/>
  </r>
  <r>
    <s v="81.192.11.161/443/tls-server-cert-expired"/>
    <s v="81.192.11.161"/>
    <x v="15"/>
    <s v="10.8.0.46"/>
    <s v="N/A"/>
    <s v="SI en arrêt"/>
    <s v="ll81-2-161-11-192-81.ll81-2.iam.net.ma"/>
    <s v="Linux"/>
    <s v="4.0"/>
    <n v="443"/>
    <s v="HTTPS"/>
    <s v="HTTPD"/>
    <n v="7"/>
    <x v="2"/>
    <s v="tls-server-cert-expired"/>
    <s v="X.509 Server Certificate Is Invalid/Expired"/>
    <s v="The TLS/SSL server's X.509 certificate either contains a start date in the future or is expired.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Fri, 25 Mar 2016 17:46:30 WET"/>
    <s v=""/>
    <s v=""/>
    <s v=""/>
    <d v="1995-01-01T00:00:00"/>
    <s v="ve"/>
    <n v="0"/>
    <s v=""/>
    <s v=""/>
    <s v="168 Days"/>
    <m/>
    <m/>
    <s v="Fixed"/>
    <x v="1"/>
    <d v="2021-03-01T00:00:00"/>
    <m/>
    <x v="0"/>
    <s v="NA"/>
    <s v="Not Fixed"/>
    <s v="Unix"/>
    <s v="Not Fixed"/>
    <s v="Unix"/>
    <d v="2020-10-20T00:00:00"/>
    <e v="#N/A"/>
    <s v="SI à arrêter (web site Wifak)"/>
    <x v="1"/>
    <x v="0"/>
    <x v="0"/>
  </r>
  <r>
    <s v="81.192.11.161/443/tls-untrusted-ca"/>
    <s v="81.192.11.161"/>
    <x v="15"/>
    <s v="10.8.0.46"/>
    <s v="N/A"/>
    <s v="SI en arrêt"/>
    <s v="ll81-2-161-11-192-81.ll81-2.iam.net.ma"/>
    <s v="Linux"/>
    <s v="4.0"/>
    <n v="443"/>
    <s v="HTTPS"/>
    <s v="HTTPD"/>
    <n v="6"/>
    <x v="1"/>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EMAILADDRESS=root@PCDG-RECLAS, CN=PCDG-RECLAS, OU=SomeOrganizationalUnit, O=SomeOrganization, L=SomeCity, ST=SomeState, C=-- -- [Path does not chain with any of the trust anchors]."/>
    <s v="http://httpd.apache.org/docs/2.2/mod/mod_ssl.html,http://nginx.org/en/docs/http/configuring_https_servers.html,https://support.microsoft.com/en-us/kb/954755"/>
    <s v=""/>
    <s v=""/>
    <d v="1995-01-01T00:00:00"/>
    <s v="ve"/>
    <n v="0"/>
    <s v=""/>
    <s v=""/>
    <s v="168 Days"/>
    <m/>
    <m/>
    <s v="Fixed"/>
    <x v="1"/>
    <d v="2021-03-01T00:00:00"/>
    <m/>
    <x v="0"/>
    <s v="NA"/>
    <s v="Not Fixed"/>
    <s v="Unix"/>
    <s v="Not Fixed"/>
    <s v="Unix"/>
    <d v="2020-10-20T00:00:00"/>
    <e v="#N/A"/>
    <s v="SI à arrêter (web site Wifak)"/>
    <x v="1"/>
    <x v="0"/>
    <x v="0"/>
  </r>
  <r>
    <s v="81.192.11.161/80/http-generic-browsable-dir"/>
    <s v="81.192.11.161"/>
    <x v="15"/>
    <s v="10.8.0.46"/>
    <s v="N/A"/>
    <s v="SI en arrêt"/>
    <s v="ll81-2-161-11-192-81.ll81-2.iam.net.ma"/>
    <s v="Linux"/>
    <s v="4.0"/>
    <n v="80"/>
    <s v="HTTP"/>
    <s v="HTTPD"/>
    <n v="5"/>
    <x v="1"/>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81.192.11.161/icons/small/?P=+ADw-script+AD4-alert(42)+ADw-/script+AD4- _x000d__x000a_HTTP response code was an expected 200_x000d__x000a_5: &lt;/head&gt; 6: &lt;body&gt; 7: &lt;h1&gt;Index of /icons/small&lt;/h1&gt; 8: &lt;table&gt;&lt;tr&gt;&lt;th&gt;&lt;img src=&quot;/icons/blank.gif&quot; alt=&quot;[ICO]&quot;&gt;&lt;/th&gt;&lt;th&gt;&lt;a ... 9: ...IR]&quot;&gt;&lt;/td&gt;&lt;td&gt;&lt;a href=&quot;/icons/&quot;&gt;Parent Directory&lt;/a&gt;&lt;/td&gt;&lt;td&gt;&amp;nbsp;..."/>
    <s v=""/>
    <s v=""/>
    <s v=""/>
    <d v="2001-01-01T00:00:00"/>
    <s v="ve"/>
    <n v="0"/>
    <s v=""/>
    <s v=""/>
    <s v="168 Days"/>
    <m/>
    <m/>
    <s v="Fixed"/>
    <x v="1"/>
    <d v="2021-03-01T00:00:00"/>
    <m/>
    <x v="0"/>
    <s v="NA"/>
    <s v="Not Fixed"/>
    <s v="Unix"/>
    <s v="Not Fixed"/>
    <s v="Unix"/>
    <d v="2020-10-20T00:00:00"/>
    <e v="#N/A"/>
    <s v="SI à arrêter (web site Wifak)"/>
    <x v="1"/>
    <x v="0"/>
    <x v="0"/>
  </r>
  <r>
    <s v="81.192.11.162/0/generic-tcp-timestamp"/>
    <s v="81.192.11.162"/>
    <x v="16"/>
    <s v="10.8.0.72"/>
    <s v="New"/>
    <s v="UNIX"/>
    <m/>
    <m/>
    <m/>
    <n v="0"/>
    <m/>
    <m/>
    <n v="1"/>
    <x v="0"/>
    <s v="generic-tcp-timestamp"/>
    <s v="TCP timestamp response"/>
    <s v="The remote host responded with a TCP timestamp. The TCP timestamp response can be used to approximate the remote host's_x000a_uptime, potentially aiding in further attacks. Additionally, some operating systems can be fingerprinted based on the behavior of their_x000a_TCP timestamps."/>
    <s v="Linux : _x000a_Disable TCP timestamp responses on Linux_x000a_Set the value of net.ipv4.tcp_timestamps to 0 by running the following command:_x000a_sysctl -w net.ipv4.tcp_timestamps=0_x000a__x000a_Windows : détail en PDF (changement au niveau de la base de registre)"/>
    <m/>
    <m/>
    <m/>
    <m/>
    <m/>
    <s v="ve"/>
    <m/>
    <m/>
    <m/>
    <m/>
    <m/>
    <m/>
    <s v="Fixed"/>
    <x v="1"/>
    <m/>
    <m/>
    <x v="1"/>
    <s v="NA"/>
    <s v="New"/>
    <s v="Unix"/>
    <m/>
    <m/>
    <d v="2020-11-20T00:00:00"/>
    <e v="#N/A"/>
    <s v="Point escaldé à La CDG ( Web site CGI)"/>
    <x v="1"/>
    <x v="0"/>
    <x v="0"/>
  </r>
  <r>
    <s v="81.192.11.162/22/ssh-3des-ciphers"/>
    <s v="81.192.11.162"/>
    <x v="16"/>
    <s v="10.8.0.72"/>
    <s v="Open"/>
    <m/>
    <s v="ll81-2-162-11-192-81.ll81-2.iam.net.ma"/>
    <s v="Linux"/>
    <s v="4.4"/>
    <n v="22"/>
    <s v="SSH"/>
    <s v="OpenSSH 7.4"/>
    <n v="1"/>
    <x v="0"/>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s v=""/>
    <s v=""/>
    <d v="2009-02-01T00:00:00"/>
    <s v="vv"/>
    <n v="0"/>
    <s v=""/>
    <s v=""/>
    <s v="167 Days"/>
    <m/>
    <m/>
    <s v="Fixed"/>
    <x v="1"/>
    <d v="2021-03-01T00:00:00"/>
    <m/>
    <x v="0"/>
    <s v="NA"/>
    <s v="Not Fixed"/>
    <s v="Unix"/>
    <s v="Not Fixed"/>
    <s v="Unix"/>
    <d v="2020-10-20T00:00:00"/>
    <e v="#N/A"/>
    <s v="Point escaldé à La CDG ( Web site CGI)"/>
    <x v="1"/>
    <x v="0"/>
    <x v="0"/>
  </r>
  <r>
    <s v="81.192.11.162/22/ssh-cbc-ciphers"/>
    <s v="81.192.11.162"/>
    <x v="16"/>
    <s v="10.8.0.72"/>
    <s v="Open"/>
    <m/>
    <s v="ll81-2-162-11-192-81.ll81-2.iam.net.ma"/>
    <s v="Linux"/>
    <s v="4.4"/>
    <n v="22"/>
    <s v="SSH"/>
    <s v="OpenSSH 7.4"/>
    <n v="3"/>
    <x v="0"/>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28-cbc,aes192-cbc,aes256-cbc,blowfish-cbc,cast128-cbc,3des-cbc"/>
    <s v="https://www.kb.cert.org/vuls/id/958563"/>
    <s v=""/>
    <s v=""/>
    <d v="2013-02-08T00:00:00"/>
    <s v="vv"/>
    <n v="0"/>
    <s v=""/>
    <s v=""/>
    <s v="167 Days"/>
    <m/>
    <m/>
    <s v="Fixed"/>
    <x v="1"/>
    <d v="2021-03-01T00:00:00"/>
    <m/>
    <x v="0"/>
    <s v="NA"/>
    <s v="Not Fixed"/>
    <s v="Unix"/>
    <s v="Not Fixed"/>
    <s v="Unix"/>
    <d v="2020-10-20T00:00:00"/>
    <e v="#N/A"/>
    <s v="Point escaldé à La CDG ( Web site CGI)"/>
    <x v="1"/>
    <x v="0"/>
    <x v="1"/>
  </r>
  <r>
    <s v="81.192.11.162/22/ssh-cve-2015-4000"/>
    <s v="81.192.11.162"/>
    <x v="16"/>
    <s v="10.8.0.72"/>
    <s v="Open"/>
    <m/>
    <s v="ll81-2-162-11-192-81.ll81-2.iam.net.ma"/>
    <s v="Linux"/>
    <s v="4.4"/>
    <n v="22"/>
    <s v="SSH"/>
    <s v="OpenSSH 7.4"/>
    <n v="4"/>
    <x v="1"/>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s v="http://nvd.nist.gov/vuln/detail/CVE-2015-4000"/>
    <d v="2015-05-20T00:00:00"/>
    <s v="vv"/>
    <n v="0"/>
    <s v=""/>
    <s v=""/>
    <s v="167 Days"/>
    <m/>
    <m/>
    <s v="Fixed"/>
    <x v="11"/>
    <d v="2020-12-31T00:00:00"/>
    <m/>
    <x v="0"/>
    <s v="NA"/>
    <s v="Not Fixed"/>
    <s v="Unix"/>
    <s v="Not Fixed"/>
    <s v="Unix"/>
    <d v="2020-10-20T00:00:00"/>
    <e v="#N/A"/>
    <s v="Fixed"/>
    <x v="1"/>
    <x v="0"/>
    <x v="0"/>
  </r>
  <r>
    <s v="81.192.11.162/22/ssh-cve-2016-2183-sweet32"/>
    <s v="81.192.11.162"/>
    <x v="16"/>
    <s v="10.8.0.72"/>
    <s v="Open"/>
    <m/>
    <s v="ll81-2-162-11-192-81.ll81-2.iam.net.ma"/>
    <s v="Linux"/>
    <s v="4.4"/>
    <n v="22"/>
    <s v="SSH"/>
    <s v="OpenSSH 7.4"/>
    <n v="5"/>
    <x v="1"/>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s v="http://nvd.nist.gov/vuln/detail/CVE-2016-2183"/>
    <d v="2016-08-24T00:00:00"/>
    <s v="vv"/>
    <n v="1"/>
    <s v="Expert"/>
    <s v="http://www.exploit-db.com/exploits/42091"/>
    <s v="167 Days"/>
    <m/>
    <m/>
    <s v="Fixed"/>
    <x v="11"/>
    <d v="2020-12-31T00:00:00"/>
    <m/>
    <x v="0"/>
    <s v="NA"/>
    <s v="Not Fixed"/>
    <s v="Unix"/>
    <s v="Not Fixed"/>
    <s v="Unix"/>
    <d v="2020-10-20T00:00:00"/>
    <e v="#N/A"/>
    <s v="Fixed"/>
    <x v="1"/>
    <x v="0"/>
    <x v="0"/>
  </r>
  <r>
    <s v="81.192.11.162/22/ssh-weak-kex-algorithms"/>
    <s v="81.192.11.162"/>
    <x v="16"/>
    <s v="10.8.0.72"/>
    <s v="Open"/>
    <m/>
    <s v="ll81-2-162-11-192-81.ll81-2.iam.net.ma"/>
    <s v="Linux"/>
    <s v="4.4"/>
    <n v="22"/>
    <s v="SSH"/>
    <s v="OpenSSH 7.4"/>
    <n v="4"/>
    <x v="1"/>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s v=""/>
    <s v=""/>
    <d v="2017-07-13T00:00:00"/>
    <s v="vv"/>
    <n v="0"/>
    <s v=""/>
    <s v=""/>
    <s v="167 Days"/>
    <m/>
    <m/>
    <s v="Fixed"/>
    <x v="11"/>
    <d v="2020-12-31T00:00:00"/>
    <m/>
    <x v="0"/>
    <s v="NA"/>
    <s v="Not Fixed"/>
    <s v="Unix"/>
    <s v="Not Fixed"/>
    <s v="Unix"/>
    <d v="2020-10-20T00:00:00"/>
    <e v="#N/A"/>
    <s v="Fixed"/>
    <x v="1"/>
    <x v="0"/>
    <x v="0"/>
  </r>
  <r>
    <s v="81.192.11.162/80/http-cookie-http-only-flag"/>
    <s v="81.192.11.162"/>
    <x v="16"/>
    <s v="10.8.0.72"/>
    <s v="WIP"/>
    <s v="21/10/2020: _x000a_Un redémarrage est nécessaire, et il est planifié le weekend. _x000a_En raison de l’arrêt de service un change sera initié."/>
    <s v="ll81-2-162-11-192-81.ll81-2.iam.net.ma"/>
    <s v="Linux"/>
    <s v="4.4"/>
    <n v="80"/>
    <s v="HTTP"/>
    <s v="HTTPD"/>
    <n v="5"/>
    <x v="1"/>
    <s v="http-cookie-http-only-flag"/>
    <s v="Missing HttpOnly Flag From Cookie"/>
    <s v="HttpOnly is an additional flag included in a Set-Cookie HTTP response header. If supported by the browser, using the HttpOnly flag when generating a cookie helps mitigate the risk of client side script accessing the protected cookie. If a browser that supports HttpOnly detects a cookie containing the HttpOnly flag, and client side script code attempts to read the cookie, the browser returns an empty string as the result. This causes the attack to fail by preventing the malicious (usually XSS) code from sending the data to an attacker's website."/>
    <s v="Add the HttpOnly to all cookies_x000d__x000a__x000d__x000a__x000d__x000a_For each cookie generated by your web-site, add the &quot;HttpOnly&quot; flag to the cookie. For example:_x000d__x000a__x000d__x000a__x000d__x000a_ Set-Cookie: &lt;name&gt;=&lt;value&gt;[; &lt;Max-Age&gt;=&lt;age&gt;] [; expires=&lt;date&gt;][; domain=&lt;domain_name&gt;] [; path=&lt;some_path&gt;][; secure][; HttpOnly]"/>
    <s v="Cookie is not marked as HttpOnly: 'big_pipe_nojs=1; path=/; domain=81.192.11.162'_x000d__x000a__x000d__x000a_URL:  http://81.192.11.162/en/big_pipe/no-js?destination=/en/home-page/home-page"/>
    <s v="http://msdn.microsoft.com/en-us/library/ms533046.aspx,https://www.owasp.org/index.php/HttpOnly"/>
    <s v=""/>
    <s v=""/>
    <d v="2011-05-31T00:00:00"/>
    <s v="ve"/>
    <n v="0"/>
    <s v=""/>
    <s v=""/>
    <s v="167 Days"/>
    <m/>
    <m/>
    <s v="Fixed"/>
    <x v="1"/>
    <d v="2021-03-01T00:00:00"/>
    <m/>
    <x v="0"/>
    <s v="NA"/>
    <s v="Not Fixed"/>
    <s v="Unix"/>
    <s v="Not Fixed"/>
    <s v="Unix"/>
    <d v="2020-10-20T00:00:00"/>
    <e v="#N/A"/>
    <s v="Point escaldé à La CDG ( Web site CGI)"/>
    <x v="1"/>
    <x v="0"/>
    <x v="1"/>
  </r>
  <r>
    <s v="81.192.11.162/80/http-generic-browsable-dir"/>
    <s v="81.192.11.162"/>
    <x v="16"/>
    <s v="10.8.0.72"/>
    <s v="WIP"/>
    <s v="21/10/2020: _x000a_Un redémarrage est nécessaire, et il est planifié le weekend. _x000a_En raison de l’arrêt de service un change sera initié."/>
    <s v="ll81-2-162-11-192-81.ll81-2.iam.net.ma"/>
    <s v="Linux"/>
    <s v="4.4"/>
    <n v="80"/>
    <s v="HTTP"/>
    <s v="HTTPD"/>
    <n v="5"/>
    <x v="1"/>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81.192.11.162/icons/small/?P=+ADw-script+AD4-alert(42)+ADw-/script+AD4- _x000d__x000a_HTTP response code was an expected 200_x000d__x000a_7: &lt;h1&gt;Index of /icons/small&lt;/h1&gt; 8: &lt;table&gt; 9: &lt;tr&gt;&lt;th valign=&quot;top&quot;&gt;&lt;img src=&quot;/icons/blank.gif&quot; alt=&quot;[ICO]&quot;&gt;&lt;/t... 10: &lt;tr&gt;&lt;th colspan=&quot;5&quot;&gt;&lt;hr&gt;&lt;/th&gt;&lt;/tr&gt; 11: ...IR]&quot;&gt;&lt;/td&gt;&lt;td&gt;&lt;a href=&quot;/icons/&quot;&gt;Parent Directory&lt;/a&gt;&lt;/td&gt;&lt;td..."/>
    <s v=""/>
    <s v=""/>
    <s v=""/>
    <d v="2001-01-01T00:00:00"/>
    <s v="ve"/>
    <n v="0"/>
    <s v=""/>
    <s v=""/>
    <s v="167 Days"/>
    <m/>
    <m/>
    <s v="Fixed"/>
    <x v="1"/>
    <d v="2021-03-01T00:00:00"/>
    <m/>
    <x v="0"/>
    <s v="NA"/>
    <s v="Fixed"/>
    <s v="Unix"/>
    <s v="Fixed"/>
    <s v="Unix"/>
    <d v="2020-10-20T00:00:00"/>
    <e v="#N/A"/>
    <s v="Point escaldé à La CDG ( Web site CGI)"/>
    <x v="1"/>
    <x v="0"/>
    <x v="0"/>
  </r>
  <r>
    <s v="81.192.11.162/80/http-generic-click-jacking"/>
    <s v="81.192.11.162"/>
    <x v="16"/>
    <s v="10.8.0.72"/>
    <s v="WIP"/>
    <s v="21/10/2020: _x000a_Un redémarrage est nécessaire, et il est planifié le weekend. _x000a_En raison de l’arrêt de service un change sera initié."/>
    <s v="ll81-2-162-11-192-81.ll81-2.iam.net.ma"/>
    <s v="Linux"/>
    <s v="4.4"/>
    <n v="80"/>
    <s v="HTTP"/>
    <s v="HTTPD"/>
    <n v="4"/>
    <x v="1"/>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81.192.11.162/icons/small/?P=+ADw-script+AD4-alert(42)+ADw-/script+AD4-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67 Days"/>
    <m/>
    <m/>
    <s v="Fixed"/>
    <x v="1"/>
    <d v="2021-03-01T00:00:00"/>
    <m/>
    <x v="0"/>
    <s v="NA"/>
    <s v="Fixed"/>
    <s v="Unix"/>
    <s v="Fixed"/>
    <s v="Unix"/>
    <d v="2020-10-20T00:00:00"/>
    <e v="#N/A"/>
    <s v="Point escaldé à La CDG ( Web site CGI)"/>
    <x v="1"/>
    <x v="0"/>
    <x v="0"/>
  </r>
  <r>
    <s v="81.192.11.162/80/http-generic-script-blind-sql-injection"/>
    <s v="81.192.11.162"/>
    <x v="16"/>
    <s v="10.8.0.72"/>
    <s v="New"/>
    <s v="UNIX"/>
    <s v="ll81-2-162-11-192-81.ll81-2.iam.net.ma"/>
    <s v="Linux"/>
    <s v="4.0"/>
    <n v="80"/>
    <s v="HTTP"/>
    <s v="HTTPD"/>
    <n v="9"/>
    <x v="3"/>
    <s v="http-generic-script-blind-sql-injection"/>
    <s v="Blind SQL Injection"/>
    <s v="Web applications usually store information in a SQL server in order to, for example, show them to other users. When the application developer uses unvalidated user controlled variables as part of a SQL query; a SQL injection or Blind SQL injection vulnerability is being introduced into the application._x000d__x000a__x000d__x000a_When an attacker executes SQL Injection attacks, sometimes the server responds with error messages from the database server complaining that the SQL Query's syntax is incorrect. Blind SQL injection is identical to normal SQL Injections except that when an attacker attempts to exploit an application, rather then getting a potentially useful error message, they get a generic page specified by the developer instead. This makes exploiting a potential Blind SQL Injection attack more difficult but not impossible. An attacker can still retrieve valuable information and potentially execute operating system commands by asking a series of True and False questions through SQL statements."/>
    <s v="Fix Blind SQL Injection_x000d__x000a__x000d__x000a__x000d__x000a_Ensure that the Web application validates and encodes user input before using it in a SQL query."/>
    <s v="Found blind SQL injection on  http://81.192.11.162/fr/  using method POST_x000d__x000a__x000d__x000a_Parameter field_confirm behaves differently with the following payloads:_x000d__x000a__x000d__x000a_ * 1 OR 29812=29812_x000d__x000a__x000d__x000a_ * 1 AND 29812=29813"/>
    <s v="http://en.wikipedia.org/wiki/SQL_injection,http://www.owasp.org/index.php/Blind_SQL_Injection"/>
    <s v=""/>
    <s v=""/>
    <d v="2005-01-01T00:00:00"/>
    <s v="ve"/>
    <n v="0"/>
    <s v=""/>
    <s v=""/>
    <s v="1 Day"/>
    <m/>
    <m/>
    <s v="Fixed"/>
    <x v="1"/>
    <d v="2021-03-01T00:00:00"/>
    <m/>
    <x v="1"/>
    <s v="NA"/>
    <s v="New"/>
    <s v="Unix"/>
    <m/>
    <m/>
    <d v="2020-11-20T00:00:00"/>
    <e v="#N/A"/>
    <s v="Point escaldé à La CDG ( Web site CGI)"/>
    <x v="1"/>
    <x v="0"/>
    <x v="0"/>
  </r>
  <r>
    <s v="81.192.11.162/80/http-generic-sensitive-form-data-unencrypted"/>
    <s v="81.192.11.162"/>
    <x v="16"/>
    <s v="10.8.0.72"/>
    <s v="WIP"/>
    <s v="21/10/2020: _x000a_Un redémarrage est nécessaire, et il est planifié le weekend. _x000a_En raison de l’arrêt de service un change sera initié."/>
    <s v="ll81-2-162-11-192-81.ll81-2.iam.net.ma"/>
    <s v="Linux"/>
    <s v="4.4"/>
    <n v="80"/>
    <s v="HTTP"/>
    <s v="HTTPD"/>
    <n v="4"/>
    <x v="1"/>
    <s v="http-generic-sensitive-form-data-unencrypted"/>
    <s v="Form action submits sensitive data in the clear"/>
    <s v="A web form contains fields with data that is probably sensitive in nature. This form data is submitted over an unencrypted connection, which could allow hackers to sniff the network and view the data in plaintext."/>
    <s v="Use the HTTPS (HTTP over SSL) protocol to submit sensitive form data_x000d__x000a__x000d__x000a__x000d__x000a_Enable the HTTPS protocol on the server. Change the &quot;action&quot; URL of the form tag to use the HTTPS protocol (&quot;https://...&quot;) instead of just the HTTP protocol (&quot;http://...&quot;). All sensitive data should be sent over HTTPS instead of over HTTP."/>
    <s v="* Running HTTP service_x000d__x000a__x000d__x000a__x000d__x000a__x000d__x000a_HTTP request to  http://81.192.11.162/en/user/login _x000d__x000a_HTTP response code was an expected 200_x000d__x000a_188: &lt;/div&gt; 189: &lt;/div&gt; 190: &lt;div class=&quot;js-form-item form-item js-form-type-password form-item-... 191: &lt;label for=&quot;edit-pass&quot; class=&quot;js-form-required form-required&quot;... 192: &lt;input data-drupal-selector=&quot;edit-pass&quot; aria-describedby=&quot;edit..."/>
    <s v=""/>
    <s v=""/>
    <s v=""/>
    <d v="2004-11-01T00:00:00"/>
    <s v="ve"/>
    <n v="0"/>
    <s v=""/>
    <s v=""/>
    <s v="167 Days"/>
    <m/>
    <m/>
    <s v="Fixed"/>
    <x v="1"/>
    <d v="2021-03-01T00:00:00"/>
    <m/>
    <x v="0"/>
    <s v="NA"/>
    <s v="Not Fixed"/>
    <s v="Unix"/>
    <s v="Not Fixed"/>
    <s v="Unix"/>
    <d v="2020-10-20T00:00:00"/>
    <e v="#N/A"/>
    <s v="Point escaldé à La CDG ( Web site CGI)"/>
    <x v="1"/>
    <x v="0"/>
    <x v="1"/>
  </r>
  <r>
    <s v="81.192.11.162/80/spider-sensitive-form-data-autocomplete-enabled"/>
    <s v="81.192.11.162"/>
    <x v="16"/>
    <s v="10.8.0.72"/>
    <s v="New"/>
    <s v="NA"/>
    <s v="ll81-2-162-11-192-81.ll81-2.iam.net.ma"/>
    <s v="Linux"/>
    <s v="4.0"/>
    <n v="80"/>
    <s v="HTTP"/>
    <s v="HTTPD"/>
    <n v="3"/>
    <x v="0"/>
    <s v="spider-sensitive-form-data-autocomplete-enabled"/>
    <s v="Autocomplete enabled for sensitive HTML form fields"/>
    <s v="The Web form contains passwords or other sensitive text fields for which the browser auto-complete feature is enabled. Auto-complete stores completed form field and passwords locally in the browser, so that these fields are filled automatically when the user visits the site again._x000d__x000a__x000d__x000a_Sensitive data and passwords can be stolen if the user's system is compromised._x000d__x000a__x000d__x000a_Note, however, that form auto-complete is a non-standard, browser-side feature that each browser handles differently. Opera, for example, disregards the feature, requiring the user to enter credentials for each Web site visit."/>
    <s v="Disable autocomplete for all sensitive fields_x000d__x000a__x000d__x000a__x000d__x000a_For each sensitive field in the HTML, set the &quot;autocomplete&quot; attribute to &quot;off&quot;. For example:_x000d__x000a__x000d__x000a_ &lt;input type=&quot;password&quot; autocomplete=&quot;off&quot; name=&quot;pw&quot;&gt; _x000d__x000a__x000d__x000a_If there are many fields, it may be faster to set the &quot;autocomplete&quot; attribute to &quot;off&quot; in the outer &lt;form&gt; tag. For example:_x000d__x000a__x000d__x000a_ &lt;form action=&quot;/login.jsp&quot; autocomplete=&quot;off&quot; name=&quot;pw&quot;&gt; &lt;input type=&quot;password&quot; name=&quot;pw&quot;&gt; &lt;/form&gt;"/>
    <s v="Form with action http://81.192.11.162/user/register does not explicitly disable autocomplete for the following sensitive fields: pass[pass1],pass[pass2]_x000a_Form with action http://81.192.11.162/en/user/register does not explicitly disable autocomplete for the following sensitive fields: pass[pass1],pass[pass2]_x000a_Form with action http://81.192.11.162/user/register/ does not explicitly disable autocomplete for the following sensitive fields: pass[pass1],pass[pass2]_x000a_Form with action http://81.192.11.162/fr/user/register does not explicitly disable autocomplete for the following sensitive fields: pass[pass1],pass[pass2]"/>
    <s v=""/>
    <s v=""/>
    <s v=""/>
    <d v="2011-04-01T00:00:00"/>
    <s v="ve"/>
    <n v="0"/>
    <s v=""/>
    <s v=""/>
    <s v="1 Day"/>
    <m/>
    <m/>
    <s v="Fixed"/>
    <x v="1"/>
    <d v="2021-03-01T00:00:00"/>
    <m/>
    <x v="3"/>
    <s v="NA"/>
    <e v="#N/A"/>
    <s v="Client"/>
    <m/>
    <m/>
    <d v="2020-12-20T00:00:00"/>
    <e v="#N/A"/>
    <s v="Point escaldé à La CDG ( Web site CGI)"/>
    <x v="1"/>
    <x v="0"/>
    <x v="1"/>
  </r>
  <r>
    <s v="81.192.11.164/0/generic-tcp-timestamp"/>
    <s v="81.192.11.164"/>
    <x v="17"/>
    <s v="10.8.0.112_x000a_10.9.0.8"/>
    <s v="Arrété"/>
    <m/>
    <s v="ll81-2-164-11-192-81.ll81-2.iam.net.ma"/>
    <s v="Linux"/>
    <s v="4.0"/>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s v="Serveur injoignable depuis 7/15/2020."/>
    <s v="Fixed"/>
    <x v="1"/>
    <d v="2021-03-01T00:00:00"/>
    <m/>
    <x v="0"/>
    <s v="NA"/>
    <s v="Fixed"/>
    <s v="Unix"/>
    <s v="Fixed"/>
    <s v="Unix"/>
    <d v="2020-10-20T00:00:00"/>
    <e v="#N/A"/>
    <s v="Point escaldé à La CDG ( Web site CGI)"/>
    <x v="1"/>
    <x v="0"/>
    <x v="1"/>
  </r>
  <r>
    <s v="81.192.11.164/443/http-generic-browsable-dir"/>
    <s v="81.192.11.164"/>
    <x v="17"/>
    <s v="10.8.0.112_x000a_10.9.0.8"/>
    <s v="Arrété"/>
    <s v="21/10/2020: _x000a_Un redémarrage est nécessaire, et il est planifié le weekend. _x000a_En raison de l’arrêt de service un change sera initié."/>
    <s v="ll81-2-164-11-192-81.ll81-2.iam.net.ma"/>
    <s v="Linux"/>
    <s v="4.0"/>
    <n v="443"/>
    <s v="HTTPS"/>
    <s v="HTTPD"/>
    <n v="5"/>
    <x v="1"/>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64/icons/small/ _x000d__x000a_HTTP response code was an expected 200_x000d__x000a_5: &lt;/head&gt; 6: &lt;body&gt; 7: &lt;h1&gt;Index of /icons/small&lt;/h1&gt; 8: &lt;table&gt; 9: ...CO]&quot;&gt;&lt;/th&gt;&lt;th&gt;&lt;a href=&quot;?C=N;O=D&quot;&gt;Name&lt;/a&gt;&lt;/th&gt;&lt;th&gt;&lt;a href=&quot;?C=M;O=A..."/>
    <s v=""/>
    <s v=""/>
    <s v=""/>
    <d v="2001-01-01T00:00:00"/>
    <s v="ve"/>
    <n v="0"/>
    <s v=""/>
    <s v=""/>
    <s v="128 Days"/>
    <m/>
    <s v="Serveur injoignable depuis 7/15/2020."/>
    <s v="Not Fixed 'Encours d'investigation) "/>
    <x v="1"/>
    <d v="2021-03-01T00:00:00"/>
    <m/>
    <x v="0"/>
    <s v="NA"/>
    <s v="Not Fixed"/>
    <s v="Unix"/>
    <s v="Not Fixed"/>
    <s v="Unix"/>
    <d v="2020-10-20T00:00:00"/>
    <e v="#N/A"/>
    <s v="Point escaldé à La CDG ( Web site CGI)"/>
    <x v="1"/>
    <x v="3"/>
    <x v="1"/>
  </r>
  <r>
    <s v="81.192.11.164/443/http-generic-click-jacking"/>
    <s v="81.192.11.164"/>
    <x v="17"/>
    <s v="10.8.0.112_x000a_10.9.0.8"/>
    <s v="Arrété"/>
    <s v="21/10/2020: _x000a_Un redémarrage est nécessaire, et il est planifié le weekend. _x000a_En raison de l’arrêt de service un change sera initié."/>
    <s v="ll81-2-164-11-192-81.ll81-2.iam.net.ma"/>
    <s v="Linux"/>
    <s v="4.0"/>
    <n v="443"/>
    <s v="HTTPS"/>
    <s v="HTTPD"/>
    <n v="4"/>
    <x v="1"/>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64/icons/small/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s v=""/>
    <s v=""/>
    <d v="2008-09-17T00:00:00"/>
    <s v="ve"/>
    <n v="0"/>
    <s v=""/>
    <s v=""/>
    <s v="128 Days"/>
    <m/>
    <s v="Serveur injoignable depuis 7/15/2020."/>
    <s v="Not Fixed 'Encours d'investigation) "/>
    <x v="1"/>
    <d v="2021-03-01T00:00:00"/>
    <m/>
    <x v="0"/>
    <s v="NA"/>
    <s v="Not Fixed"/>
    <s v="Unix"/>
    <s v="Not Fixed"/>
    <s v="Unix"/>
    <d v="2020-10-20T00:00:00"/>
    <e v="#N/A"/>
    <s v="Point escaldé à La CDG ( Web site CGI)"/>
    <x v="1"/>
    <x v="3"/>
    <x v="1"/>
  </r>
  <r>
    <s v="81.192.11.165/0/generic-tcp-timestamp"/>
    <s v="81.192.11.165"/>
    <x v="18"/>
    <s v="10.8.0.48_x000a_10.9.0.113"/>
    <s v="Open"/>
    <m/>
    <s v="ll81-2-165-11-192-81.ll81-2.iam.net.ma"/>
    <s v="Linux"/>
    <s v="2.6.32"/>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m/>
    <s v="Fixed"/>
    <x v="1"/>
    <d v="2021-03-01T00:00:00"/>
    <m/>
    <x v="0"/>
    <s v="NA"/>
    <s v="Fixed"/>
    <s v="NA"/>
    <s v="Fixed"/>
    <s v="NA"/>
    <d v="2020-10-20T00:00:00"/>
    <e v="#N/A"/>
    <s v="SI décommissionné (FIPAR)"/>
    <x v="1"/>
    <x v="0"/>
    <x v="0"/>
  </r>
  <r>
    <s v="81.192.11.165/22/ssh-3des-ciphers"/>
    <s v="81.192.11.165"/>
    <x v="18"/>
    <s v="10.8.0.48_x000a_10.9.0.113"/>
    <s v="Open"/>
    <m/>
    <s v="ll81-2-165-11-192-81.ll81-2.iam.net.ma"/>
    <s v="Linux"/>
    <s v="2.6.32"/>
    <n v="22"/>
    <s v="SSH"/>
    <s v="OpenSSH 5.3"/>
    <n v="1"/>
    <x v="0"/>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s v=""/>
    <s v=""/>
    <d v="2009-02-01T00:00:00"/>
    <s v="vv"/>
    <n v="0"/>
    <s v=""/>
    <s v=""/>
    <s v="168 Days"/>
    <m/>
    <m/>
    <s v="Fixed"/>
    <x v="1"/>
    <d v="2021-03-01T00:00:00"/>
    <m/>
    <x v="0"/>
    <s v="NA"/>
    <s v="Not Fixed"/>
    <s v="NA"/>
    <s v="Not Fixed"/>
    <s v="NA"/>
    <d v="2020-10-20T00:00:00"/>
    <e v="#N/A"/>
    <s v="SI décommissionné (FIPAR)"/>
    <x v="1"/>
    <x v="0"/>
    <x v="0"/>
  </r>
  <r>
    <s v="81.192.11.165/22/ssh-cbc-ciphers"/>
    <s v="81.192.11.165"/>
    <x v="18"/>
    <s v="10.8.0.48_x000a_10.9.0.113"/>
    <s v="Open"/>
    <m/>
    <s v="ll81-2-165-11-192-81.ll81-2.iam.net.ma"/>
    <s v="Linux"/>
    <s v="2.6.32"/>
    <n v="22"/>
    <s v="SSH"/>
    <s v="OpenSSH 5.3"/>
    <n v="3"/>
    <x v="0"/>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28-cbc,3des-cbc,blowfish-cbc,cast128-cbc,aes192-cbc,aes256-cbc"/>
    <s v="https://www.kb.cert.org/vuls/id/958563"/>
    <s v=""/>
    <s v=""/>
    <d v="2013-02-08T00:00:00"/>
    <s v="vv"/>
    <n v="0"/>
    <s v=""/>
    <s v=""/>
    <s v="168 Days"/>
    <m/>
    <m/>
    <s v="Fixed"/>
    <x v="1"/>
    <d v="2021-03-01T00:00:00"/>
    <m/>
    <x v="0"/>
    <s v="NA"/>
    <s v="Not Fixed"/>
    <s v="NA"/>
    <s v="Not Fixed"/>
    <s v="NA"/>
    <d v="2020-10-20T00:00:00"/>
    <e v="#N/A"/>
    <s v="SI décommissionné (FIPAR)"/>
    <x v="1"/>
    <x v="0"/>
    <x v="0"/>
  </r>
  <r>
    <s v="81.192.11.165/22/ssh-cve-2015-4000"/>
    <s v="81.192.11.165"/>
    <x v="18"/>
    <s v="10.8.0.48_x000a_10.9.0.113"/>
    <s v="Open"/>
    <m/>
    <s v="ll81-2-165-11-192-81.ll81-2.iam.net.ma"/>
    <s v="Linux"/>
    <s v="2.6.32"/>
    <n v="22"/>
    <s v="SSH"/>
    <s v="OpenSSH 5.3"/>
    <n v="4"/>
    <x v="1"/>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s v="http://nvd.nist.gov/vuln/detail/CVE-2015-4000"/>
    <d v="2015-05-20T00:00:00"/>
    <s v="vv"/>
    <n v="0"/>
    <s v=""/>
    <s v=""/>
    <s v="168 Days"/>
    <m/>
    <m/>
    <s v="Fixed"/>
    <x v="1"/>
    <d v="2021-03-01T00:00:00"/>
    <m/>
    <x v="0"/>
    <s v="NA"/>
    <s v="Not Fixed"/>
    <s v="NA"/>
    <s v="Not Fixed"/>
    <s v="NA"/>
    <d v="2020-10-20T00:00:00"/>
    <e v="#N/A"/>
    <s v="SI décommissionné (FIPAR)"/>
    <x v="1"/>
    <x v="0"/>
    <x v="0"/>
  </r>
  <r>
    <s v="81.192.11.165/22/ssh-cve-2016-2183-sweet32"/>
    <s v="81.192.11.165"/>
    <x v="18"/>
    <s v="10.8.0.48_x000a_10.9.0.113"/>
    <s v="Open"/>
    <m/>
    <s v="ll81-2-165-11-192-81.ll81-2.iam.net.ma"/>
    <s v="Linux"/>
    <s v="2.6.32"/>
    <n v="22"/>
    <s v="SSH"/>
    <s v="OpenSSH 5.3"/>
    <n v="5"/>
    <x v="1"/>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s v="http://nvd.nist.gov/vuln/detail/CVE-2016-2183"/>
    <d v="2016-08-24T00:00:00"/>
    <s v="vv"/>
    <n v="1"/>
    <s v="Expert"/>
    <s v="http://www.exploit-db.com/exploits/42091"/>
    <s v="168 Days"/>
    <m/>
    <m/>
    <s v="Fixed"/>
    <x v="1"/>
    <d v="2021-03-01T00:00:00"/>
    <m/>
    <x v="0"/>
    <s v="NA"/>
    <s v="Not Fixed"/>
    <s v="NA"/>
    <s v="Not Fixed"/>
    <s v="NA"/>
    <d v="2020-10-20T00:00:00"/>
    <e v="#N/A"/>
    <s v="SI décommissionné (FIPAR)"/>
    <x v="1"/>
    <x v="0"/>
    <x v="0"/>
  </r>
  <r>
    <s v="81.192.11.165/22/ssh-rc4-ciphers"/>
    <s v="81.192.11.165"/>
    <x v="18"/>
    <s v="10.8.0.48_x000a_10.9.0.113"/>
    <s v="Open"/>
    <m/>
    <s v="ll81-2-165-11-192-81.ll81-2.iam.net.ma"/>
    <s v="Linux"/>
    <s v="2.6.32"/>
    <n v="22"/>
    <s v="SSH"/>
    <s v="OpenSSH 5.3"/>
    <n v="4"/>
    <x v="1"/>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256,arcfour128,arcfour"/>
    <s v="http://www.openssh.com/txt/release-6.7"/>
    <s v=""/>
    <s v=""/>
    <d v="2013-03-12T00:00:00"/>
    <s v="vv"/>
    <n v="0"/>
    <s v=""/>
    <s v=""/>
    <s v="168 Days"/>
    <m/>
    <m/>
    <s v="Fixed"/>
    <x v="1"/>
    <d v="2021-03-01T00:00:00"/>
    <m/>
    <x v="0"/>
    <s v="NA"/>
    <s v="Not Fixed"/>
    <s v="NA"/>
    <s v="Not Fixed"/>
    <s v="NA"/>
    <d v="2020-10-20T00:00:00"/>
    <e v="#N/A"/>
    <s v="SI décommissionné (FIPAR)"/>
    <x v="1"/>
    <x v="0"/>
    <x v="0"/>
  </r>
  <r>
    <s v="81.192.11.165/22/ssh-weak-kex-algorithms"/>
    <s v="81.192.11.165"/>
    <x v="18"/>
    <s v="10.8.0.48_x000a_10.9.0.113"/>
    <s v="Open"/>
    <m/>
    <s v="ll81-2-165-11-192-81.ll81-2.iam.net.ma"/>
    <s v="Linux"/>
    <s v="2.6.32"/>
    <n v="22"/>
    <s v="SSH"/>
    <s v="OpenSSH 5.3"/>
    <n v="4"/>
    <x v="1"/>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s v=""/>
    <s v=""/>
    <d v="2017-07-13T00:00:00"/>
    <s v="vv"/>
    <n v="0"/>
    <s v=""/>
    <s v=""/>
    <s v="168 Days"/>
    <m/>
    <m/>
    <s v="Fixed"/>
    <x v="1"/>
    <d v="2021-03-01T00:00:00"/>
    <m/>
    <x v="0"/>
    <s v="NA"/>
    <s v="Not Fixed"/>
    <s v="NA"/>
    <s v="Not Fixed"/>
    <s v="NA"/>
    <d v="2020-10-20T00:00:00"/>
    <e v="#N/A"/>
    <s v="SI décommissionné (FIPAR)"/>
    <x v="1"/>
    <x v="0"/>
    <x v="0"/>
  </r>
  <r>
    <s v="81.192.11.165/22/ssh-weak-message-authentication-code-algorithms"/>
    <s v="81.192.11.165"/>
    <x v="18"/>
    <s v="10.8.0.48_x000a_10.9.0.113"/>
    <s v="Open"/>
    <m/>
    <s v="ll81-2-165-11-192-81.ll81-2.iam.net.ma"/>
    <s v="Linux"/>
    <s v="2.6.32"/>
    <n v="22"/>
    <s v="SSH"/>
    <s v="OpenSSH 5.3"/>
    <n v="4"/>
    <x v="1"/>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hmac-sha1-96,hmac-md5-96"/>
    <s v="http://csrc.nist.gov/archive/ipsec/papers/rfc2403-hmacmd5.txt"/>
    <s v=""/>
    <s v=""/>
    <d v="2014-01-06T00:00:00"/>
    <s v="vv"/>
    <n v="0"/>
    <s v=""/>
    <s v=""/>
    <s v="168 Days"/>
    <m/>
    <m/>
    <s v="Fixed"/>
    <x v="1"/>
    <d v="2021-03-01T00:00:00"/>
    <m/>
    <x v="0"/>
    <s v="NA"/>
    <s v="Not Fixed"/>
    <s v="NA"/>
    <s v="Not Fixed"/>
    <s v="NA"/>
    <d v="2020-10-20T00:00:00"/>
    <e v="#N/A"/>
    <s v="SI décommissionné (FIPAR)"/>
    <x v="1"/>
    <x v="0"/>
    <x v="0"/>
  </r>
  <r>
    <s v="81.192.11.165/443/certificate-common-name-mismatch"/>
    <s v="81.192.11.165"/>
    <x v="18"/>
    <s v="10.8.0.48_x000a_10.9.0.113"/>
    <s v="WIP"/>
    <s v="21/10/2020: _x000a_Un redémarrage est nécessaire, et il est planifié le weekend. _x000a_En raison de l’arrêt de service un change sera initié."/>
    <s v="ll81-2-165-11-192-81.ll81-2.iam.net.ma"/>
    <s v="Linux"/>
    <s v="2.6.32"/>
    <n v="443"/>
    <s v="HTTPS"/>
    <s v="PHP"/>
    <n v="7"/>
    <x v="2"/>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fipar.ma does not match target name specified in the site._x000d__x000a__x000d__x000a_ * Subject CN fipar.ma does not match DNS name specified in the site._x000d__x000a__x000d__x000a_ * Subject CN resolved IP address differs from node IP address specified in the site._x000d__x000a__x000d__x000a_ * Subject Alternative Name fipar.ma does not match target name specified in the site._x000d__x000a__x000d__x000a_ * Subject Alternative Name www.fipar.ma does not match target name specified in the site._x000d__x000a__x000d__x000a_ * Subject Alternative Name fipar.ma does not match DNS name specified in the site._x000d__x000a__x000d__x000a_ * Subject Alternative Name www.fipar.ma does not match DNS name specified in the site."/>
    <s v=""/>
    <s v=""/>
    <s v=""/>
    <d v="2007-08-03T00:00:00"/>
    <s v="ve"/>
    <n v="0"/>
    <s v=""/>
    <s v=""/>
    <s v="161 Days"/>
    <m/>
    <m/>
    <s v="Fixed"/>
    <x v="1"/>
    <d v="2021-03-01T00:00:00"/>
    <m/>
    <x v="0"/>
    <s v="NA"/>
    <s v="Faux Positive"/>
    <s v="NA"/>
    <s v="Faux Positive"/>
    <s v="NA"/>
    <d v="2020-10-20T00:00:00"/>
    <e v="#N/A"/>
    <s v="SI décommissionné (FIPAR)"/>
    <x v="1"/>
    <x v="0"/>
    <x v="0"/>
  </r>
  <r>
    <s v="81.192.11.165/443/http-generic-browsable-dir"/>
    <s v="81.192.11.165"/>
    <x v="18"/>
    <s v="10.8.0.48_x000a_10.9.0.113"/>
    <s v="WIP"/>
    <s v="21/10/2020: _x000a_Un redémarrage est nécessaire, et il est planifié le weekend. _x000a_En raison de l’arrêt de service un change sera initié."/>
    <s v="ll81-2-165-11-192-81.ll81-2.iam.net.ma"/>
    <s v="Linux"/>
    <s v="2.6.32"/>
    <n v="443"/>
    <s v="HTTPS"/>
    <s v="PHP"/>
    <n v="5"/>
    <x v="1"/>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65/icons/small/ _x000d__x000a_HTTP response code was an expected 200_x000d__x000a_4: &lt;title&gt;Index of /icons/small&lt;/title&gt; 5: &lt;/head&gt; 6: &lt;body&gt; 7: &lt;h1&gt;Index of /icons/small&lt;/h1&gt; 8: ...CO]&quot;&gt;&lt;/th&gt;&lt;th&gt;&lt;a href=&quot;?C=N;O=D&quot;&gt;Name&lt;/a&gt;&lt;/th&gt;&lt;th&gt;&lt;a href=&quot;?C=M;O=A..."/>
    <s v=""/>
    <s v=""/>
    <s v=""/>
    <d v="2001-01-01T00:00:00"/>
    <s v="ve"/>
    <n v="0"/>
    <s v=""/>
    <s v=""/>
    <s v="128 Days"/>
    <m/>
    <m/>
    <s v="Fixed"/>
    <x v="1"/>
    <d v="2021-03-01T00:00:00"/>
    <m/>
    <x v="0"/>
    <s v="NA"/>
    <s v="In Progress"/>
    <s v="NA"/>
    <s v="In Progress"/>
    <s v="NA"/>
    <d v="2020-10-20T00:00:00"/>
    <e v="#N/A"/>
    <s v="SI décommissionné (FIPAR)"/>
    <x v="1"/>
    <x v="0"/>
    <x v="0"/>
  </r>
  <r>
    <s v="81.192.11.165/443/ssl-3des-ciphers"/>
    <s v="81.192.11.165"/>
    <x v="18"/>
    <s v="10.8.0.48_x000a_10.9.0.113"/>
    <s v="WIP"/>
    <s v="21/10/2020: _x000a_Un redémarrage est nécessaire, et il est planifié le weekend. _x000a_En raison de l’arrêt de service un change sera initié."/>
    <s v="ll81-2-165-11-192-81.ll81-2.iam.net.ma"/>
    <s v="Linux"/>
    <s v="2.6.32"/>
    <n v="443"/>
    <s v="HTTPS"/>
    <s v="PHP"/>
    <n v="1"/>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61 Days"/>
    <m/>
    <m/>
    <s v="Fixed"/>
    <x v="1"/>
    <d v="2021-03-01T00:00:00"/>
    <m/>
    <x v="0"/>
    <s v="NA"/>
    <s v="In Progress"/>
    <s v="NA"/>
    <s v="In Progress"/>
    <s v="NA"/>
    <d v="2020-10-20T00:00:00"/>
    <e v="#N/A"/>
    <s v="SI décommissionné (FIPAR)"/>
    <x v="1"/>
    <x v="0"/>
    <x v="0"/>
  </r>
  <r>
    <s v="81.192.11.165/443/ssl-cve-2011-3389-beast"/>
    <s v="81.192.11.165"/>
    <x v="18"/>
    <s v="10.8.0.48_x000a_10.9.0.113"/>
    <s v="WIP"/>
    <s v="21/10/2020: _x000a_Un redémarrage est nécessaire, et il est planifié le weekend. _x000a_En raison de l’arrêt de service un change sera initié."/>
    <s v="ll81-2-165-11-192-81.ll81-2.iam.net.ma"/>
    <s v="Linux"/>
    <s v="2.6.32"/>
    <n v="443"/>
    <s v="HTTPS"/>
    <s v="PHP"/>
    <n v="4"/>
    <x v="1"/>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ECDHE_RSA_WITH_3DES_EDE_CBC_SHA_x000d__x000a__x000d__x000a_       * TLS_ECDHE_RSA_WITH_AES_128_CBC_SHA_x000d__x000a__x000d__x000a_       * TLS_ECDHE_RSA_WITH_AES_256_CBC_SHA_x000d__x000a__x000d__x000a_       * TLS_RSA_WITH_AES_128_CBC_SHA_x000d__x000a__x000d__x000a_       * TLS_RSA_WITH_AES_256_CBC_SHA"/>
    <s v="http://vnhacker.blogspot.co.uk/2011/09/beast.html"/>
    <s v="CVE-2011-3389"/>
    <s v="http://nvd.nist.gov/vuln/detail/CVE-2011-3389"/>
    <d v="2011-09-06T00:00:00"/>
    <s v="ve"/>
    <n v="0"/>
    <s v=""/>
    <s v=""/>
    <s v="161 Days"/>
    <m/>
    <m/>
    <s v="Fixed"/>
    <x v="1"/>
    <d v="2021-03-01T00:00:00"/>
    <m/>
    <x v="0"/>
    <s v="NA"/>
    <s v="In Progress"/>
    <s v="NA"/>
    <s v="In Progress"/>
    <s v="NA"/>
    <d v="2020-10-20T00:00:00"/>
    <e v="#N/A"/>
    <s v="SI décommissionné (FIPAR)"/>
    <x v="1"/>
    <x v="0"/>
    <x v="0"/>
  </r>
  <r>
    <s v="81.192.11.165/443/ssl-cve-2016-2183-sweet32"/>
    <s v="81.192.11.165"/>
    <x v="18"/>
    <s v="10.8.0.48_x000a_10.9.0.113"/>
    <s v="WIP"/>
    <s v="21/10/2020: _x000a_Un redémarrage est nécessaire, et il est planifié le weekend. _x000a_En raison de l’arrêt de service un change sera initié."/>
    <s v="ll81-2-165-11-192-81.ll81-2.iam.net.ma"/>
    <s v="Linux"/>
    <s v="2.6.32"/>
    <n v="443"/>
    <s v="HTTPS"/>
    <s v="PHP"/>
    <n v="5"/>
    <x v="1"/>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s://sweet32.info/,https://www.openssl.org/blog/blog/2016/08/24/sweet32,https://access.redhat.com/articles/2548661"/>
    <s v="CVE-2016-2183"/>
    <s v="http://nvd.nist.gov/vuln/detail/CVE-2016-2183"/>
    <d v="2016-08-24T00:00:00"/>
    <s v="ve"/>
    <n v="1"/>
    <s v="Expert"/>
    <s v="http://www.exploit-db.com/exploits/42091"/>
    <s v="161 Days"/>
    <m/>
    <m/>
    <s v="Fixed"/>
    <x v="1"/>
    <d v="2021-03-01T00:00:00"/>
    <m/>
    <x v="0"/>
    <s v="NA"/>
    <s v="In Progress"/>
    <s v="NA"/>
    <s v="In Progress"/>
    <s v="NA"/>
    <d v="2020-10-20T00:00:00"/>
    <e v="#N/A"/>
    <s v="SI décommissionné (FIPAR)"/>
    <x v="1"/>
    <x v="0"/>
    <x v="0"/>
  </r>
  <r>
    <s v="81.192.11.165/443/ssl-static-key-ciphers"/>
    <s v="81.192.11.165"/>
    <x v="18"/>
    <s v="10.8.0.48_x000a_10.9.0.113"/>
    <s v="WIP"/>
    <s v="21/10/2020: _x000a_Un redémarrage est nécessaire, et il est planifié le weekend. _x000a_En raison de l’arrêt de service un change sera initié."/>
    <s v="ll81-2-165-11-192-81.ll81-2.iam.net.ma"/>
    <s v="Linux"/>
    <s v="2.6.32"/>
    <n v="443"/>
    <s v="HTTPS"/>
    <s v="PHP"/>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61 Days"/>
    <m/>
    <m/>
    <s v="Fixed"/>
    <x v="1"/>
    <d v="2021-03-01T00:00:00"/>
    <m/>
    <x v="0"/>
    <s v="NA"/>
    <s v="In Progress"/>
    <s v="NA"/>
    <s v="In Progress"/>
    <s v="NA"/>
    <d v="2020-10-20T00:00:00"/>
    <e v="#N/A"/>
    <s v="SI décommissionné (FIPAR)"/>
    <x v="1"/>
    <x v="0"/>
    <x v="0"/>
  </r>
  <r>
    <s v="81.192.11.165/443/tls-server-cert-expired"/>
    <s v="81.192.11.165"/>
    <x v="18"/>
    <s v="10.8.0.48_x000a_10.9.0.113"/>
    <s v="New"/>
    <s v="UNIX"/>
    <s v="ll81-2-165-11-192-81.ll81-2.iam.net.ma"/>
    <s v="Linux"/>
    <s v="2.6.32"/>
    <n v="443"/>
    <s v="HTTPS"/>
    <s v="PHP"/>
    <n v="7"/>
    <x v="2"/>
    <s v="tls-server-cert-expired"/>
    <s v="X.509 Server Certificate Is Invalid/Expired"/>
    <s v="The TLS/SSL server's X.509 certificate either contains a start date in the future or is expired.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Fri, 13 Nov 2020 13:00:00 WEST"/>
    <s v=""/>
    <s v=""/>
    <s v=""/>
    <d v="1995-01-01T00:00:00"/>
    <s v="ve"/>
    <n v="0"/>
    <s v=""/>
    <s v=""/>
    <s v="3 Days"/>
    <m/>
    <m/>
    <s v="Fixed"/>
    <x v="1"/>
    <d v="2021-03-01T00:00:00"/>
    <m/>
    <x v="1"/>
    <s v="NA"/>
    <s v="New"/>
    <s v="Unix"/>
    <m/>
    <m/>
    <d v="2020-11-20T00:00:00"/>
    <e v="#N/A"/>
    <s v="SI décommissionné (FIPAR)"/>
    <x v="1"/>
    <x v="0"/>
    <x v="0"/>
  </r>
  <r>
    <s v="81.192.11.165/443/tls-server-cert-to-expire"/>
    <s v="81.192.11.165"/>
    <x v="18"/>
    <s v="10.8.0.48_x000a_10.9.0.113"/>
    <s v="WIP"/>
    <s v="21/10/2020: _x000a_Un redémarrage est nécessaire, et il est planifié le weekend. _x000a_En raison de l’arrêt de service un change sera initié."/>
    <s v="ll81-2-165-11-192-81.ll81-2.iam.net.ma"/>
    <s v="Linux"/>
    <s v="2.6.32"/>
    <n v="443"/>
    <s v="HTTPS"/>
    <s v="PHP"/>
    <n v="1"/>
    <x v="0"/>
    <s v="tls-server-cert-to-expire"/>
    <s v="X.509 Server Certificate Will Expire Within 30 Days"/>
    <s v="The TLS/SSL server's X.509 certificate will expire within 30 days.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Fri, 13 Nov 2020 13:00:00 WEST"/>
    <s v=""/>
    <s v=""/>
    <s v=""/>
    <d v="1995-01-01T00:00:00"/>
    <s v="ve"/>
    <n v="0"/>
    <s v=""/>
    <s v=""/>
    <s v="2 Days"/>
    <m/>
    <m/>
    <s v="Fixed"/>
    <x v="1"/>
    <d v="2021-03-01T00:00:00"/>
    <m/>
    <x v="0"/>
    <s v="NA"/>
    <s v="Fixed"/>
    <s v="NA"/>
    <s v="Fixed"/>
    <s v="NA"/>
    <d v="2020-10-20T00:00:00"/>
    <e v="#N/A"/>
    <s v="SI décommissionné (FIPAR)"/>
    <x v="1"/>
    <x v="0"/>
    <x v="0"/>
  </r>
  <r>
    <s v="81.192.11.165/443/tls-untrusted-ca"/>
    <s v="81.192.11.165"/>
    <x v="18"/>
    <s v="10.8.0.48_x000a_10.9.0.113"/>
    <s v="New"/>
    <s v="UNIX"/>
    <s v="ll81-2-165-11-192-81.ll81-2.iam.net.ma"/>
    <s v="Linux"/>
    <s v="2.6.32"/>
    <n v="443"/>
    <s v="HTTPS"/>
    <s v="PHP"/>
    <n v="6"/>
    <x v="1"/>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DigiCert SHA2 Extended Validation Server CA, OU=www.digicert.com, O=DigiCert Inc, C=US -- [validity check failed, Path does not chain with any of the trust anchors]."/>
    <s v="http://httpd.apache.org/docs/2.2/mod/mod_ssl.html,http://nginx.org/en/docs/http/configuring_https_servers.html,https://support.microsoft.com/en-us/kb/954755"/>
    <s v=""/>
    <s v=""/>
    <d v="1995-01-01T00:00:00"/>
    <s v="ve"/>
    <n v="0"/>
    <s v=""/>
    <s v=""/>
    <s v="3 Days"/>
    <m/>
    <m/>
    <s v="Fixed"/>
    <x v="1"/>
    <d v="2021-03-01T00:00:00"/>
    <m/>
    <x v="1"/>
    <s v="NA"/>
    <s v="New"/>
    <s v="Unix"/>
    <m/>
    <m/>
    <d v="2020-11-20T00:00:00"/>
    <e v="#N/A"/>
    <s v="SI décommissionné (FIPAR)"/>
    <x v="1"/>
    <x v="0"/>
    <x v="0"/>
  </r>
  <r>
    <s v="81.192.11.165/443/tlsv1_0-enabled"/>
    <s v="81.192.11.165"/>
    <x v="18"/>
    <s v="10.8.0.48_x000a_10.9.0.113"/>
    <s v="WIP"/>
    <s v="21/10/2020: _x000a_Un redémarrage est nécessaire, et il est planifié le weekend. _x000a_En raison de l’arrêt de service un change sera initié."/>
    <s v="ll81-2-165-11-192-81.ll81-2.iam.net.ma"/>
    <s v="Linux"/>
    <s v="2.6.32"/>
    <n v="443"/>
    <s v="HTTPS"/>
    <s v="PHP"/>
    <n v="4"/>
    <x v="1"/>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161 Days"/>
    <m/>
    <m/>
    <s v="Fixed"/>
    <x v="1"/>
    <d v="2021-03-01T00:00:00"/>
    <m/>
    <x v="0"/>
    <s v="NA"/>
    <s v="In Progress"/>
    <s v="NA"/>
    <s v="In Progress"/>
    <s v="NA"/>
    <d v="2020-10-20T00:00:00"/>
    <e v="#N/A"/>
    <s v="SI décommissionné (FIPAR)"/>
    <x v="1"/>
    <x v="0"/>
    <x v="0"/>
  </r>
  <r>
    <s v="81.192.11.165/443/tlsv1_1-enabled"/>
    <s v="81.192.11.165"/>
    <x v="18"/>
    <s v="10.8.0.48_x000a_10.9.0.113"/>
    <s v="WIP"/>
    <s v="21/10/2020: _x000a_Un redémarrage est nécessaire, et il est planifié le weekend. _x000a_En raison de l’arrêt de service un change sera initié."/>
    <s v="ll81-2-165-11-192-81.ll81-2.iam.net.ma"/>
    <s v="Linux"/>
    <s v="2.6.32"/>
    <n v="443"/>
    <s v="HTTPS"/>
    <s v="PHP"/>
    <n v="3"/>
    <x v="0"/>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161 Days"/>
    <m/>
    <m/>
    <s v="Fixed"/>
    <x v="1"/>
    <d v="2021-03-01T00:00:00"/>
    <m/>
    <x v="0"/>
    <s v="NA"/>
    <s v="In Progress"/>
    <s v="NA"/>
    <s v="In Progress"/>
    <s v="NA"/>
    <d v="2020-10-20T00:00:00"/>
    <e v="#N/A"/>
    <s v="SI décommissionné (FIPAR)"/>
    <x v="1"/>
    <x v="0"/>
    <x v="0"/>
  </r>
  <r>
    <s v="81.192.11.166/0/generic-tcp-timestamp"/>
    <s v="81.192.11.166"/>
    <x v="19"/>
    <s v="10.8.0.73"/>
    <s v="Fixed"/>
    <s v="Apparu dans le scan de decembre_x000a_21/12/2020 : Suppréssion de l'IP public, ainsi que la règle au niveau du firewall par l'équipe Network"/>
    <s v="ll81-2-166-11-192-81.ll81-2.iam.net.ma"/>
    <s v="Linux"/>
    <s v="4.0"/>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3 Days"/>
    <m/>
    <m/>
    <s v="Fixed"/>
    <x v="12"/>
    <d v="2021-01-14T00:00:00"/>
    <m/>
    <x v="3"/>
    <s v="Network"/>
    <e v="#N/A"/>
    <m/>
    <m/>
    <m/>
    <d v="2020-12-20T00:00:00"/>
    <e v="#N/A"/>
    <s v="Fixed"/>
    <x v="1"/>
    <x v="0"/>
    <x v="0"/>
  </r>
  <r>
    <s v="81.192.11.166/443/certificate-common-name-mismatch"/>
    <s v="81.192.11.166"/>
    <x v="19"/>
    <s v="10.8.0.73"/>
    <s v="Fixed"/>
    <s v="Apparu dans le scan de decembre_x000a_21/12/2020 : Suppréssion de l'IP public, ainsi que la règle au niveau du firewall par l'équipe Network"/>
    <s v="ll81-2-166-11-192-81.ll81-2.iam.net.ma"/>
    <s v="Linux"/>
    <s v="4.0"/>
    <n v="443"/>
    <s v="HTTPS"/>
    <s v="CDGWS"/>
    <n v="7"/>
    <x v="2"/>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www.amanti.ma does not match target name specified in the site._x000d__x000a__x000d__x000a_ * Subject CN www.amanti.ma does not match DNS name specified in the site._x000d__x000a__x000d__x000a_ * Subject CN resolved IP address differs from node IP address specified in the site._x000d__x000a__x000d__x000a_ * Subject Alternative Name www.amanti.ma does not match target name specified in the site._x000d__x000a__x000d__x000a_ * Subject Alternative Name www.amanti.ma does not match DNS name specified in the site."/>
    <s v=""/>
    <s v=""/>
    <s v=""/>
    <d v="2007-08-03T00:00:00"/>
    <s v="ve"/>
    <n v="0"/>
    <s v=""/>
    <s v=""/>
    <s v="3 Days"/>
    <m/>
    <m/>
    <s v="Fixed"/>
    <x v="12"/>
    <d v="2021-01-14T00:00:00"/>
    <m/>
    <x v="3"/>
    <s v="Network"/>
    <e v="#N/A"/>
    <m/>
    <m/>
    <m/>
    <d v="2020-12-20T00:00:00"/>
    <e v="#N/A"/>
    <s v="Fixed"/>
    <x v="1"/>
    <x v="0"/>
    <x v="0"/>
  </r>
  <r>
    <s v="81.192.11.166/443/http-generic-browsable-dir"/>
    <s v="81.192.11.166"/>
    <x v="19"/>
    <s v="10.8.0.73"/>
    <s v="Fixed"/>
    <s v="Apparu dans le scan de decembre_x000a_21/12/2020 : Suppréssion de l'IP public, ainsi que la règle au niveau du firewall par l'équipe Network"/>
    <s v="ll81-2-166-11-192-81.ll81-2.iam.net.ma"/>
    <s v="Linux"/>
    <s v="4.0"/>
    <n v="443"/>
    <s v="HTTPS"/>
    <s v="CDGWS"/>
    <n v="5"/>
    <x v="1"/>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quot;HTTP request to  https://81.192.11.166/icons/small/ _x000a_HTTP response code was an expected 200_x000a_5: &lt;/head&gt; 6: &lt;body&gt; 7: &lt;h1&gt;Index of /icons/small&lt;/h1&gt; 8: &lt;table&gt; 9: ...CO]&quot;&quot;&gt;&lt;/th&gt;&lt;th&gt;&lt;a href=&quot;&quot;?C=N;O=D&quot;&quot;&gt;Name&lt;/a&gt;&lt;/th&gt;&lt;th&gt;&lt;a href=&quot;&quot;?C=M;O=A...&quot;_x000a_&quot;HTTP request to  https://81.192.11.166/icons/ _x000a_HTTP response code was an expected 200_x000a_5: &lt;/head&gt; 6: &lt;body&gt; 7: &lt;h1&gt;Index of /icons&lt;/h1&gt; 8: &lt;table&gt; 9: ...CO]&quot;&quot;&gt;&lt;/th&gt;&lt;th&gt;&lt;a href=&quot;&quot;?C=N;O=D&quot;&quot;&gt;Name&lt;/a&gt;&lt;/th&gt;&lt;th&gt;&lt;a href=&quot;&quot;?C=M;O=A...&quot;"/>
    <s v=""/>
    <s v=""/>
    <s v=""/>
    <d v="2001-01-01T00:00:00"/>
    <s v="ve"/>
    <n v="0"/>
    <s v=""/>
    <s v=""/>
    <s v="3 Days"/>
    <m/>
    <m/>
    <s v="Fixed"/>
    <x v="12"/>
    <d v="2021-01-14T00:00:00"/>
    <m/>
    <x v="3"/>
    <s v="Network"/>
    <e v="#N/A"/>
    <m/>
    <m/>
    <m/>
    <d v="2020-12-20T00:00:00"/>
    <e v="#N/A"/>
    <s v="Fixed"/>
    <x v="1"/>
    <x v="0"/>
    <x v="0"/>
  </r>
  <r>
    <s v="81.192.11.166/443/http-options-method-enabled"/>
    <s v="81.192.11.166"/>
    <x v="19"/>
    <s v="10.8.0.73"/>
    <s v="Fixed"/>
    <s v="Apparu dans le scan de decembre_x000a_21/12/2020 : Suppréssion de l'IP public, ainsi que la règle au niveau du firewall par l'équipe Network"/>
    <s v="ll81-2-166-11-192-81.ll81-2.iam.net.ma"/>
    <s v="Linux"/>
    <s v="4.0"/>
    <n v="443"/>
    <s v="HTTPS"/>
    <s v="CDGWS"/>
    <n v="3"/>
    <x v="0"/>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s v=""/>
    <s v=""/>
    <d v="2005-10-07T00:00:00"/>
    <s v="ve"/>
    <n v="0"/>
    <s v=""/>
    <s v=""/>
    <s v="3 Days"/>
    <m/>
    <m/>
    <s v="Fixed"/>
    <x v="12"/>
    <d v="2021-01-14T00:00:00"/>
    <m/>
    <x v="3"/>
    <s v="Network"/>
    <e v="#N/A"/>
    <m/>
    <m/>
    <m/>
    <d v="2020-12-20T00:00:00"/>
    <e v="#N/A"/>
    <s v="Fixed"/>
    <x v="1"/>
    <x v="0"/>
    <x v="0"/>
  </r>
  <r>
    <s v="81.192.11.166/443/http-trace-method-enabled"/>
    <s v="81.192.11.166"/>
    <x v="19"/>
    <s v="10.8.0.73"/>
    <s v="Fixed"/>
    <s v="Apparu dans le scan de decembre_x000a_21/12/2020 : Suppréssion de l'IP public, ainsi que la règle au niveau du firewall par l'équipe Network"/>
    <s v="ll81-2-166-11-192-81.ll81-2.iam.net.ma"/>
    <s v="Linux"/>
    <s v="4.0"/>
    <n v="443"/>
    <s v="HTTPS"/>
    <s v="CDGWS"/>
    <n v="6"/>
    <x v="1"/>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 Apache Tomcat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       In Apache Tomcat, the HTTP Trace can be disabled by adding security constraints into the Java Servlet specification within the web.xml configuration file and by setting the attribute allowTrace=&quot;False&quot; to the HTTP connector in server.xml. For Spring Boot embedded Tomcat configuration, please refer  here (https://docs.spring.io/spring-boot/docs/2.0.0.RC1/reference/htmlsingle/#howto-configure-tomcat) 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S service_x000d__x000a__x000d__x000a__x000d__x000a__x000d__x000a__x000d__x000a_HTTP TRACE request to  https://81.192.11.166/ _x000d__x000a__x000d__x000a_2: Host: 81.192.11.166 3: X-Forwarded-For: 172.20.66.77, 10.9.0.27 4: X-Forwarded-Host: 81.192.11.166 5: X-Forwarded-Server: www.amanti.ma 6: Cookie: vulnerable=yes"/>
    <s v="http://www.apacheweek.com/issues/03-01-24#news,http://www.kb.cert.org/vuls/id/867593"/>
    <s v="CVE-2010-0386,CVE-2009-2823,CVE-2008-7253,CVE-2007-3008,CVE-2006-4683,CVE-2005-3398,CVE-2004-2763,CVE-2004-2320"/>
    <s v="http://nvd.nist.gov/vuln/detail/CVE-2010-0386,http://nvd.nist.gov/vuln/detail/CVE-2009-2823,http://nvd.nist.gov/vuln/detail/CVE-2008-7253,http://nvd.nist.gov/vuln/detail/CVE-2007-3008,http://nvd.nist.gov/vuln/detail/CVE-2006-4683,http://nvd.nist.gov/vuln/detail/CVE-2005-3398,http://nvd.nist.gov/vuln/detail/CVE-2004-2763,http://nvd.nist.gov/vuln/detail/CVE-2004-2320"/>
    <d v="2004-11-01T00:00:00"/>
    <s v="ve"/>
    <n v="2"/>
    <s v="Intermediate"/>
    <s v="http://www.rapid7.com/db/modules/auxiliary/scanner/http/options,http://www.rapid7.com/db/modules/auxiliary/scanner/http/trace"/>
    <s v="3 Days"/>
    <m/>
    <m/>
    <s v="Fixed"/>
    <x v="12"/>
    <d v="2021-01-14T00:00:00"/>
    <m/>
    <x v="3"/>
    <s v="Network"/>
    <e v="#N/A"/>
    <m/>
    <m/>
    <m/>
    <d v="2020-12-20T00:00:00"/>
    <e v="#N/A"/>
    <s v="Fixed"/>
    <x v="1"/>
    <x v="0"/>
    <x v="0"/>
  </r>
  <r>
    <s v="81.192.11.172/22/ssh-cbc-ciphers"/>
    <s v="81.192.11.172"/>
    <x v="20"/>
    <s v="10.8.0.22"/>
    <s v="New"/>
    <s v="à voir avec l'éditeur"/>
    <s v="ll81-2-172-11-192-81.ll81-2.iam.net.ma"/>
    <s v="Tandberg Linux"/>
    <s v="X12.5.9"/>
    <n v="22"/>
    <s v="SSH"/>
    <s v=""/>
    <n v="3"/>
    <x v="0"/>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256-cbc,aes192-cbc,aes128-cbc"/>
    <s v="https://www.kb.cert.org/vuls/id/958563"/>
    <s v=""/>
    <s v=""/>
    <d v="2013-02-08T00:00:00"/>
    <s v="vv"/>
    <n v="0"/>
    <s v=""/>
    <s v=""/>
    <s v="3 Days"/>
    <m/>
    <m/>
    <s v="Point escaladé à la CDG pour intervention de l'éditeur (ExpressWay)"/>
    <x v="1"/>
    <m/>
    <m/>
    <x v="3"/>
    <s v="Network"/>
    <s v="Fixed"/>
    <m/>
    <m/>
    <m/>
    <d v="2020-12-20T00:00:00"/>
    <e v="#N/A"/>
    <s v="Point escaladé à la CDG pour intervention de l'éditeur (ExpressWay)"/>
    <x v="1"/>
    <x v="7"/>
    <x v="1"/>
  </r>
  <r>
    <s v="81.192.11.172/22/ssh-cve-2015-4000"/>
    <s v="81.192.11.172"/>
    <x v="20"/>
    <s v="10.8.0.22"/>
    <s v="New"/>
    <s v="à voir avec l'éditeur"/>
    <s v="ll81-2-172-11-192-81.ll81-2.iam.net.ma"/>
    <s v="Tandberg Linux"/>
    <s v="X12.5.9"/>
    <n v="22"/>
    <s v="SSH"/>
    <s v=""/>
    <n v="4"/>
    <x v="1"/>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s v="http://nvd.nist.gov/vuln/detail/CVE-2015-4000"/>
    <d v="2015-05-20T00:00:00"/>
    <s v="vv"/>
    <n v="0"/>
    <s v=""/>
    <s v=""/>
    <s v="3 Days"/>
    <m/>
    <m/>
    <s v="Point escaladé à la CDG pour intervention de l'éditeur (ExpressWay)"/>
    <x v="1"/>
    <m/>
    <m/>
    <x v="3"/>
    <s v="Network"/>
    <s v="Fixed"/>
    <m/>
    <m/>
    <m/>
    <d v="2020-12-20T00:00:00"/>
    <e v="#N/A"/>
    <s v="Point escaladé à la CDG pour intervention de l'éditeur (ExpressWay)"/>
    <x v="1"/>
    <x v="7"/>
    <x v="1"/>
  </r>
  <r>
    <s v="81.192.11.172/22/ssh-weak-kex-algorithms"/>
    <s v="81.192.11.172"/>
    <x v="20"/>
    <s v="10.8.0.22"/>
    <s v="New"/>
    <s v="à voir avec l'éditeur"/>
    <s v="ll81-2-172-11-192-81.ll81-2.iam.net.ma"/>
    <s v="Tandberg Linux"/>
    <s v="X12.5.9"/>
    <n v="22"/>
    <s v="SSH"/>
    <s v=""/>
    <n v="4"/>
    <x v="1"/>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1-sha1"/>
    <s v="https://wiki.mozilla.org/Security/Guidelines/OpenSSH"/>
    <s v=""/>
    <s v=""/>
    <d v="2017-07-13T00:00:00"/>
    <s v="vv"/>
    <n v="0"/>
    <s v=""/>
    <s v=""/>
    <s v="3 Days"/>
    <m/>
    <m/>
    <s v="Point escaladé à la CDG pour intervention de l'éditeur (ExpressWay)"/>
    <x v="1"/>
    <m/>
    <m/>
    <x v="3"/>
    <s v="Network"/>
    <s v="Fixed"/>
    <m/>
    <m/>
    <m/>
    <d v="2020-12-20T00:00:00"/>
    <e v="#N/A"/>
    <s v="Point escaladé à la CDG pour intervention de l'éditeur (ExpressWay)"/>
    <x v="1"/>
    <x v="7"/>
    <x v="1"/>
  </r>
  <r>
    <s v="81.192.11.172/443/certificate-common-name-mismatch"/>
    <s v="81.192.11.172"/>
    <x v="20"/>
    <s v="10.8.0.22"/>
    <s v="Faux Positive"/>
    <s v="Faux Positive"/>
    <s v="ll81-2-172-11-192-81.ll81-2.iam.net.ma"/>
    <s v="Tandberg Linux"/>
    <s v="X12.5.9"/>
    <n v="443"/>
    <s v="HTTPS"/>
    <s v="Expressway"/>
    <n v="7"/>
    <x v="2"/>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iisjab.cdg.ma does not match target name specified in the site._x000d__x000a__x000d__x000a_ * Subject CN iisjab.cdg.ma does not match DNS name specified in the site._x000d__x000a__x000d__x000a_ * Subject CN iisjab.cdg.ma could not be resolved to an IP address via DNS lookup_x000d__x000a__x000d__x000a_ * Subject Alternative Name iisjab.cdg.ma does not match target name specified in the site._x000d__x000a__x000d__x000a_ * Subject Alternative Name iisjab.cdg.com does not match target name specified in the site._x000d__x000a__x000d__x000a_ * Subject Alternative Name cdg.com does not match target name specified in the site._x000d__x000a__x000d__x000a_ * Subject Alternative Name cdg.ma does not match target name specified in the site._x000d__x000a__x000d__x000a_ * Subject Alternative Name visio.cdg.ma does not match target name specified in the site._x000d__x000a__x000d__x000a_ * Subject Alternative Name iisjab.cdg.ma does not match DNS name specified in the site._x000d__x000a__x000d__x000a_ * Subject Alternative Name iisjab.cdg.com does not match DNS name specified in the site._x000d__x000a__x000d__x000a_ * Subject Alternative Name cdg.com does not match DNS name specified in the site._x000d__x000a__x000d__x000a_ * Subject Alternative Name cdg.ma does not match DNS name specified in the site._x000d__x000a__x000d__x000a_ * Subject Alternative Name visio.cdg.ma does not match DNS name specified in the site."/>
    <s v=""/>
    <s v=""/>
    <s v=""/>
    <d v="2007-08-03T00:00:00"/>
    <s v="ve"/>
    <n v="0"/>
    <s v=""/>
    <s v=""/>
    <s v="3 Days"/>
    <m/>
    <m/>
    <s v="Faux Positive"/>
    <x v="1"/>
    <m/>
    <m/>
    <x v="3"/>
    <s v="Network"/>
    <s v="Faux Positive"/>
    <s v="Networ"/>
    <m/>
    <m/>
    <d v="2020-12-20T00:00:00"/>
    <e v="#N/A"/>
    <s v="Faux Positive"/>
    <x v="1"/>
    <x v="1"/>
    <x v="1"/>
  </r>
  <r>
    <s v="81.192.11.172/443/ssl-cve-2011-3389-beast"/>
    <s v="81.192.11.172"/>
    <x v="20"/>
    <s v="10.8.0.22"/>
    <s v="New"/>
    <s v="à voir avec l'éditeur"/>
    <s v="ll81-2-172-11-192-81.ll81-2.iam.net.ma"/>
    <s v="Tandberg Linux"/>
    <s v="X12.5.9"/>
    <n v="443"/>
    <s v="HTTPS"/>
    <s v="Expressway"/>
    <n v="4"/>
    <x v="1"/>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AES_128_CBC_SHA_x000d__x000a__x000d__x000a_       * TLS_DHE_RSA_WITH_AES_256_CBC_SHA_x000d__x000a__x000d__x000a_       * TLS_ECDHE_RSA_WITH_AES_128_CBC_SHA_x000d__x000a__x000d__x000a_       * TLS_ECDHE_RSA_WITH_AES_256_CBC_SHA_x000d__x000a__x000d__x000a_       * TLS_RSA_WITH_AES_128_CBC_SHA_x000d__x000a__x000d__x000a_       * TLS_RSA_WITH_AES_256_CBC_SHA"/>
    <s v="http://vnhacker.blogspot.co.uk/2011/09/beast.html"/>
    <s v="CVE-2011-3389"/>
    <s v="http://nvd.nist.gov/vuln/detail/CVE-2011-3389"/>
    <d v="2011-09-06T00:00:00"/>
    <s v="ve"/>
    <n v="0"/>
    <s v=""/>
    <s v=""/>
    <s v="3 Days"/>
    <m/>
    <m/>
    <s v="Point escaladé à la CDG pour intervention de l'éditeur (ExpressWay)"/>
    <x v="1"/>
    <m/>
    <m/>
    <x v="3"/>
    <s v="Network"/>
    <s v="Fixed"/>
    <m/>
    <m/>
    <m/>
    <d v="2020-12-20T00:00:00"/>
    <e v="#N/A"/>
    <s v="Point escaladé à la CDG pour intervention de l'éditeur (ExpressWay)"/>
    <x v="1"/>
    <x v="7"/>
    <x v="0"/>
  </r>
  <r>
    <s v="81.192.11.172/443/ssl-static-key-ciphers"/>
    <s v="81.192.11.172"/>
    <x v="20"/>
    <s v="10.8.0.22"/>
    <s v="New"/>
    <s v="à voir avec l'éditeur"/>
    <s v="ll81-2-172-11-192-81.ll81-2.iam.net.ma"/>
    <s v="Tandberg Linux"/>
    <s v="X12.5.9"/>
    <n v="443"/>
    <s v="HTTPS"/>
    <s v="Expressway"/>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3 Days"/>
    <m/>
    <m/>
    <s v="Point escaladé à la CDG pour intervention de l'éditeur (ExpressWay)"/>
    <x v="1"/>
    <m/>
    <m/>
    <x v="3"/>
    <s v="Network"/>
    <s v="Fixed"/>
    <m/>
    <m/>
    <m/>
    <d v="2020-12-20T00:00:00"/>
    <e v="#N/A"/>
    <s v="Point escaladé à la CDG pour intervention de l'éditeur (ExpressWay)"/>
    <x v="1"/>
    <x v="7"/>
    <x v="1"/>
  </r>
  <r>
    <s v="81.192.11.172/443/tls-dh-primes"/>
    <s v="81.192.11.172"/>
    <x v="20"/>
    <s v="10.8.0.22"/>
    <s v="New"/>
    <s v="à voir avec l'éditeur"/>
    <s v="ll81-2-172-11-192-81.ll81-2.iam.net.ma"/>
    <s v="Tandberg Linux"/>
    <s v="X12.5.9"/>
    <n v="443"/>
    <s v="HTTPS"/>
    <s v="Expressway"/>
    <n v="3"/>
    <x v="0"/>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ffffffffffffffffc90fdaa22168c234c4c6628b80dc1cd129024e088a67cc74020bbea63b139b22514a08798e3404ddef9519b3cd3a431b302b0a6df25f14374fe1356d6d51c245e485b576625e7ec6f44c42e9a637ed6b0bff5cb6f406b7edee386bfb5a899fa5ae9f24117c4b1fe649286651ece45b3dc2007cb8a163bf0598da48361c55d39a69163fa8fd24cf5f83655d23dca3ad961c62f356208552bb9ed529077096966d670c354e4abc9804f1746c08ca18217c32905e462e36ce3be39e772c180e86039b2783a2ec07a28fb5c55df06f4c52c9de2bcbf6955817183995497cea956ae515d2261898fa051015728e5a8aacaa68ffffffffffffffff"/>
    <s v="https://weakdh.org/,https://www.openssl.org/docs/man1.1.0/apps/dhparam.html"/>
    <s v=""/>
    <s v=""/>
    <d v="2015-05-20T00:00:00"/>
    <s v="ve"/>
    <n v="0"/>
    <s v=""/>
    <s v=""/>
    <s v="3 Days"/>
    <m/>
    <m/>
    <s v="Point escaladé à la CDG pour intervention de l'éditeur (ExpressWay)"/>
    <x v="1"/>
    <m/>
    <m/>
    <x v="3"/>
    <s v="Network"/>
    <s v="Fixed"/>
    <m/>
    <m/>
    <m/>
    <d v="2020-12-20T00:00:00"/>
    <e v="#N/A"/>
    <s v="Point escaladé à la CDG pour intervention de l'éditeur (ExpressWay)"/>
    <x v="1"/>
    <x v="7"/>
    <x v="0"/>
  </r>
  <r>
    <s v="81.192.11.172/443/tls-untrusted-ca"/>
    <s v="81.192.11.172"/>
    <x v="20"/>
    <s v="10.8.0.22"/>
    <s v="New"/>
    <s v="à voir avec l'éditeur"/>
    <s v="ll81-2-172-11-192-81.ll81-2.iam.net.ma"/>
    <s v="Tandberg Linux"/>
    <s v="X12.5.9"/>
    <n v="443"/>
    <s v="HTTPS"/>
    <s v="Expressway"/>
    <n v="6"/>
    <x v="1"/>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UC-WIN-LS88M6TTDV2-CA, DC=UC, DC=Visio -- [Path does not chain with any of the trust anchors]."/>
    <s v="http://httpd.apache.org/docs/2.2/mod/mod_ssl.html,http://nginx.org/en/docs/http/configuring_https_servers.html,https://support.microsoft.com/en-us/kb/954755"/>
    <s v=""/>
    <s v=""/>
    <d v="1995-01-01T00:00:00"/>
    <s v="ve"/>
    <n v="0"/>
    <s v=""/>
    <s v=""/>
    <s v="3 Days"/>
    <m/>
    <m/>
    <s v="Point escaladé à la CDG pour intervention de l'éditeur (ExpressWay)"/>
    <x v="1"/>
    <m/>
    <m/>
    <x v="3"/>
    <s v="Network"/>
    <s v="Fixed"/>
    <m/>
    <m/>
    <m/>
    <d v="2020-12-20T00:00:00"/>
    <e v="#N/A"/>
    <s v="Point escaladé à la CDG pour intervention de l'éditeur (ExpressWay)"/>
    <x v="1"/>
    <x v="7"/>
    <x v="1"/>
  </r>
  <r>
    <s v="81.192.11.172/443/tlsv1_0-enabled"/>
    <s v="81.192.11.172"/>
    <x v="20"/>
    <s v="10.8.0.22"/>
    <s v="New"/>
    <s v="à voir avec l'éditeur"/>
    <s v="ll81-2-172-11-192-81.ll81-2.iam.net.ma"/>
    <s v="Tandberg Linux"/>
    <s v="X12.5.9"/>
    <n v="443"/>
    <s v="HTTPS"/>
    <s v="Expressway"/>
    <n v="4"/>
    <x v="1"/>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3 Days"/>
    <m/>
    <m/>
    <s v="Point escaladé à la CDG pour intervention de l'éditeur (ExpressWay)"/>
    <x v="1"/>
    <m/>
    <m/>
    <x v="3"/>
    <s v="Network"/>
    <s v="Fixed"/>
    <m/>
    <m/>
    <m/>
    <d v="2020-12-20T00:00:00"/>
    <e v="#N/A"/>
    <s v="Point escaladé à la CDG pour intervention de l'éditeur (ExpressWay)"/>
    <x v="1"/>
    <x v="7"/>
    <x v="0"/>
  </r>
  <r>
    <s v="81.192.11.172/443/tlsv1_1-enabled"/>
    <s v="81.192.11.172"/>
    <x v="20"/>
    <s v="10.8.0.22"/>
    <s v="New"/>
    <s v="à voir avec l'éditeur"/>
    <s v="ll81-2-172-11-192-81.ll81-2.iam.net.ma"/>
    <s v="Tandberg Linux"/>
    <s v="X12.5.9"/>
    <n v="443"/>
    <s v="HTTPS"/>
    <s v="Expressway"/>
    <n v="3"/>
    <x v="0"/>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3 Days"/>
    <m/>
    <m/>
    <s v="Point escaladé à la CDG pour intervention de l'éditeur (ExpressWay)"/>
    <x v="1"/>
    <m/>
    <m/>
    <x v="3"/>
    <s v="Network"/>
    <s v="Fixed"/>
    <m/>
    <m/>
    <m/>
    <d v="2020-12-20T00:00:00"/>
    <e v="#N/A"/>
    <s v="Point escaladé à la CDG pour intervention de l'éditeur (ExpressWay)"/>
    <x v="1"/>
    <x v="7"/>
    <x v="0"/>
  </r>
  <r>
    <s v="81.192.11.172/5061/certificate-common-name-mismatch"/>
    <s v="81.192.11.172"/>
    <x v="20"/>
    <s v="10.8.0.22"/>
    <s v="Faux Positive"/>
    <s v="Faux Positive"/>
    <s v="ll81-2-172-11-192-81.ll81-2.iam.net.ma"/>
    <s v="Tandberg Linux"/>
    <s v="X12.5.9"/>
    <n v="5061"/>
    <s v="SIP"/>
    <s v=""/>
    <n v="7"/>
    <x v="2"/>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iisjab.cdg.ma does not match target name specified in the site._x000d__x000a__x000d__x000a_ * Subject CN iisjab.cdg.ma does not match DNS name specified in the site._x000d__x000a__x000d__x000a_ * Subject CN iisjab.cdg.ma could not be resolved to an IP address via DNS lookup_x000d__x000a__x000d__x000a_ * Subject Alternative Name iisjab.cdg.ma does not match target name specified in the site._x000d__x000a__x000d__x000a_ * Subject Alternative Name iisjab.cdg.com does not match target name specified in the site._x000d__x000a__x000d__x000a_ * Subject Alternative Name cdg.com does not match target name specified in the site._x000d__x000a__x000d__x000a_ * Subject Alternative Name cdg.ma does not match target name specified in the site._x000d__x000a__x000d__x000a_ * Subject Alternative Name visio.cdg.ma does not match target name specified in the site._x000d__x000a__x000d__x000a_ * Subject Alternative Name iisjab.cdg.ma does not match DNS name specified in the site._x000d__x000a__x000d__x000a_ * Subject Alternative Name iisjab.cdg.com does not match DNS name specified in the site._x000d__x000a__x000d__x000a_ * Subject Alternative Name cdg.com does not match DNS name specified in the site._x000d__x000a__x000d__x000a_ * Subject Alternative Name cdg.ma does not match DNS name specified in the site._x000d__x000a__x000d__x000a_ * Subject Alternative Name visio.cdg.ma does not match DNS name specified in the site."/>
    <s v=""/>
    <s v=""/>
    <s v=""/>
    <d v="2007-08-03T00:00:00"/>
    <s v="ve"/>
    <n v="0"/>
    <s v=""/>
    <s v=""/>
    <s v="3 Days"/>
    <m/>
    <m/>
    <s v="Faux Positive"/>
    <x v="1"/>
    <m/>
    <m/>
    <x v="3"/>
    <s v="Network"/>
    <s v="Faux Positive"/>
    <s v="Networ"/>
    <m/>
    <m/>
    <d v="2020-12-20T00:00:00"/>
    <e v="#N/A"/>
    <s v="Faux Positive"/>
    <x v="1"/>
    <x v="1"/>
    <x v="1"/>
  </r>
  <r>
    <s v="81.192.11.172/5061/ssl-3des-ciphers"/>
    <s v="81.192.11.172"/>
    <x v="20"/>
    <s v="10.8.0.22"/>
    <s v="New"/>
    <s v="à voir avec l'éditeur"/>
    <s v="ll81-2-172-11-192-81.ll81-2.iam.net.ma"/>
    <s v="Tandberg Linux"/>
    <s v="X12.5.9"/>
    <n v="5061"/>
    <s v="SIP"/>
    <s v=""/>
    <n v="1"/>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ECDHE_RSA_WITH_3DES_EDE_CBC_SHA_x000d__x000a__x000d__x000a_       * TLS_RSA_WITH_3DES_EDE_CBC_SHA_x000d__x000a__x000d__x000a__x000d__x000a_    * TLS 1.1 ciphers: _x000d__x000a_       * TLS_DHE_RSA_WITH_3DES_EDE_CBC_SHA_x000d__x000a__x000d__x000a_       * TLS_ECDHE_RSA_WITH_3DES_EDE_CBC_SHA_x000d__x000a__x000d__x000a_       * TLS_RSA_WITH_3DES_EDE_CBC_SHA_x000d__x000a__x000d__x000a__x000d__x000a_    * TLS 1.2 ciphers: _x000d__x000a_       * TLS_DHE_RSA_WITH_3DES_EDE_CBC_SHA_x000d__x000a__x000d__x000a_       * TLS_EC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3 Days"/>
    <m/>
    <m/>
    <s v="Point escaladé à la CDG pour intervention de l'éditeur (ExpressWay)"/>
    <x v="1"/>
    <m/>
    <m/>
    <x v="3"/>
    <s v="Network"/>
    <s v="Fixed"/>
    <m/>
    <m/>
    <m/>
    <d v="2020-12-20T00:00:00"/>
    <e v="#N/A"/>
    <s v="Point escaladé à la CDG pour intervention de l'éditeur (ExpressWay)"/>
    <x v="1"/>
    <x v="7"/>
    <x v="1"/>
  </r>
  <r>
    <s v="81.192.11.172/5061/ssl-cve-2011-3389-beast"/>
    <s v="81.192.11.172"/>
    <x v="20"/>
    <s v="10.8.0.22"/>
    <s v="New"/>
    <s v="à voir avec l'éditeur"/>
    <s v="ll81-2-172-11-192-81.ll81-2.iam.net.ma"/>
    <s v="Tandberg Linux"/>
    <s v="X12.5.9"/>
    <n v="5061"/>
    <s v="SIP"/>
    <s v=""/>
    <n v="4"/>
    <x v="1"/>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DHE_RSA_WITH_AES_256_CBC_SHA_x000d__x000a__x000d__x000a_       * TLS_ECDHE_RSA_WITH_3DES_EDE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
    <s v="http://vnhacker.blogspot.co.uk/2011/09/beast.html"/>
    <s v="CVE-2011-3389"/>
    <s v="http://nvd.nist.gov/vuln/detail/CVE-2011-3389"/>
    <d v="2011-09-06T00:00:00"/>
    <s v="ve"/>
    <n v="0"/>
    <s v=""/>
    <s v=""/>
    <s v="3 Days"/>
    <m/>
    <m/>
    <s v="Point escaladé à la CDG pour intervention de l'éditeur (ExpressWay)"/>
    <x v="1"/>
    <m/>
    <m/>
    <x v="3"/>
    <s v="Network"/>
    <s v="Fixed"/>
    <m/>
    <m/>
    <m/>
    <d v="2020-12-20T00:00:00"/>
    <e v="#N/A"/>
    <s v="Point escaladé à la CDG pour intervention de l'éditeur (ExpressWay)"/>
    <x v="1"/>
    <x v="7"/>
    <x v="0"/>
  </r>
  <r>
    <s v="81.192.11.172/5061/ssl-cve-2016-2183-sweet32"/>
    <s v="81.192.11.172"/>
    <x v="20"/>
    <s v="10.8.0.22"/>
    <s v="New"/>
    <s v="à voir avec l'éditeur"/>
    <s v="ll81-2-172-11-192-81.ll81-2.iam.net.ma"/>
    <s v="Tandberg Linux"/>
    <s v="X12.5.9"/>
    <n v="5061"/>
    <s v="SIP"/>
    <s v=""/>
    <n v="5"/>
    <x v="1"/>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ECDHE_RSA_WITH_3DES_EDE_CBC_SHA_x000d__x000a__x000d__x000a_       * TLS_RSA_WITH_3DES_EDE_CBC_SHA_x000d__x000a__x000d__x000a__x000d__x000a_    * TLS 1.1 ciphers: _x000d__x000a_       * TLS_DHE_RSA_WITH_3DES_EDE_CBC_SHA_x000d__x000a__x000d__x000a_       * TLS_ECDHE_RSA_WITH_3DES_EDE_CBC_SHA_x000d__x000a__x000d__x000a_       * TLS_RSA_WITH_3DES_EDE_CBC_SHA_x000d__x000a__x000d__x000a__x000d__x000a_    * TLS 1.2 ciphers: _x000d__x000a_       * TLS_DHE_RSA_WITH_3DES_EDE_CBC_SHA_x000d__x000a__x000d__x000a_       * TLS_ECDHE_RSA_WITH_3DES_EDE_CBC_SHA_x000d__x000a__x000d__x000a_       * TLS_RSA_WITH_3DES_EDE_CBC_SHA"/>
    <s v="https://sweet32.info/,https://www.openssl.org/blog/blog/2016/08/24/sweet32,https://access.redhat.com/articles/2548661"/>
    <s v="CVE-2016-2183"/>
    <s v="http://nvd.nist.gov/vuln/detail/CVE-2016-2183"/>
    <d v="2016-08-24T00:00:00"/>
    <s v="ve"/>
    <n v="0"/>
    <s v=""/>
    <s v=""/>
    <s v="3 Days"/>
    <m/>
    <m/>
    <s v="Point escaladé à la CDG pour intervention de l'éditeur (ExpressWay)"/>
    <x v="1"/>
    <m/>
    <m/>
    <x v="3"/>
    <s v="Network"/>
    <s v="Fixed"/>
    <m/>
    <m/>
    <m/>
    <d v="2020-12-20T00:00:00"/>
    <e v="#N/A"/>
    <s v="Point escaladé à la CDG pour intervention de l'éditeur (ExpressWay)"/>
    <x v="1"/>
    <x v="7"/>
    <x v="1"/>
  </r>
  <r>
    <s v="81.192.11.172/5061/ssl-static-key-ciphers"/>
    <s v="81.192.11.172"/>
    <x v="20"/>
    <s v="10.8.0.22"/>
    <s v="New"/>
    <s v="à voir avec l'éditeur"/>
    <s v="ll81-2-172-11-192-81.ll81-2.iam.net.ma"/>
    <s v="Tandberg Linux"/>
    <s v="X12.5.9"/>
    <n v="5061"/>
    <s v="SIP"/>
    <s v=""/>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3 Days"/>
    <m/>
    <m/>
    <s v="Point escaladé à la CDG pour intervention de l'éditeur (ExpressWay)"/>
    <x v="1"/>
    <m/>
    <m/>
    <x v="3"/>
    <s v="Network"/>
    <s v="Fixed"/>
    <m/>
    <m/>
    <m/>
    <d v="2020-12-20T00:00:00"/>
    <e v="#N/A"/>
    <s v="Point escaladé à la CDG pour intervention de l'éditeur (ExpressWay)"/>
    <x v="1"/>
    <x v="7"/>
    <x v="1"/>
  </r>
  <r>
    <s v="81.192.11.172/5061/tls-dh-prime-under-2048-bits"/>
    <s v="81.192.11.172"/>
    <x v="20"/>
    <s v="10.8.0.22"/>
    <s v="New"/>
    <s v="à voir avec l'éditeur"/>
    <s v="ll81-2-172-11-192-81.ll81-2.iam.net.ma"/>
    <s v="Tandberg Linux"/>
    <s v="X12.5.9"/>
    <n v="5061"/>
    <s v="SIP"/>
    <s v=""/>
    <n v="3"/>
    <x v="0"/>
    <s v="tls-dh-prime-under-2048-bits"/>
    <s v="Diffie-Hellman group smaller than 2048 bits"/>
    <s v="The TLS server uses a Diffie-Hellman group with a prime modulus of less than 2048 bits in length. Current estimates are that that an academic team can break a 768-bit prime and that a state-level actor can break a 1024-bit prime."/>
    <s v="Use a Stronger Diffie-Hellman Group_x000d__x000a__x000d__x000a_ Please refer to this  guide to deploying Diffie-Hellman for TLS (https://weakdh.org/sysadmin.html)  for instructions on how to configure the server to use 2048-bit or stronger Diffie-Hellman groups with safe primes."/>
    <s v="* _x000d__x000a_      The following SSL/TLS cipher suites use Diffie-Hellman a prime modulus smaller than 2048 bits:_x000d__x000a_    * TLS 1.0 ciphers: _x000d__x000a_       * TLS_DHE_RSA_WITH_AES_256_CBC_SHA with a Diffie-Hellman prime modulus of 1024 bits_x000d__x000a__x000d__x000a_       * TLS_DHE_RSA_WITH_AES_128_CBC_SHA with a Diffie-Hellman prime modulus of 1024 bits_x000d__x000a__x000d__x000a_       * TLS_DHE_RSA_WITH_3DES_EDE_CBC_SHA with a Diffie-Hellman prime modulus of 1024 bits_x000d__x000a__x000d__x000a__x000d__x000a_    * TLS 1.1 ciphers: _x000d__x000a_       * TLS_DHE_RSA_WITH_AES_256_CBC_SHA with a Diffie-Hellman prime modulus of 1024 bits_x000d__x000a__x000d__x000a_       * TLS_DHE_RSA_WITH_AES_128_CBC_SHA with a Diffie-Hellman prime modulus of 1024 bits_x000d__x000a__x000d__x000a_       * TLS_DHE_RSA_WITH_3DES_EDE_CBC_SHA with a Diffie-Hellman prime modulus of 1024 bits"/>
    <s v="https://weakdh.org/"/>
    <s v=""/>
    <s v=""/>
    <d v="2015-05-20T00:00:00"/>
    <s v="ve"/>
    <n v="0"/>
    <s v=""/>
    <s v=""/>
    <s v="3 Days"/>
    <m/>
    <m/>
    <s v="Point escaladé à la CDG pour intervention de l'éditeur (ExpressWay)"/>
    <x v="1"/>
    <m/>
    <m/>
    <x v="3"/>
    <s v="Network"/>
    <s v="Fixed"/>
    <m/>
    <m/>
    <m/>
    <d v="2020-12-20T00:00:00"/>
    <e v="#N/A"/>
    <s v="Point escaladé à la CDG pour intervention de l'éditeur (ExpressWay)"/>
    <x v="1"/>
    <x v="7"/>
    <x v="0"/>
  </r>
  <r>
    <s v="81.192.11.172/5061/tls-untrusted-ca"/>
    <s v="81.192.11.172"/>
    <x v="20"/>
    <s v="10.8.0.22"/>
    <s v="New"/>
    <s v="à voir avec l'éditeur"/>
    <s v="ll81-2-172-11-192-81.ll81-2.iam.net.ma"/>
    <s v="Tandberg Linux"/>
    <s v="X12.5.9"/>
    <n v="5061"/>
    <s v="SIP"/>
    <s v=""/>
    <n v="6"/>
    <x v="1"/>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UC-WIN-LS88M6TTDV2-CA, DC=UC, DC=Visio -- [Path does not chain with any of the trust anchors]."/>
    <s v="http://httpd.apache.org/docs/2.2/mod/mod_ssl.html,http://nginx.org/en/docs/http/configuring_https_servers.html,https://support.microsoft.com/en-us/kb/954755"/>
    <s v=""/>
    <s v=""/>
    <d v="1995-01-01T00:00:00"/>
    <s v="ve"/>
    <n v="0"/>
    <s v=""/>
    <s v=""/>
    <s v="3 Days"/>
    <m/>
    <m/>
    <s v="Point escaladé à la CDG pour intervention de l'éditeur (ExpressWay)"/>
    <x v="1"/>
    <m/>
    <m/>
    <x v="3"/>
    <s v="Network"/>
    <s v="Fixed"/>
    <m/>
    <m/>
    <m/>
    <d v="2020-12-20T00:00:00"/>
    <e v="#N/A"/>
    <s v="Point escaladé à la CDG pour intervention de l'éditeur (ExpressWay)"/>
    <x v="1"/>
    <x v="7"/>
    <x v="1"/>
  </r>
  <r>
    <s v="81.192.11.172/5061/tlsv1_0-enabled"/>
    <s v="81.192.11.172"/>
    <x v="20"/>
    <s v="10.8.0.22"/>
    <s v="New"/>
    <s v="à voir avec l'éditeur"/>
    <s v="ll81-2-172-11-192-81.ll81-2.iam.net.ma"/>
    <s v="Tandberg Linux"/>
    <s v="X12.5.9"/>
    <n v="5061"/>
    <s v="SIP"/>
    <s v=""/>
    <n v="4"/>
    <x v="1"/>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3 Days"/>
    <m/>
    <m/>
    <s v="Point escaladé à la CDG pour intervention de l'éditeur (ExpressWay)"/>
    <x v="1"/>
    <m/>
    <m/>
    <x v="3"/>
    <s v="Network"/>
    <s v="Fixed"/>
    <m/>
    <m/>
    <m/>
    <d v="2020-12-20T00:00:00"/>
    <e v="#N/A"/>
    <s v="Point escaladé à la CDG pour intervention de l'éditeur (ExpressWay)"/>
    <x v="1"/>
    <x v="7"/>
    <x v="0"/>
  </r>
  <r>
    <s v="81.192.11.172/5061/tlsv1_1-enabled"/>
    <s v="81.192.11.172"/>
    <x v="20"/>
    <s v="10.8.0.22"/>
    <s v="New"/>
    <s v="à voir avec l'éditeur"/>
    <s v="ll81-2-172-11-192-81.ll81-2.iam.net.ma"/>
    <s v="Tandberg Linux"/>
    <s v="X12.5.9"/>
    <n v="5061"/>
    <s v="SIP"/>
    <s v=""/>
    <n v="3"/>
    <x v="0"/>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3 Days"/>
    <m/>
    <m/>
    <s v="Point escaladé à la CDG pour intervention de l'éditeur (ExpressWay)"/>
    <x v="1"/>
    <m/>
    <m/>
    <x v="3"/>
    <s v="Network"/>
    <s v="Fixed"/>
    <m/>
    <m/>
    <m/>
    <d v="2020-12-20T00:00:00"/>
    <e v="#N/A"/>
    <s v="Point escaladé à la CDG pour intervention de l'éditeur (ExpressWay)"/>
    <x v="1"/>
    <x v="7"/>
    <x v="0"/>
  </r>
  <r>
    <s v="81.192.11.172/7001/ssl-3des-ciphers"/>
    <s v="81.192.11.172"/>
    <x v="20"/>
    <s v="10.8.0.22"/>
    <s v="New"/>
    <s v="à voir avec l'éditeur"/>
    <s v="ll81-2-172-11-192-81.ll81-2.iam.net.ma"/>
    <s v="Tandberg Linux"/>
    <s v="X12.5.9"/>
    <n v="7001"/>
    <s v="afs3-callback (callbacks to cache managers)"/>
    <s v=""/>
    <n v="1"/>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ECDHE_RSA_WITH_3DES_EDE_CBC_SHA_x000d__x000a__x000d__x000a_       * TLS_RSA_WITH_3DES_EDE_CBC_SHA_x000d__x000a__x000d__x000a__x000d__x000a_    * TLS 1.1 ciphers: _x000d__x000a_       * TLS_DHE_RSA_WITH_3DES_EDE_CBC_SHA_x000d__x000a__x000d__x000a_       * TLS_ECDHE_RSA_WITH_3DES_EDE_CBC_SHA_x000d__x000a__x000d__x000a_       * TLS_RSA_WITH_3DES_EDE_CBC_SHA_x000d__x000a__x000d__x000a__x000d__x000a_    * TLS 1.2 ciphers: _x000d__x000a_       * TLS_DHE_RSA_WITH_3DES_EDE_CBC_SHA_x000d__x000a__x000d__x000a_       * TLS_ECDHE_RSA_WITH_3DES_EDE_CBC_SHA_x000d__x000a_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3 Days"/>
    <m/>
    <m/>
    <s v="Point escaladé à la CDG pour intervention de l'éditeur (ExpressWay)"/>
    <x v="1"/>
    <m/>
    <m/>
    <x v="3"/>
    <s v="Network"/>
    <s v="Fixed"/>
    <m/>
    <m/>
    <m/>
    <d v="2020-12-20T00:00:00"/>
    <e v="#N/A"/>
    <s v="Point escaladé à la CDG pour intervention de l'éditeur (ExpressWay)"/>
    <x v="1"/>
    <x v="7"/>
    <x v="1"/>
  </r>
  <r>
    <s v="81.192.11.172/7001/ssl-cve-2011-3389-beast"/>
    <s v="81.192.11.172"/>
    <x v="20"/>
    <s v="10.8.0.22"/>
    <s v="New"/>
    <s v="à voir avec l'éditeur"/>
    <s v="ll81-2-172-11-192-81.ll81-2.iam.net.ma"/>
    <s v="Tandberg Linux"/>
    <s v="X12.5.9"/>
    <n v="7001"/>
    <s v="afs3-callback (callbacks to cache managers)"/>
    <s v=""/>
    <n v="4"/>
    <x v="1"/>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3DES_EDE_CBC_SHA_x000d__x000a__x000d__x000a_       * TLS_DHE_RSA_WITH_AES_128_CBC_SHA_x000d__x000a__x000d__x000a_       * TLS_DHE_RSA_WITH_AES_256_CBC_SHA_x000d__x000a__x000d__x000a_       * TLS_ECDHE_RSA_WITH_3DES_EDE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
    <s v="http://vnhacker.blogspot.co.uk/2011/09/beast.html"/>
    <s v="CVE-2011-3389"/>
    <s v="http://nvd.nist.gov/vuln/detail/CVE-2011-3389"/>
    <d v="2011-09-06T00:00:00"/>
    <s v="ve"/>
    <n v="0"/>
    <s v=""/>
    <s v=""/>
    <s v="3 Days"/>
    <m/>
    <m/>
    <s v="Point escaladé à la CDG pour intervention de l'éditeur (ExpressWay)"/>
    <x v="1"/>
    <m/>
    <m/>
    <x v="3"/>
    <s v="Network"/>
    <s v="Fixed"/>
    <m/>
    <m/>
    <m/>
    <d v="2020-12-20T00:00:00"/>
    <e v="#N/A"/>
    <s v="Point escaladé à la CDG pour intervention de l'éditeur (ExpressWay)"/>
    <x v="1"/>
    <x v="7"/>
    <x v="0"/>
  </r>
  <r>
    <s v="81.192.11.172/7001/ssl-cve-2016-2183-sweet32"/>
    <s v="81.192.11.172"/>
    <x v="20"/>
    <s v="10.8.0.22"/>
    <s v="New"/>
    <s v="à voir avec l'éditeur"/>
    <s v="ll81-2-172-11-192-81.ll81-2.iam.net.ma"/>
    <s v="Tandberg Linux"/>
    <s v="X12.5.9"/>
    <n v="7001"/>
    <s v="afs3-callback (callbacks to cache managers)"/>
    <s v=""/>
    <n v="5"/>
    <x v="1"/>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DHE_RSA_WITH_3DES_EDE_CBC_SHA_x000d__x000a__x000d__x000a_       * TLS_ECDHE_RSA_WITH_3DES_EDE_CBC_SHA_x000d__x000a__x000d__x000a_       * TLS_RSA_WITH_3DES_EDE_CBC_SHA_x000d__x000a__x000d__x000a__x000d__x000a_    * TLS 1.1 ciphers: _x000d__x000a_       * TLS_DHE_RSA_WITH_3DES_EDE_CBC_SHA_x000d__x000a__x000d__x000a_       * TLS_ECDHE_RSA_WITH_3DES_EDE_CBC_SHA_x000d__x000a__x000d__x000a_       * TLS_RSA_WITH_3DES_EDE_CBC_SHA_x000d__x000a__x000d__x000a__x000d__x000a_    * TLS 1.2 ciphers: _x000d__x000a_       * TLS_DHE_RSA_WITH_3DES_EDE_CBC_SHA_x000d__x000a__x000d__x000a_       * TLS_ECDHE_RSA_WITH_3DES_EDE_CBC_SHA_x000d__x000a__x000d__x000a_       * TLS_RSA_WITH_3DES_EDE_CBC_SHA"/>
    <s v="https://sweet32.info/,https://www.openssl.org/blog/blog/2016/08/24/sweet32,https://access.redhat.com/articles/2548661"/>
    <s v="CVE-2016-2183"/>
    <s v="http://nvd.nist.gov/vuln/detail/CVE-2016-2183"/>
    <d v="2016-08-24T00:00:00"/>
    <s v="ve"/>
    <n v="0"/>
    <s v=""/>
    <s v=""/>
    <s v="3 Days"/>
    <m/>
    <m/>
    <s v="Point escaladé à la CDG pour intervention de l'éditeur (ExpressWay)"/>
    <x v="1"/>
    <m/>
    <m/>
    <x v="3"/>
    <s v="Network"/>
    <s v="Fixed"/>
    <m/>
    <m/>
    <m/>
    <d v="2020-12-20T00:00:00"/>
    <e v="#N/A"/>
    <s v="Point escaladé à la CDG pour intervention de l'éditeur (ExpressWay)"/>
    <x v="1"/>
    <x v="7"/>
    <x v="1"/>
  </r>
  <r>
    <s v="81.192.11.172/7001/ssl-static-key-ciphers"/>
    <s v="81.192.11.172"/>
    <x v="20"/>
    <s v="10.8.0.22"/>
    <s v="New"/>
    <s v="à voir avec l'éditeur"/>
    <s v="ll81-2-172-11-192-81.ll81-2.iam.net.ma"/>
    <s v="Tandberg Linux"/>
    <s v="X12.5.9"/>
    <n v="7001"/>
    <s v="afs3-callback (callbacks to cache managers)"/>
    <s v=""/>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_x000d__x000a_    * TLS 1.1 ciphers: _x000d__x000a_       * TLS_RSA_WITH_3DES_EDE_CBC_SHA_x000d__x000a__x000d__x000a_       * TLS_RSA_WITH_AES_128_CBC_SHA_x000d__x000a__x000d__x000a_       * TLS_RSA_WITH_AES_256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3 Days"/>
    <m/>
    <m/>
    <s v="Point escaladé à la CDG pour intervention de l'éditeur (ExpressWay)"/>
    <x v="1"/>
    <m/>
    <m/>
    <x v="3"/>
    <s v="Network"/>
    <s v="Fixed"/>
    <m/>
    <m/>
    <m/>
    <d v="2020-12-20T00:00:00"/>
    <e v="#N/A"/>
    <s v="Point escaladé à la CDG pour intervention de l'éditeur (ExpressWay)"/>
    <x v="1"/>
    <x v="7"/>
    <x v="1"/>
  </r>
  <r>
    <s v="81.192.11.172/7001/tls-dh-prime-under-2048-bits"/>
    <s v="81.192.11.172"/>
    <x v="20"/>
    <s v="10.8.0.22"/>
    <s v="New"/>
    <s v="à voir avec l'éditeur"/>
    <s v="ll81-2-172-11-192-81.ll81-2.iam.net.ma"/>
    <s v="Tandberg Linux"/>
    <s v="X12.5.9"/>
    <n v="7001"/>
    <s v="afs3-callback (callbacks to cache managers)"/>
    <s v=""/>
    <n v="3"/>
    <x v="0"/>
    <s v="tls-dh-prime-under-2048-bits"/>
    <s v="Diffie-Hellman group smaller than 2048 bits"/>
    <s v="The TLS server uses a Diffie-Hellman group with a prime modulus of less than 2048 bits in length. Current estimates are that that an academic team can break a 768-bit prime and that a state-level actor can break a 1024-bit prime."/>
    <s v="Use a Stronger Diffie-Hellman Group_x000d__x000a__x000d__x000a_ Please refer to this  guide to deploying Diffie-Hellman for TLS (https://weakdh.org/sysadmin.html)  for instructions on how to configure the server to use 2048-bit or stronger Diffie-Hellman groups with safe primes."/>
    <s v="* _x000d__x000a_      The following SSL/TLS cipher suites use Diffie-Hellman a prime modulus smaller than 2048 bits:_x000d__x000a_    * TLS 1.0 ciphers: _x000d__x000a_       * TLS_DHE_RSA_WITH_AES_256_CBC_SHA with a Diffie-Hellman prime modulus of 1024 bits_x000d__x000a__x000d__x000a_       * TLS_DHE_RSA_WITH_AES_128_CBC_SHA with a Diffie-Hellman prime modulus of 1024 bits_x000d__x000a__x000d__x000a_       * TLS_DHE_RSA_WITH_3DES_EDE_CBC_SHA with a Diffie-Hellman prime modulus of 1024 bits_x000d__x000a__x000d__x000a__x000d__x000a_    * TLS 1.1 ciphers: _x000d__x000a_       * TLS_DHE_RSA_WITH_AES_256_CBC_SHA with a Diffie-Hellman prime modulus of 1024 bits_x000d__x000a__x000d__x000a_       * TLS_DHE_RSA_WITH_AES_128_CBC_SHA with a Diffie-Hellman prime modulus of 1024 bits_x000d__x000a__x000d__x000a_       * TLS_DHE_RSA_WITH_3DES_EDE_CBC_SHA with a Diffie-Hellman prime modulus of 1024 bits"/>
    <s v="https://weakdh.org/"/>
    <s v=""/>
    <s v=""/>
    <d v="2015-05-20T00:00:00"/>
    <s v="ve"/>
    <n v="0"/>
    <s v=""/>
    <s v=""/>
    <s v="3 Days"/>
    <m/>
    <m/>
    <s v="Point escaladé à la CDG pour intervention de l'éditeur (ExpressWay)"/>
    <x v="1"/>
    <m/>
    <m/>
    <x v="3"/>
    <s v="Network"/>
    <s v="Fixed"/>
    <m/>
    <m/>
    <m/>
    <d v="2020-12-20T00:00:00"/>
    <e v="#N/A"/>
    <s v="Point escaladé à la CDG pour intervention de l'éditeur (ExpressWay)"/>
    <x v="1"/>
    <x v="7"/>
    <x v="0"/>
  </r>
  <r>
    <s v="81.192.11.172/7001/tlsv1_0-enabled"/>
    <s v="81.192.11.172"/>
    <x v="20"/>
    <s v="10.8.0.22"/>
    <s v="New"/>
    <s v="à voir avec l'éditeur"/>
    <s v="ll81-2-172-11-192-81.ll81-2.iam.net.ma"/>
    <s v="Tandberg Linux"/>
    <s v="X12.5.9"/>
    <n v="7001"/>
    <s v="afs3-callback (callbacks to cache managers)"/>
    <s v=""/>
    <n v="4"/>
    <x v="1"/>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3 Days"/>
    <m/>
    <m/>
    <s v="Point escaladé à la CDG pour intervention de l'éditeur (ExpressWay)"/>
    <x v="1"/>
    <m/>
    <m/>
    <x v="3"/>
    <s v="Network"/>
    <s v="Fixed"/>
    <m/>
    <m/>
    <m/>
    <d v="2020-12-20T00:00:00"/>
    <e v="#N/A"/>
    <s v="Point escaladé à la CDG pour intervention de l'éditeur (ExpressWay)"/>
    <x v="1"/>
    <x v="7"/>
    <x v="0"/>
  </r>
  <r>
    <s v="81.192.11.172/7001/tlsv1_1-enabled"/>
    <s v="81.192.11.172"/>
    <x v="20"/>
    <s v="10.8.0.22"/>
    <s v="New"/>
    <s v="à voir avec l'éditeur"/>
    <s v="ll81-2-172-11-192-81.ll81-2.iam.net.ma"/>
    <s v="Tandberg Linux"/>
    <s v="X12.5.9"/>
    <n v="7001"/>
    <s v="afs3-callback (callbacks to cache managers)"/>
    <s v=""/>
    <n v="3"/>
    <x v="0"/>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3 Days"/>
    <m/>
    <m/>
    <s v="Point escaladé à la CDG pour intervention de l'éditeur (ExpressWay)"/>
    <x v="1"/>
    <m/>
    <m/>
    <x v="3"/>
    <s v="Network"/>
    <s v="Fixed"/>
    <m/>
    <m/>
    <m/>
    <d v="2020-12-20T00:00:00"/>
    <e v="#N/A"/>
    <s v="Point escaladé à la CDG pour intervention de l'éditeur (ExpressWay)"/>
    <x v="1"/>
    <x v="7"/>
    <x v="0"/>
  </r>
  <r>
    <s v="81.192.11.172/8443/certificate-common-name-mismatch"/>
    <s v="81.192.11.172"/>
    <x v="20"/>
    <s v="10.8.0.22"/>
    <s v="Faux Positive"/>
    <s v="Faux Positive"/>
    <s v="ll81-2-172-11-192-81.ll81-2.iam.net.ma"/>
    <s v="Tandberg Linux"/>
    <s v="X12.5.9"/>
    <n v="8443"/>
    <s v="HTTPS"/>
    <s v="Expressway"/>
    <n v="7"/>
    <x v="2"/>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iisjab.cdg.ma does not match target name specified in the site._x000d__x000a__x000d__x000a_ * Subject CN iisjab.cdg.ma does not match DNS name specified in the site._x000d__x000a__x000d__x000a_ * Subject CN iisjab.cdg.ma could not be resolved to an IP address via DNS lookup_x000d__x000a__x000d__x000a_ * Subject Alternative Name iisjab.cdg.ma does not match target name specified in the site._x000d__x000a__x000d__x000a_ * Subject Alternative Name iisjab.cdg.com does not match target name specified in the site._x000d__x000a__x000d__x000a_ * Subject Alternative Name cdg.com does not match target name specified in the site._x000d__x000a__x000d__x000a_ * Subject Alternative Name cdg.ma does not match target name specified in the site._x000d__x000a__x000d__x000a_ * Subject Alternative Name visio.cdg.ma does not match target name specified in the site._x000d__x000a__x000d__x000a_ * Subject Alternative Name iisjab.cdg.ma does not match DNS name specified in the site._x000d__x000a__x000d__x000a_ * Subject Alternative Name iisjab.cdg.com does not match DNS name specified in the site._x000d__x000a__x000d__x000a_ * Subject Alternative Name cdg.com does not match DNS name specified in the site._x000d__x000a__x000d__x000a_ * Subject Alternative Name cdg.ma does not match DNS name specified in the site._x000d__x000a__x000d__x000a_ * Subject Alternative Name visio.cdg.ma does not match DNS name specified in the site."/>
    <s v=""/>
    <s v=""/>
    <s v=""/>
    <d v="2007-08-03T00:00:00"/>
    <s v="ve"/>
    <n v="0"/>
    <s v=""/>
    <s v=""/>
    <s v="3 Days"/>
    <m/>
    <m/>
    <s v="Faux Positive"/>
    <x v="1"/>
    <m/>
    <m/>
    <x v="3"/>
    <s v="Network"/>
    <s v="Faux Positive"/>
    <s v="Networ"/>
    <m/>
    <m/>
    <d v="2020-12-20T00:00:00"/>
    <e v="#N/A"/>
    <s v="Faux Positive"/>
    <x v="1"/>
    <x v="1"/>
    <x v="1"/>
  </r>
  <r>
    <s v="81.192.11.172/8443/ssl-cve-2011-3389-beast"/>
    <s v="81.192.11.172"/>
    <x v="20"/>
    <s v="10.8.0.22"/>
    <s v="New"/>
    <s v="à voir avec l'éditeur"/>
    <s v="ll81-2-172-11-192-81.ll81-2.iam.net.ma"/>
    <s v="Tandberg Linux"/>
    <s v="X12.5.9"/>
    <n v="8443"/>
    <s v="HTTPS"/>
    <s v="Expressway"/>
    <n v="4"/>
    <x v="1"/>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AES_128_CBC_SHA_x000d__x000a__x000d__x000a_       * TLS_DHE_RSA_WITH_AES_256_CBC_SHA_x000d__x000a__x000d__x000a_       * TLS_ECDHE_RSA_WITH_AES_128_CBC_SHA_x000d__x000a__x000d__x000a_       * TLS_ECDHE_RSA_WITH_AES_256_CBC_SHA_x000d__x000a__x000d__x000a_       * TLS_RSA_WITH_AES_128_CBC_SHA_x000d__x000a__x000d__x000a_       * TLS_RSA_WITH_AES_256_CBC_SHA"/>
    <s v="http://vnhacker.blogspot.co.uk/2011/09/beast.html"/>
    <s v="CVE-2011-3389"/>
    <s v="http://nvd.nist.gov/vuln/detail/CVE-2011-3389"/>
    <d v="2011-09-06T00:00:00"/>
    <s v="ve"/>
    <n v="0"/>
    <s v=""/>
    <s v=""/>
    <s v="3 Days"/>
    <m/>
    <m/>
    <s v="Point escaladé à la CDG pour intervention de l'éditeur (ExpressWay)"/>
    <x v="1"/>
    <m/>
    <m/>
    <x v="3"/>
    <s v="Network"/>
    <s v="Fixed"/>
    <m/>
    <m/>
    <m/>
    <d v="2020-12-20T00:00:00"/>
    <e v="#N/A"/>
    <s v="Point escaladé à la CDG pour intervention de l'éditeur (ExpressWay)"/>
    <x v="1"/>
    <x v="7"/>
    <x v="0"/>
  </r>
  <r>
    <s v="81.192.11.172/8443/ssl-static-key-ciphers"/>
    <s v="81.192.11.172"/>
    <x v="20"/>
    <s v="10.8.0.22"/>
    <s v="New"/>
    <s v="à voir avec l'éditeur"/>
    <s v="ll81-2-172-11-192-81.ll81-2.iam.net.ma"/>
    <s v="Tandberg Linux"/>
    <s v="X12.5.9"/>
    <n v="8443"/>
    <s v="HTTPS"/>
    <s v="Expressway"/>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3 Days"/>
    <m/>
    <m/>
    <s v="Point escaladé à la CDG pour intervention de l'éditeur (ExpressWay)"/>
    <x v="1"/>
    <m/>
    <m/>
    <x v="3"/>
    <s v="Network"/>
    <s v="Fixed"/>
    <m/>
    <m/>
    <m/>
    <d v="2020-12-20T00:00:00"/>
    <e v="#N/A"/>
    <s v="Point escaladé à la CDG pour intervention de l'éditeur (ExpressWay)"/>
    <x v="1"/>
    <x v="7"/>
    <x v="1"/>
  </r>
  <r>
    <s v="81.192.11.172/8443/tls-dh-primes"/>
    <s v="81.192.11.172"/>
    <x v="20"/>
    <s v="10.8.0.22"/>
    <s v="New"/>
    <s v="à voir avec l'éditeur"/>
    <s v="ll81-2-172-11-192-81.ll81-2.iam.net.ma"/>
    <s v="Tandberg Linux"/>
    <s v="X12.5.9"/>
    <n v="8443"/>
    <s v="HTTPS"/>
    <s v="Expressway"/>
    <n v="3"/>
    <x v="0"/>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87a8e61db4b6663cffbbd19c651959998ceef608660dd0f25d2ceed4435e3b00e00df8f1d61957d4faf7df4561b2aa3016c3d91134096faa3bf4296d830e9a7c209e0c6497517abd5a8a9d306bcf67ed91f9e6725b4758c022e0b1ef4275bf7b6c5bfc11d45f9088b941f54eb1e59bb8bc39a0bf12307f5c4fdb70c581b23f76b63acae1caa6b7902d52526735488a0ef13c6d9a51bfa4ab3ad8347796524d8ef6a167b5a41825d967e144e5140564251ccacb83e6b486f6b3ca3f7971506026c0b857f689962856ded4010abd0be621c3a3960a54e710c375f26375d7014103a4b54330c198af126116d2276e11715f693877fad7ef09cadb094ae91e1a1597"/>
    <s v="https://weakdh.org/,https://www.openssl.org/docs/man1.1.0/apps/dhparam.html"/>
    <s v=""/>
    <s v=""/>
    <d v="2015-05-20T00:00:00"/>
    <s v="ve"/>
    <n v="0"/>
    <s v=""/>
    <s v=""/>
    <s v="3 Days"/>
    <m/>
    <m/>
    <s v="Point escaladé à la CDG pour intervention de l'éditeur (ExpressWay)"/>
    <x v="1"/>
    <m/>
    <m/>
    <x v="3"/>
    <s v="Network"/>
    <s v="Fixed"/>
    <m/>
    <m/>
    <m/>
    <d v="2020-12-20T00:00:00"/>
    <e v="#N/A"/>
    <s v="Point escaladé à la CDG pour intervention de l'éditeur (ExpressWay)"/>
    <x v="1"/>
    <x v="7"/>
    <x v="0"/>
  </r>
  <r>
    <s v="81.192.11.172/8443/tls-untrusted-ca"/>
    <s v="81.192.11.172"/>
    <x v="20"/>
    <s v="10.8.0.22"/>
    <s v="New"/>
    <s v="à voir avec l'éditeur"/>
    <s v="ll81-2-172-11-192-81.ll81-2.iam.net.ma"/>
    <s v="Tandberg Linux"/>
    <s v="X12.5.9"/>
    <n v="8443"/>
    <s v="HTTPS"/>
    <s v="Expressway"/>
    <n v="6"/>
    <x v="1"/>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UC-WIN-LS88M6TTDV2-CA, DC=UC, DC=Visio -- [Path does not chain with any of the trust anchors]."/>
    <s v="http://httpd.apache.org/docs/2.2/mod/mod_ssl.html,http://nginx.org/en/docs/http/configuring_https_servers.html,https://support.microsoft.com/en-us/kb/954755"/>
    <s v=""/>
    <s v=""/>
    <d v="1995-01-01T00:00:00"/>
    <s v="ve"/>
    <n v="0"/>
    <s v=""/>
    <s v=""/>
    <s v="3 Days"/>
    <m/>
    <m/>
    <s v="Point escaladé à la CDG pour intervention de l'éditeur (ExpressWay)"/>
    <x v="1"/>
    <m/>
    <m/>
    <x v="3"/>
    <s v="Network"/>
    <s v="Fixed"/>
    <m/>
    <m/>
    <m/>
    <d v="2020-12-20T00:00:00"/>
    <e v="#N/A"/>
    <s v="Point escaladé à la CDG pour intervention de l'éditeur (ExpressWay)"/>
    <x v="1"/>
    <x v="7"/>
    <x v="1"/>
  </r>
  <r>
    <s v="81.192.11.172/8443/tlsv1_0-enabled"/>
    <s v="81.192.11.172"/>
    <x v="20"/>
    <s v="10.8.0.22"/>
    <s v="New"/>
    <s v="à voir avec l'éditeur"/>
    <s v="ll81-2-172-11-192-81.ll81-2.iam.net.ma"/>
    <s v="Tandberg Linux"/>
    <s v="X12.5.9"/>
    <n v="8443"/>
    <s v="HTTPS"/>
    <s v="Expressway"/>
    <n v="4"/>
    <x v="1"/>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3 Days"/>
    <m/>
    <m/>
    <s v="Point escaladé à la CDG pour intervention de l'éditeur (ExpressWay)"/>
    <x v="1"/>
    <m/>
    <m/>
    <x v="3"/>
    <s v="Network"/>
    <s v="Fixed"/>
    <m/>
    <m/>
    <m/>
    <d v="2020-12-20T00:00:00"/>
    <e v="#N/A"/>
    <s v="Point escaladé à la CDG pour intervention de l'éditeur (ExpressWay)"/>
    <x v="1"/>
    <x v="7"/>
    <x v="0"/>
  </r>
  <r>
    <s v="81.192.11.172/8443/tlsv1_1-enabled"/>
    <s v="81.192.11.172"/>
    <x v="20"/>
    <s v="10.8.0.22"/>
    <s v="New"/>
    <s v="à voir avec l'éditeur"/>
    <s v="ll81-2-172-11-192-81.ll81-2.iam.net.ma"/>
    <s v="Tandberg Linux"/>
    <s v="X12.5.9"/>
    <n v="8443"/>
    <s v="HTTPS"/>
    <s v="Expressway"/>
    <n v="3"/>
    <x v="0"/>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3 Days"/>
    <m/>
    <m/>
    <s v="Point escaladé à la CDG pour intervention de l'éditeur (ExpressWay)"/>
    <x v="1"/>
    <m/>
    <m/>
    <x v="3"/>
    <s v="Network"/>
    <s v="Fixed"/>
    <m/>
    <m/>
    <m/>
    <d v="2020-12-20T00:00:00"/>
    <e v="#N/A"/>
    <s v="Point escaladé à la CDG pour intervention de l'éditeur (ExpressWay)"/>
    <x v="1"/>
    <x v="7"/>
    <x v="0"/>
  </r>
  <r>
    <s v="81.192.11.174/0/generic-tcp-timestamp"/>
    <s v="81.192.11.174"/>
    <x v="21"/>
    <s v="10.9.0.11"/>
    <s v="WIP"/>
    <m/>
    <s v="ll81-2-174-11-192-81.ll81-2.iam.net.ma"/>
    <s v="Linux"/>
    <s v="4.0"/>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n v="35643"/>
    <s v="ve"/>
    <n v="0"/>
    <s v=""/>
    <s v=""/>
    <s v="168 Days"/>
    <m/>
    <m/>
    <s v="Fixed"/>
    <x v="0"/>
    <d v="2020-11-15T00:00:00"/>
    <d v="2020-11-15T00:00:00"/>
    <x v="0"/>
    <s v="Unix"/>
    <s v="Fixed"/>
    <s v="Unix"/>
    <s v="Fixed"/>
    <s v="Unix"/>
    <d v="2020-10-20T00:00:00"/>
    <e v="#N/A"/>
    <s v="Fixed"/>
    <x v="1"/>
    <x v="0"/>
    <x v="0"/>
  </r>
  <r>
    <s v="81.192.11.174/443/http-generic-browsable-dir"/>
    <s v="81.192.11.174"/>
    <x v="21"/>
    <s v="10.9.0.11"/>
    <s v="Clos"/>
    <m/>
    <s v="ll81-2-174-11-192-81.ll81-2.iam.net.ma"/>
    <s v="Linux"/>
    <s v="4.0"/>
    <n v="443"/>
    <s v="HTTPS"/>
    <s v="CDGWS"/>
    <n v="5"/>
    <x v="1"/>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74/icons/small/ _x000a_HTTP response code was an expected 200_x000a_5: &lt;/head&gt; 6: &lt;body&gt; 7: &lt;h1&gt;Index of /icons/small&lt;/h1&gt; 8: &lt;table&gt; 9: ...CO]&quot;&gt;&lt;/th&gt;&lt;th&gt;&lt;a href=&quot;?C=N;O=D&quot;&gt;Name&lt;/a&gt;&lt;/th&gt;&lt;th&gt;&lt;a href=&quot;?C=M;O=A..."/>
    <s v=""/>
    <s v=""/>
    <s v=""/>
    <n v="36892"/>
    <s v="ve"/>
    <n v="0"/>
    <s v=""/>
    <s v=""/>
    <s v="101 Days"/>
    <m/>
    <m/>
    <s v="Fixed"/>
    <x v="5"/>
    <d v="2020-11-07T00:00:00"/>
    <d v="2020-11-07T00:00:00"/>
    <x v="0"/>
    <s v="Unix"/>
    <s v="Not Fixed"/>
    <s v="Unix"/>
    <s v="Not Fixed"/>
    <s v="Unix"/>
    <d v="2020-10-20T00:00:00"/>
    <e v="#N/A"/>
    <s v="Fixed"/>
    <x v="1"/>
    <x v="0"/>
    <x v="0"/>
  </r>
  <r>
    <s v="81.192.11.174/443/jquery-cve-2019-11358"/>
    <s v="81.192.11.174"/>
    <x v="21"/>
    <s v="10.9.0.11"/>
    <s v="WIP"/>
    <s v="Voir avec l'éditeur pour la mise à jour du module Jquery"/>
    <s v="ll81-2-174-11-192-81.ll81-2.iam.net.ma"/>
    <s v="Linux"/>
    <s v="4.0"/>
    <n v="443"/>
    <s v="HTTPS"/>
    <s v="CDGWS"/>
    <n v="4"/>
    <x v="1"/>
    <s v="jquery-cve-2019-11358"/>
    <s v="jQuery Vulnerability: CVE-2019-11358"/>
    <s v="jQuery before 3.4.0, as used in Drupal, Backdrop CMS, and other products, mishandles jQuery.extend(true, {}, ...) because of Object.prototype pollution. If an unsanitized source object contained an enumerable __proto__ property, it could extend the native Object.prototype."/>
    <s v="&lt; 3.4.0_x000d__x000a__x000d__x000a_Upgrade to jQuery version 3.4.0_x000d__x000a__x000d__x000a_Download and apply the upgrade from:  https://jquery.com/download/"/>
    <s v="* Running HTTPS service_x000d__x000a__x000d__x000a_ * Vulnerable version of component jQuery found -- jQuery 3.3.1"/>
    <s v="https://blog.jquery.com/2019/04/10/jquery-3-4-0-released/"/>
    <s v="CVE-2019-11358"/>
    <s v="http://nvd.nist.gov/vuln/detail/CVE-2019-11358"/>
    <n v="43574"/>
    <s v="vv"/>
    <n v="0"/>
    <s v=""/>
    <s v=""/>
    <s v="101 Days"/>
    <m/>
    <m/>
    <s v="Fixed"/>
    <x v="13"/>
    <d v="2020-12-25T00:00:00"/>
    <m/>
    <x v="0"/>
    <s v="Unix"/>
    <s v="In Progress"/>
    <s v="Unix"/>
    <s v="In Progress"/>
    <s v="Unix"/>
    <d v="2020-10-20T00:00:00"/>
    <e v="#N/A"/>
    <s v="Fixed"/>
    <x v="1"/>
    <x v="0"/>
    <x v="0"/>
  </r>
  <r>
    <s v="81.192.11.174/443/jquery-cve-2020-11022"/>
    <s v="81.192.11.174"/>
    <x v="21"/>
    <s v="10.9.0.11"/>
    <s v="WIP"/>
    <s v="Voir avec l'éditeur pour la mise à jour du module Jquery"/>
    <s v="ll81-2-174-11-192-81.ll81-2.iam.net.ma"/>
    <s v="Linux"/>
    <s v="4.0"/>
    <n v="443"/>
    <s v="HTTPS"/>
    <s v="CDGWS"/>
    <n v="4"/>
    <x v="1"/>
    <s v="jquery-cve-2020-11022"/>
    <s v="jQuery Vulnerability: CVE-2020-11022"/>
    <s v="In jQuery versions greater than or equal to 1.2 and before 3.5.0, passing HTML from untrusted sources - even after sanitizing it - to one of jQuery's DOM manipulation methods (i.e. .html(), .append(), and others) may execute untrusted code. This problem is patched in jQuery 3.5.0."/>
    <s v="&lt; 3.5.0_x000d__x000a__x000d__x000a_Upgrade to jQuery version 3.5.0_x000d__x000a__x000d__x000a_Download and apply the upgrade from:  https://jquery.com/download/"/>
    <s v="* Running HTTPS service_x000d__x000a__x000d__x000a_ * Vulnerable version of component jQuery found -- jQuery 3.3.1"/>
    <s v="https://blog.jquery.com/2020/04/10/jquery-3-5-0-released/,https://jquery.com/upgrade-guide/3.5/"/>
    <s v="CVE-2020-11022"/>
    <s v="http://nvd.nist.gov/vuln/detail/CVE-2020-11022"/>
    <n v="43950"/>
    <s v="vv"/>
    <n v="0"/>
    <s v=""/>
    <s v=""/>
    <s v="101 Days"/>
    <m/>
    <m/>
    <s v="Fixed"/>
    <x v="13"/>
    <d v="2020-12-25T00:00:00"/>
    <m/>
    <x v="0"/>
    <s v="Unix"/>
    <s v="In Progress"/>
    <s v="Unix"/>
    <s v="In Progress"/>
    <s v="Unix"/>
    <d v="2020-10-20T00:00:00"/>
    <e v="#N/A"/>
    <s v="Fixed"/>
    <x v="1"/>
    <x v="0"/>
    <x v="0"/>
  </r>
  <r>
    <s v="81.192.11.174/443/jquery-cve-2020-11023"/>
    <s v="81.192.11.174"/>
    <x v="21"/>
    <s v="10.9.0.11"/>
    <s v="WIP"/>
    <s v="Voir avec l'éditeur pour la mise à jour du module Jquery"/>
    <s v="ll81-2-174-11-192-81.ll81-2.iam.net.ma"/>
    <s v="Linux"/>
    <s v="4.0"/>
    <n v="443"/>
    <s v="HTTPS"/>
    <s v="CDGWS"/>
    <n v="4"/>
    <x v="1"/>
    <s v="jquery-cve-2020-11023"/>
    <s v="jQuery Vulnerability: CVE-2020-11023"/>
    <s v="In jQuery versions greater than or equal to 1.0.3 and before 3.5.0, passing HTML containing &lt;option&gt; elements from untrusted sources - even after sanitizing it - to one of jQuery's DOM manipulation methods (i.e. .html(), .append(), and others) may execute untrusted code. This problem is patched in jQuery 3.5.0."/>
    <s v="&lt; 3.5.0_x000d__x000a__x000d__x000a_Upgrade to jQuery version 3.5.0_x000d__x000a__x000d__x000a_Download and apply the upgrade from:  https://jquery.com/download/"/>
    <s v="* Running HTTPS service_x000d__x000a__x000d__x000a_ * Vulnerable version of component jQuery found -- jQuery 3.3.1"/>
    <s v="https://blog.jquery.com/2020/04/10/jquery-3-5-0-released,https://jquery.com/upgrade-guide/3.5/"/>
    <s v="CVE-2020-11023"/>
    <s v="http://nvd.nist.gov/vuln/detail/CVE-2020-11023"/>
    <n v="43950"/>
    <s v="vv"/>
    <n v="0"/>
    <s v=""/>
    <s v=""/>
    <s v="101 Days"/>
    <m/>
    <m/>
    <s v="Fixed"/>
    <x v="13"/>
    <d v="2020-12-25T00:00:00"/>
    <m/>
    <x v="0"/>
    <s v="Unix"/>
    <s v="In Progress"/>
    <s v="Unix"/>
    <s v="In Progress"/>
    <s v="Unix"/>
    <d v="2020-10-20T00:00:00"/>
    <e v="#N/A"/>
    <s v="Fixed"/>
    <x v="1"/>
    <x v="0"/>
    <x v="0"/>
  </r>
  <r>
    <s v="81.192.11.174/443/ssl-3des-ciphers"/>
    <s v="81.192.11.174"/>
    <x v="21"/>
    <s v="10.9.0.11"/>
    <s v="WIP"/>
    <m/>
    <s v="ll81-2-174-11-192-81.ll81-2.iam.net.ma"/>
    <s v="Linux"/>
    <s v="4.0"/>
    <n v="443"/>
    <s v="HTTPS"/>
    <s v="CDGWS"/>
    <n v="1"/>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n v="39845"/>
    <s v="ve"/>
    <n v="0"/>
    <s v=""/>
    <s v=""/>
    <s v="101 Days"/>
    <m/>
    <m/>
    <s v="Fixed"/>
    <x v="0"/>
    <d v="2020-11-15T00:00:00"/>
    <d v="2020-11-15T00:00:00"/>
    <x v="0"/>
    <s v="Unix"/>
    <s v="In Progress"/>
    <s v="Unix"/>
    <s v="In Progress"/>
    <s v="Unix"/>
    <d v="2020-10-20T00:00:00"/>
    <e v="#N/A"/>
    <s v="Fixed"/>
    <x v="1"/>
    <x v="0"/>
    <x v="0"/>
  </r>
  <r>
    <s v="81.192.11.174/443/ssl-cve-2011-3389-beast"/>
    <s v="81.192.11.174"/>
    <x v="21"/>
    <s v="10.9.0.11"/>
    <s v="Clos"/>
    <m/>
    <s v="ll81-2-174-11-192-81.ll81-2.iam.net.ma"/>
    <s v="Linux"/>
    <s v="4.0"/>
    <n v="443"/>
    <s v="HTTPS"/>
    <s v="CDGWS"/>
    <n v="4"/>
    <x v="1"/>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ECDHE_RSA_WITH_3DES_EDE_CBC_SHA_x000d__x000a__x000d__x000a_       * TLS_ECDHE_RSA_WITH_AES_128_CBC_SHA_x000d__x000a__x000d__x000a_       * TLS_ECDHE_RSA_WITH_AES_256_CBC_SHA_x000d__x000a__x000d__x000a_       * TLS_RSA_WITH_AES_128_CBC_SHA_x000d__x000a__x000d__x000a_       * TLS_RSA_WITH_AES_256_CBC_SHA"/>
    <s v="http://vnhacker.blogspot.co.uk/2011/09/beast.html"/>
    <s v="CVE-2011-3389"/>
    <s v="http://nvd.nist.gov/vuln/detail/CVE-2011-3389"/>
    <n v="40792"/>
    <s v="ve"/>
    <n v="0"/>
    <s v=""/>
    <s v=""/>
    <s v="101 Days"/>
    <m/>
    <m/>
    <s v="Fixed"/>
    <x v="5"/>
    <d v="2020-11-07T00:00:00"/>
    <d v="2020-11-07T00:00:00"/>
    <x v="0"/>
    <s v="Unix"/>
    <s v="Not Fixed"/>
    <s v="Unix"/>
    <s v="Not Fixed"/>
    <s v="Unix"/>
    <d v="2020-10-20T00:00:00"/>
    <e v="#N/A"/>
    <s v="Fixed"/>
    <x v="1"/>
    <x v="0"/>
    <x v="0"/>
  </r>
  <r>
    <s v="81.192.11.174/443/ssl-cve-2016-2183-sweet32"/>
    <s v="81.192.11.174"/>
    <x v="21"/>
    <s v="10.9.0.11"/>
    <s v="Clos"/>
    <m/>
    <s v="ll81-2-174-11-192-81.ll81-2.iam.net.ma"/>
    <s v="Linux"/>
    <s v="4.0"/>
    <n v="443"/>
    <s v="HTTPS"/>
    <s v="CDGWS"/>
    <n v="5"/>
    <x v="1"/>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s://sweet32.info/,https://www.openssl.org/blog/blog/2016/08/24/sweet32,https://access.redhat.com/articles/2548661"/>
    <s v="CVE-2016-2183"/>
    <s v="http://nvd.nist.gov/vuln/detail/CVE-2016-2183"/>
    <n v="42606"/>
    <s v="ve"/>
    <n v="1"/>
    <s v="Expert"/>
    <s v="http://www.exploit-db.com/exploits/42091"/>
    <s v="101 Days"/>
    <m/>
    <m/>
    <s v="Fixed"/>
    <x v="5"/>
    <d v="2020-11-07T00:00:00"/>
    <d v="2020-11-07T00:00:00"/>
    <x v="0"/>
    <s v="Unix"/>
    <s v="Not Fixed"/>
    <s v="Unix"/>
    <s v="Not Fixed"/>
    <s v="Unix"/>
    <d v="2020-10-20T00:00:00"/>
    <e v="#N/A"/>
    <s v="Fixed"/>
    <x v="1"/>
    <x v="0"/>
    <x v="0"/>
  </r>
  <r>
    <s v="81.192.11.174/443/ssl-static-key-ciphers"/>
    <s v="81.192.11.174"/>
    <x v="21"/>
    <s v="10.9.0.11"/>
    <s v="WIP"/>
    <m/>
    <s v="ll81-2-174-11-192-81.ll81-2.iam.net.ma"/>
    <s v="Linux"/>
    <s v="4.0"/>
    <n v="443"/>
    <s v="HTTPS"/>
    <s v="CDGWS"/>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n v="42036"/>
    <s v="ve"/>
    <n v="0"/>
    <s v=""/>
    <s v=""/>
    <s v="101 Days"/>
    <m/>
    <m/>
    <s v="Fixed"/>
    <x v="0"/>
    <d v="2020-11-15T00:00:00"/>
    <d v="2020-11-15T00:00:00"/>
    <x v="0"/>
    <s v="Unix"/>
    <s v="In Progress"/>
    <s v="Unix"/>
    <s v="In Progress"/>
    <s v="Unix"/>
    <d v="2020-10-20T00:00:00"/>
    <e v="#N/A"/>
    <s v="Fixed"/>
    <x v="1"/>
    <x v="0"/>
    <x v="0"/>
  </r>
  <r>
    <s v="81.192.11.174/443/tls-server-cert-expired"/>
    <s v="81.192.11.174"/>
    <x v="21"/>
    <s v="10.9.0.11"/>
    <s v="New"/>
    <s v="Apparu dans le scan de decembre"/>
    <s v="ll81-2-174-11-192-81.ll81-2.iam.net.ma"/>
    <s v="Linux"/>
    <s v="4.0"/>
    <n v="443"/>
    <s v="HTTPS"/>
    <s v="CDGWS"/>
    <n v="7"/>
    <x v="2"/>
    <s v="tls-server-cert-expired"/>
    <s v="X.509 Server Certificate Is Invalid/Expired"/>
    <s v="The TLS/SSL server's X.509 certificate either contains a start date in the future or is expired.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Mon, 30 Nov 2020 18:11:44 WEST"/>
    <s v=""/>
    <s v=""/>
    <s v=""/>
    <d v="1995-01-01T00:00:00"/>
    <s v="ve"/>
    <n v="0"/>
    <s v=""/>
    <s v=""/>
    <s v="3 Days"/>
    <m/>
    <m/>
    <s v="Fixed"/>
    <x v="1"/>
    <m/>
    <m/>
    <x v="3"/>
    <s v="Unix"/>
    <e v="#N/A"/>
    <s v="Unix"/>
    <m/>
    <m/>
    <d v="2020-12-20T00:00:00"/>
    <e v="#N/A"/>
    <s v="Fixed"/>
    <x v="1"/>
    <x v="0"/>
    <x v="0"/>
  </r>
  <r>
    <s v="81.192.11.174/443/tls-server-cert-to-expire"/>
    <s v="81.192.11.174"/>
    <x v="21"/>
    <s v="10.9.0.11-10.250.251.1"/>
    <s v="Clos"/>
    <s v="UNIX"/>
    <s v="ll81-2-174-11-192-81.ll81-2.iam.net.ma"/>
    <s v="Linux"/>
    <s v="4.4"/>
    <n v="443"/>
    <s v="HTTPS"/>
    <s v="CDGWS"/>
    <n v="1"/>
    <x v="0"/>
    <s v="tls-server-cert-to-expire"/>
    <s v="X.509 Server Certificate Will Expire Within 30 Days"/>
    <s v="The TLS/SSL server's X.509 certificate will expire within 30 days. Please refer to the proof for more details."/>
    <s v="Replace TLS/SSL server X.509 certificate_x000d__x000a__x000d__x000a__x000d__x000a_ Obtain a new certificate and install it on the server. The exact instructions for obtaining a new certificate depend on your organization's requirements. Generally, you will need to generate a certificate request and save the request as a file. This file is then sent to a Certificate Authority (CA) for processing. Please ensure that the start date and the end date on the new certificate are valid. _x000d__x000a__x000d__x000a_ Your organization may have its own internal Certificate Authority. If not, you may have to pay for a certificate from a trusted external Certificate Authority. _x000d__x000a__x000d__x000a_ After you have received a new certificate file from the Certificate Authority, you will have to install it on the TLS/SSL server. The exact instructions for installing a certificate differ for each product. Please follow their documentation."/>
    <s v="The certificate is not valid after Mon, 30 Nov 2020 18:11:44 WEST"/>
    <s v=""/>
    <s v=""/>
    <s v=""/>
    <d v="1995-01-01T00:00:00"/>
    <s v="ve"/>
    <n v="0"/>
    <s v=""/>
    <s v=""/>
    <s v="3 Days"/>
    <m/>
    <m/>
    <s v="Fixed"/>
    <x v="10"/>
    <d v="2020-11-18T00:00:00"/>
    <m/>
    <x v="1"/>
    <s v="Unix"/>
    <s v="New"/>
    <s v="Unix"/>
    <m/>
    <m/>
    <d v="2020-11-20T00:00:00"/>
    <e v="#N/A"/>
    <s v="Fixed"/>
    <x v="1"/>
    <x v="0"/>
    <x v="0"/>
  </r>
  <r>
    <s v="81.192.11.174/443/tls-untrusted-ca"/>
    <s v="81.192.11.174"/>
    <x v="21"/>
    <s v="10.9.0.11"/>
    <s v="New"/>
    <s v="Apparu dans le scan de decembre"/>
    <s v="ll81-2-174-11-192-81.ll81-2.iam.net.ma"/>
    <s v="Linux"/>
    <s v="4.0"/>
    <n v="443"/>
    <s v="HTTPS"/>
    <s v="CDGWS"/>
    <n v="6"/>
    <x v="1"/>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Entrust Certification Authority - L1K, OU=&quot;(c) 2012 Entrust, Inc. - for authorized use only&quot;, OU=See www.entrust.net/legal-terms, O=&quot;Entrust, Inc.&quot;, C=US -- [validity check failed, Path does not chain with any of the trust anchors]."/>
    <s v="http://httpd.apache.org/docs/2.2/mod/mod_ssl.html,http://nginx.org/en/docs/http/configuring_https_servers.html,https://support.microsoft.com/en-us/kb/954755"/>
    <s v=""/>
    <s v=""/>
    <d v="1995-01-01T00:00:00"/>
    <s v="ve"/>
    <n v="0"/>
    <s v=""/>
    <s v=""/>
    <s v="3 Days"/>
    <m/>
    <m/>
    <s v="Fixed"/>
    <x v="1"/>
    <m/>
    <m/>
    <x v="3"/>
    <s v="Unix"/>
    <e v="#N/A"/>
    <s v="Unix"/>
    <m/>
    <m/>
    <d v="2020-12-20T00:00:00"/>
    <e v="#N/A"/>
    <s v="Fixed"/>
    <x v="1"/>
    <x v="0"/>
    <x v="0"/>
  </r>
  <r>
    <s v="81.192.11.174/443/tlsv1_0-enabled"/>
    <s v="81.192.11.174"/>
    <x v="21"/>
    <s v="10.9.0.11"/>
    <s v="Clos"/>
    <m/>
    <s v="ll81-2-174-11-192-81.ll81-2.iam.net.ma"/>
    <s v="Linux"/>
    <s v="4.0"/>
    <n v="443"/>
    <s v="HTTPS"/>
    <s v="CDGWS"/>
    <n v="4"/>
    <x v="1"/>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n v="41926"/>
    <s v="ve"/>
    <n v="0"/>
    <s v=""/>
    <s v=""/>
    <s v="101 Days"/>
    <m/>
    <m/>
    <s v="Fixed"/>
    <x v="5"/>
    <d v="2020-11-07T00:00:00"/>
    <d v="2020-11-07T00:00:00"/>
    <x v="0"/>
    <s v="Unix"/>
    <s v="Not Fixed"/>
    <s v="Unix"/>
    <s v="Not Fixed"/>
    <s v="Unix"/>
    <d v="2020-10-20T00:00:00"/>
    <e v="#N/A"/>
    <s v="Fixed"/>
    <x v="1"/>
    <x v="0"/>
    <x v="0"/>
  </r>
  <r>
    <s v="81.192.11.174/443/tlsv1_1-enabled"/>
    <s v="81.192.11.174"/>
    <x v="21"/>
    <s v="10.9.0.11"/>
    <s v="WIP"/>
    <m/>
    <s v="ll81-2-174-11-192-81.ll81-2.iam.net.ma"/>
    <s v="Linux"/>
    <s v="4.0"/>
    <n v="443"/>
    <s v="HTTPS"/>
    <s v="CDGWS"/>
    <n v="3"/>
    <x v="0"/>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n v="41926"/>
    <s v="ve"/>
    <n v="0"/>
    <s v=""/>
    <s v=""/>
    <s v="101 Days"/>
    <m/>
    <m/>
    <s v="Fixed"/>
    <x v="0"/>
    <d v="2020-11-15T00:00:00"/>
    <d v="2020-11-15T00:00:00"/>
    <x v="0"/>
    <s v="Unix"/>
    <s v="In Progress"/>
    <s v="Unix"/>
    <s v="In Progress"/>
    <s v="Unix"/>
    <d v="2020-10-20T00:00:00"/>
    <e v="#N/A"/>
    <s v="Fixed"/>
    <x v="1"/>
    <x v="0"/>
    <x v="0"/>
  </r>
  <r>
    <s v="81.192.11.175/0/generic-tcp-timestamp"/>
    <s v="81.192.11.175"/>
    <x v="22"/>
    <s v="10.250.255.8"/>
    <s v="New"/>
    <s v="Apparu dans le scan de decembre"/>
    <s v="ll81-2-175-11-192-81.ll81-2.iam.net.ma"/>
    <s v="Linux"/>
    <s v="4.4"/>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3 Days"/>
    <m/>
    <s v="Vulnérabilité cloturé après retour de l'editeur voir Mail de Khalid smila du 28/01/21"/>
    <s v="Fixed"/>
    <x v="6"/>
    <d v="2021-01-28T00:00:00"/>
    <m/>
    <x v="3"/>
    <s v="Windows"/>
    <e v="#N/A"/>
    <m/>
    <m/>
    <m/>
    <d v="2020-12-20T00:00:00"/>
    <e v="#N/A"/>
    <s v="Fixed"/>
    <x v="1"/>
    <x v="0"/>
    <x v="1"/>
  </r>
  <r>
    <s v="81.192.11.175/443/certificate-common-name-mismatch"/>
    <s v="81.192.11.175"/>
    <x v="22"/>
    <s v="10.250.255.8"/>
    <s v="Faux Positive"/>
    <s v="Apparu dans le scan de decembre"/>
    <s v="ll81-2-175-11-192-81.ll81-2.iam.net.ma"/>
    <s v="Linux"/>
    <s v="4.4"/>
    <n v="443"/>
    <s v="HTTPS"/>
    <s v=""/>
    <n v="7"/>
    <x v="2"/>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3 Days"/>
    <m/>
    <m/>
    <s v="Faux Positive"/>
    <x v="1"/>
    <m/>
    <m/>
    <x v="3"/>
    <s v="Windows"/>
    <e v="#N/A"/>
    <s v="Wintel"/>
    <m/>
    <m/>
    <d v="2020-12-20T00:00:00"/>
    <e v="#N/A"/>
    <s v="Faux Positive"/>
    <x v="1"/>
    <x v="1"/>
    <x v="1"/>
  </r>
  <r>
    <s v="81.192.11.176/0/generic-tcp-timestamp"/>
    <s v="81.192.11.176"/>
    <x v="23"/>
    <s v="172.20.0.90"/>
    <s v="New"/>
    <s v="Apparu dans le scan de decembre"/>
    <s v="ll81-2-176-11-192-81.ll81-2.iam.net.ma"/>
    <s v="Linux"/>
    <s v="4.0"/>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3 Days"/>
    <m/>
    <s v="Vulnérabilité cloturé après retour de l'editeur voir Mail de Khalid smila du 28/01/21"/>
    <s v="Fixed"/>
    <x v="6"/>
    <d v="2021-01-28T00:00:00"/>
    <m/>
    <x v="3"/>
    <s v="Windows"/>
    <e v="#N/A"/>
    <m/>
    <m/>
    <m/>
    <d v="2020-12-20T00:00:00"/>
    <e v="#N/A"/>
    <s v="Fixed"/>
    <x v="1"/>
    <x v="0"/>
    <x v="1"/>
  </r>
  <r>
    <s v="81.192.11.176/443/certificate-common-name-mismatch"/>
    <s v="81.192.11.176"/>
    <x v="23"/>
    <s v="172.20.0.90"/>
    <s v="Faux Positive"/>
    <s v="Apparu dans le scan de decembre"/>
    <s v="ll81-2-176-11-192-81.ll81-2.iam.net.ma"/>
    <s v="Linux"/>
    <s v="4.0"/>
    <n v="443"/>
    <s v="HTTPS"/>
    <s v=""/>
    <n v="7"/>
    <x v="2"/>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3 Days"/>
    <m/>
    <s v="Apparu dans le scan de decembre"/>
    <s v="Faux Positive"/>
    <x v="1"/>
    <m/>
    <m/>
    <x v="3"/>
    <s v="Windows"/>
    <e v="#N/A"/>
    <s v="Wintel"/>
    <m/>
    <m/>
    <d v="2020-12-20T00:00:00"/>
    <e v="#N/A"/>
    <s v="Faux Positive"/>
    <x v="1"/>
    <x v="1"/>
    <x v="1"/>
  </r>
  <r>
    <s v="81.192.11.179/443/http-cookie-http-only-flag"/>
    <s v="81.192.11.179"/>
    <x v="24"/>
    <m/>
    <s v="New"/>
    <m/>
    <m/>
    <s v="Linux"/>
    <s v="4.0"/>
    <s v="443"/>
    <s v="HTTPS"/>
    <s v="CDGWS"/>
    <s v="5"/>
    <x v="1"/>
    <s v="http-cookie-http-only-flag"/>
    <s v="http-cookie-http-only-flag"/>
    <s v="Missing HttpOnly Flag From Cookie"/>
    <s v="HttpOnly is an additional flag included in a Set-Cookie HTTP response header. If supported by the browser, using the HttpOnly flag when generating a cookie helps mitigate the risk of client side script accessing the protected cookie. If a browser that supports HttpOnly detects a cookie containing the HttpOnly flag, and client side script code attempts to read the cookie, the browser returns an empty string as the result. This causes the attack to fail by preventing the malicious (usually XSS) code from sending the data to an attacker's website."/>
    <s v="Add the HttpOnly to all cookies_x000d__x000a__x000d__x000a__x000d__x000a_For each cookie generated by your web-site, add the &quot;HttpOnly&quot; flag to the cookie. For example:_x000d__x000a__x000d__x000a__x000d__x000a_ Set-Cookie: &lt;name&gt;=&lt;value&gt;[; &lt;Max-Age&gt;=&lt;age&gt;] [; expires=&lt;date&gt;][; domain=&lt;domain_name&gt;] [; path=&lt;some_path&gt;][; secure][; HttpOnly]"/>
    <s v="Cookie is not marked as HttpOnly: 'HttpOnly=; path=/exchange; secure; domain=81.192.11.179'_x000d__x000a__x000d__x000a_URL:  https://81.192.11.179/exchange/logon.asp"/>
    <s v="http://msdn.microsoft.com/en-us/library/ms533046.aspx,https://www.owasp.org/index.php/HttpOnly"/>
    <s v=""/>
    <s v="2011-05-31"/>
    <m/>
    <m/>
    <m/>
    <m/>
    <s v="3 Days"/>
    <m/>
    <m/>
    <s v="Not Fixed 'Encours d'investigation) "/>
    <x v="1"/>
    <m/>
    <m/>
    <x v="4"/>
    <m/>
    <m/>
    <m/>
    <m/>
    <m/>
    <m/>
    <e v="#N/A"/>
    <e v="#N/A"/>
    <x v="1"/>
    <x v="3"/>
    <x v="1"/>
  </r>
  <r>
    <s v="81.192.11.179/443/http-generic-browsable-dir"/>
    <s v="81.192.11.179"/>
    <x v="24"/>
    <m/>
    <s v="Not Fixed"/>
    <m/>
    <m/>
    <s v="Linux"/>
    <s v="4.0"/>
    <s v="443"/>
    <s v="HTTPS"/>
    <s v="CDGWS"/>
    <s v="5"/>
    <x v="1"/>
    <s v="http-generic-browsable-dir"/>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79/icons/ _x000a_HTTP response code was an expected 200_x000a_5: &lt;/head&gt; 6: &lt;body&gt; 7: &lt;h1&gt;Index of /icons&lt;/h1&gt; 8: &lt;table&gt; 9: ...CO]&quot;&gt;&lt;/th&gt;&lt;th&gt;&lt;a href=&quot;?C=N;O=D&quot;&gt;Name&lt;/a&gt;&lt;/th&gt;&lt;th&gt;&lt;a href=&quot;?C=M;O=A..."/>
    <s v=""/>
    <s v=""/>
    <s v="2001-01-01"/>
    <m/>
    <m/>
    <m/>
    <m/>
    <s v="38 Days"/>
    <m/>
    <m/>
    <s v="Not Fixed 'Encours d'investigation) "/>
    <x v="1"/>
    <m/>
    <m/>
    <x v="2"/>
    <m/>
    <m/>
    <m/>
    <m/>
    <m/>
    <m/>
    <e v="#N/A"/>
    <e v="#N/A"/>
    <x v="1"/>
    <x v="3"/>
    <x v="0"/>
  </r>
  <r>
    <s v="81.192.11.181/0/generic-tcp-timestamp"/>
    <s v="81.192.11.181"/>
    <x v="25"/>
    <s v="10.9.0.124"/>
    <s v="Open"/>
    <s v="Créer demande de support auprés de Microsoft "/>
    <s v="ll81-2-181-11-192-81.ll81-2.iam.net.ma"/>
    <s v="Microsoft Windows"/>
    <s v=""/>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a_      Disable TCP timestamp responses on Cisco_x000a__x000a_      _x000a_       Run the following command to disable TCP timestamps: _x000a__x000a_       no ip tcp timestamp _x000a__x000a__x000a__x000a_ * FreeBSD_x000a_      Disable TCP timestamp responses on Free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Linux_x000a_      Disable TCP timestamp responses on Linux_x000a__x000a_      _x000a_       Set the value of net.ipv4.tcp_timestamps to 0 by running the following command: _x000a__x000a_       sysctl -w net.ipv4.tcp_timestamps=0 _x000a__x000a_       Additionally, put the following value in the default sysctl configuration file, generally sysctl.conf: _x000a__x000a_       net.ipv4.tcp_timestamps=0 _x000a__x000a__x000a__x000a_ * OpenBSD_x000a_      Disable TCP timestamp responses on Open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a_      Disable TCP timestamp responses on Windows versions before Vista_x000a__x000a_      _x000a_       Set the Tcp1323Opts value in the following key to 1: _x000a__x000a_       HKEY_LOCAL_MACHINE\System\CurrentControlSet\Services\Tcpip\Parameters _x000a__x000a__x000a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a_      Disable TCP timestamp responses on Windows versions since Vista_x000a__x000a_      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s v="Vulnérabilité cloturé après retour de l'editeur voir Mail de Khalid smila du 28/01/21"/>
    <s v="Fixed"/>
    <x v="6"/>
    <d v="2021-01-28T00:00:00"/>
    <m/>
    <x v="0"/>
    <s v="Windows"/>
    <s v="Fixed"/>
    <s v="Client"/>
    <s v="Fixed"/>
    <s v="Client"/>
    <d v="2020-10-20T00:00:00"/>
    <e v="#N/A"/>
    <s v="Fixed"/>
    <x v="1"/>
    <x v="0"/>
    <x v="0"/>
  </r>
  <r>
    <s v="81.192.11.181/443/certificate-common-name-mismatch"/>
    <s v="81.192.11.181"/>
    <x v="25"/>
    <s v="10.9.0.124"/>
    <s v="Faux Positive"/>
    <m/>
    <s v="ll81-2-181-11-192-81.ll81-2.iam.net.ma"/>
    <s v="Microsoft Windows"/>
    <s v=""/>
    <n v="443"/>
    <s v="HTTPS"/>
    <s v="Microsoft-HTTPAPI 2.0"/>
    <n v="7"/>
    <x v="2"/>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147 Days"/>
    <m/>
    <m/>
    <s v="Fixed"/>
    <x v="1"/>
    <m/>
    <m/>
    <x v="0"/>
    <s v="Windows"/>
    <s v="Faux Positive"/>
    <s v="Client"/>
    <s v="Faux Positive"/>
    <s v="Client"/>
    <d v="2020-10-20T00:00:00"/>
    <e v="#N/A"/>
    <s v="Faux Positive"/>
    <x v="1"/>
    <x v="0"/>
    <x v="0"/>
  </r>
  <r>
    <s v="81.192.11.181/443/ssl-3des-ciphers"/>
    <s v="81.192.11.181"/>
    <x v="25"/>
    <s v="10.9.0.124"/>
    <s v="Clos"/>
    <s v="26/10/2020:_x000a_Change id: 93722_x000a_Statu: effectuer avec success"/>
    <s v="ll81-2-181-11-192-81.ll81-2.iam.net.ma"/>
    <s v="Microsoft Windows"/>
    <s v=""/>
    <n v="443"/>
    <s v="HTTPS"/>
    <s v="Microsoft-HTTPAPI 2.0"/>
    <n v="1"/>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68 Days"/>
    <m/>
    <m/>
    <s v="Fixed"/>
    <x v="14"/>
    <d v="2021-01-21T00:00:00"/>
    <m/>
    <x v="0"/>
    <s v="Windows"/>
    <s v="Not Fixed"/>
    <s v="Client"/>
    <s v="Not Fixed"/>
    <s v="Client"/>
    <d v="2020-10-20T00:00:00"/>
    <e v="#N/A"/>
    <s v="Fixed"/>
    <x v="1"/>
    <x v="0"/>
    <x v="0"/>
  </r>
  <r>
    <s v="81.192.11.181/443/ssl-cve-2016-2183-sweet32"/>
    <s v="81.192.11.181"/>
    <x v="25"/>
    <s v="10.9.0.124"/>
    <s v="Clos"/>
    <s v="26/10/2020:_x000a_Change id: 93722_x000a_Statu: effectuer avec success"/>
    <s v="ll81-2-181-11-192-81.ll81-2.iam.net.ma"/>
    <s v="Microsoft Windows"/>
    <s v=""/>
    <n v="443"/>
    <s v="HTTPS"/>
    <s v="Microsoft-HTTPAPI 2.0"/>
    <n v="5"/>
    <x v="1"/>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s://sweet32.info/,https://www.openssl.org/blog/blog/2016/08/24/sweet32,https://access.redhat.com/articles/2548661"/>
    <s v="CVE-2016-2183"/>
    <s v="http://nvd.nist.gov/vuln/detail/CVE-2016-2183"/>
    <d v="2016-08-24T00:00:00"/>
    <s v="ve"/>
    <n v="1"/>
    <s v="Expert"/>
    <s v="http://www.exploit-db.com/exploits/42091"/>
    <s v="168 Days"/>
    <m/>
    <m/>
    <s v="Fixed"/>
    <x v="14"/>
    <d v="2021-01-21T00:00:00"/>
    <m/>
    <x v="0"/>
    <s v="Windows"/>
    <s v="Not Fixed"/>
    <s v="Client"/>
    <s v="Not Fixed"/>
    <s v="Client"/>
    <d v="2020-10-20T00:00:00"/>
    <e v="#N/A"/>
    <s v="Fixed"/>
    <x v="1"/>
    <x v="0"/>
    <x v="0"/>
  </r>
  <r>
    <s v="81.192.11.181/443/ssl-static-key-ciphers"/>
    <s v="81.192.11.181"/>
    <x v="25"/>
    <s v="10.9.0.124"/>
    <s v="Clos"/>
    <s v="26/10/2020:_x000a_Change id: 93722_x000a_Statu: effectuer avec success"/>
    <s v="ll81-2-181-11-192-81.ll81-2.iam.net.ma"/>
    <s v="Microsoft Windows"/>
    <s v=""/>
    <n v="443"/>
    <s v="HTTPS"/>
    <s v="Microsoft-HTTPAPI 2.0"/>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68 Days"/>
    <m/>
    <m/>
    <s v="Fixed"/>
    <x v="14"/>
    <d v="2021-01-21T00:00:00"/>
    <m/>
    <x v="0"/>
    <s v="Windows"/>
    <s v="Not Fixed"/>
    <s v="Client"/>
    <s v="Not Fixed"/>
    <s v="Client"/>
    <d v="2020-10-20T00:00:00"/>
    <e v="#N/A"/>
    <s v="Fixed"/>
    <x v="1"/>
    <x v="0"/>
    <x v="0"/>
  </r>
  <r>
    <s v="81.192.11.182/0/generic-tcp-timestamp"/>
    <s v="81.192.11.182"/>
    <x v="26"/>
    <s v="10.9.0.120"/>
    <s v="WIP"/>
    <s v="Créer demande de support auprés de Microsoft "/>
    <s v="ll81-2-182-11-192-81.ll81-2.iam.net.ma"/>
    <s v="Microsoft Windows"/>
    <s v=""/>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s v="Vulnérabilité cloturé après retour de l'editeur voir Mail de Khalid smila du 28/01/21"/>
    <s v="Fixed"/>
    <x v="6"/>
    <d v="2021-01-28T00:00:00"/>
    <m/>
    <x v="0"/>
    <s v="Windows"/>
    <s v="Fixed"/>
    <s v="Client"/>
    <s v="Fixed"/>
    <s v="Client"/>
    <d v="2020-10-20T00:00:00"/>
    <e v="#N/A"/>
    <s v="Fixed"/>
    <x v="1"/>
    <x v="0"/>
    <x v="1"/>
  </r>
  <r>
    <s v="81.192.11.182/443/certificate-common-name-mismatch"/>
    <s v="81.192.11.182"/>
    <x v="26"/>
    <s v="10.9.0.120"/>
    <s v="Faux Positive"/>
    <m/>
    <s v="ll81-2-182-11-192-81.ll81-2.iam.net.ma"/>
    <s v="Microsoft Windows"/>
    <s v=""/>
    <n v="443"/>
    <s v="HTTPS"/>
    <s v="Microsoft-HTTPAPI 2.0"/>
    <n v="7"/>
    <x v="2"/>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161 Days"/>
    <m/>
    <m/>
    <s v="Faux Positive"/>
    <x v="1"/>
    <m/>
    <m/>
    <x v="0"/>
    <s v="Windows"/>
    <s v="Faux Positive"/>
    <s v="Client"/>
    <s v="Faux Positive"/>
    <s v="Client"/>
    <d v="2020-10-20T00:00:00"/>
    <e v="#N/A"/>
    <s v="Faux Positive"/>
    <x v="1"/>
    <x v="1"/>
    <x v="1"/>
  </r>
  <r>
    <s v="81.192.11.182/443/http-cookie-http-only-flag"/>
    <s v="81.192.11.182"/>
    <x v="26"/>
    <s v="10.9.0.120"/>
    <s v="New"/>
    <s v="Apparu dans le scan de decembre"/>
    <s v="ll81-2-182-11-192-81.ll81-2.iam.net.ma"/>
    <s v="Linux"/>
    <s v="4.0"/>
    <n v="443"/>
    <s v="HTTPS"/>
    <s v=""/>
    <n v="5"/>
    <x v="1"/>
    <s v="http-cookie-http-only-flag"/>
    <s v="Missing HttpOnly Flag From Cookie"/>
    <s v="HttpOnly is an additional flag included in a Set-Cookie HTTP response header. If supported by the browser, using the HttpOnly flag when generating a cookie helps mitigate the risk of client side script accessing the protected cookie. If a browser that supports HttpOnly detects a cookie containing the HttpOnly flag, and client side script code attempts to read the cookie, the browser returns an empty string as the result. This causes the attack to fail by preventing the malicious (usually XSS) code from sending the data to an attacker's website."/>
    <s v="Add the HttpOnly to all cookies_x000d__x000a__x000d__x000a__x000d__x000a_For each cookie generated by your web-site, add the &quot;HttpOnly&quot; flag to the cookie. For example:_x000d__x000a__x000d__x000a__x000d__x000a_ Set-Cookie: &lt;name&gt;=&lt;value&gt;[; &lt;Max-Age&gt;=&lt;age&gt;] [; expires=&lt;date&gt;][; domain=&lt;domain_name&gt;] [; path=&lt;some_path&gt;][; secure][; HttpOnly]"/>
    <s v="Cookie is not marked as HttpOnly: 'selectedorg=deleted; expires=Fri, 18-Dec-2020 21:02:42 GMT; path=/; domain=81.192.11.182'_x000d__x000a__x000d__x000a_URL:  https://81.192.11.182/"/>
    <s v="http://msdn.microsoft.com/en-us/library/ms533046.aspx,https://www.owasp.org/index.php/HttpOnly"/>
    <s v=""/>
    <s v=""/>
    <d v="2011-05-31T00:00:00"/>
    <s v="ve"/>
    <n v="0"/>
    <s v=""/>
    <s v=""/>
    <s v="3 Days"/>
    <m/>
    <s v="Apparu dans le scan de decembre"/>
    <s v="Fixed"/>
    <x v="1"/>
    <m/>
    <m/>
    <x v="3"/>
    <s v="Windows"/>
    <e v="#N/A"/>
    <s v="Wintel"/>
    <m/>
    <m/>
    <d v="2020-12-20T00:00:00"/>
    <e v="#N/A"/>
    <s v="Fixed"/>
    <x v="1"/>
    <x v="0"/>
    <x v="0"/>
  </r>
  <r>
    <s v="81.192.11.182/443/http-cookie-secure-flag"/>
    <s v="81.192.11.182"/>
    <x v="26"/>
    <m/>
    <s v="Not Fixed"/>
    <m/>
    <m/>
    <s v="Linux"/>
    <s v="4.0"/>
    <s v="443"/>
    <s v="HTTPS"/>
    <s v=""/>
    <s v="5"/>
    <x v="1"/>
    <s v="http-cookie-secure-flag"/>
    <s v="http-cookie-secure-flag"/>
    <s v="Missing Secure Flag From SSL Cookie"/>
    <s v="The Secure attribute tells the browser to only send the cookie if the request is being sent over a secure channel such as HTTPS. This will help protect the cookie from being passed over unencrypted requests. If the application can be accessed over both HTTP and HTTPS, then there is the potential that the cookie can be sent in clear text."/>
    <s v="Add the Secure flag to cookies sent over SSL_x000d__x000a__x000d__x000a__x000d__x000a_For each cookie sent over SSL in your web-site, add the &quot;Secure&quot; flag to the cookie. For example:_x000d__x000a__x000d__x000a__x000d__x000a_Set-Cookie: &lt;name&gt;=&lt;value&gt;[; &lt;Max-Age&gt;=&lt;age&gt;] [; expires=&lt;date&gt;][; domain=&lt;domain_name&gt;] [; path=&lt;some_path&gt;][; secure][; HttpOnly]"/>
    <s v="Cookie is not marked as secure: 'atexoDemande=g8313glsort0i96e2rhja976up; path=/; httponly; domain=81.192.11.182'_x000d__x000a__x000d__x000a_URL:  https://81.192.11.182/"/>
    <s v="http://www.ietf.org/rfc/rfc2965.txt,https://www.owasp.org/index.php/Testing_for_cookies_attributes_%28OWASP-SM-002%29"/>
    <s v=""/>
    <s v="2011-05-31"/>
    <m/>
    <m/>
    <m/>
    <m/>
    <s v="67 Days"/>
    <m/>
    <m/>
    <s v="Point escaladé à la CDG pour intervention de l'éditeur (Signature parafeur)"/>
    <x v="1"/>
    <m/>
    <m/>
    <x v="4"/>
    <m/>
    <s v="Client"/>
    <m/>
    <m/>
    <m/>
    <m/>
    <e v="#N/A"/>
    <s v="Point escaladé à La CDG pour intervention de l'éditeur (Parapheur)"/>
    <x v="1"/>
    <x v="8"/>
    <x v="1"/>
  </r>
  <r>
    <s v="81.192.11.182/443/jquery-cve-2014-6071"/>
    <s v="81.192.11.182"/>
    <x v="26"/>
    <s v="10.9.0.120"/>
    <s v="New"/>
    <s v="Apparu dans le scan de decembre"/>
    <s v="ll81-2-182-11-192-81.ll81-2.iam.net.ma"/>
    <s v="Linux"/>
    <s v="4.0"/>
    <n v="443"/>
    <s v="HTTPS"/>
    <s v=""/>
    <n v="4"/>
    <x v="1"/>
    <s v="jquery-cve-2014-6071"/>
    <s v="jQuery Vulnerability: CVE-2014-6071"/>
    <s v="jQuery 1.4.2 allows remote attackers to conduct cross-site scripting (XSS) attacks via vectors related to use of the text method inside after."/>
    <s v="&lt; 1.11.1_x000d__x000a__x000d__x000a_Upgrade to jQuery version 1.11.1_x000d__x000a__x000d__x000a_Download and apply the upgrade from:  https://jquery.com/download/"/>
    <s v="* Running HTTPS service_x000d__x000a__x000d__x000a_ * Vulnerable version of component jQuery found -- jQuery 1.9.1"/>
    <s v=""/>
    <s v="CVE-2014-6071"/>
    <s v="http://nvd.nist.gov/vuln/detail/CVE-2014-6071"/>
    <d v="2018-01-16T00:00:00"/>
    <s v="vv"/>
    <n v="0"/>
    <s v=""/>
    <s v=""/>
    <s v="3 Days"/>
    <m/>
    <s v="Apparu dans le scan de decembre"/>
    <s v="Point escaladé à la CDG pour intervention de l'éditeur (Signature parafeur)"/>
    <x v="1"/>
    <m/>
    <m/>
    <x v="3"/>
    <s v="Windows"/>
    <e v="#N/A"/>
    <s v="Wintel"/>
    <m/>
    <m/>
    <d v="2020-12-20T00:00:00"/>
    <e v="#N/A"/>
    <s v="Point escaladé à La CDG pour intervention de l'éditeur (Parapheur)"/>
    <x v="1"/>
    <x v="8"/>
    <x v="1"/>
  </r>
  <r>
    <s v="81.192.11.182/443/ssl-3des-ciphers"/>
    <s v="81.192.11.182"/>
    <x v="26"/>
    <s v="10.9.0.120"/>
    <s v="WIP"/>
    <d v="2020-11-10T00:00:00"/>
    <s v="ll81-2-182-11-192-81.ll81-2.iam.net.ma"/>
    <s v="Microsoft Windows"/>
    <s v=""/>
    <n v="443"/>
    <s v="HTTPS"/>
    <s v="Microsoft-HTTPAPI 2.0"/>
    <n v="1"/>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68 Days"/>
    <m/>
    <m/>
    <s v="Fixed"/>
    <x v="15"/>
    <d v="2020-11-10T00:00:00"/>
    <s v="Vulnérabilité traité Voir avec Nabiil ibrahimi  à vérifier coté WAF"/>
    <x v="0"/>
    <s v="Windows"/>
    <s v="In Progress"/>
    <s v="Client"/>
    <s v="In Progress"/>
    <s v="Client"/>
    <d v="2020-10-20T00:00:00"/>
    <e v="#N/A"/>
    <s v="Fixed"/>
    <x v="1"/>
    <x v="0"/>
    <x v="0"/>
  </r>
  <r>
    <s v="81.192.11.182/443/ssl-cve-2016-2183-sweet32"/>
    <s v="81.192.11.182"/>
    <x v="26"/>
    <s v="10.9.0.120"/>
    <s v="WIP"/>
    <d v="2020-11-10T00:00:00"/>
    <s v="ll81-2-182-11-192-81.ll81-2.iam.net.ma"/>
    <s v="Microsoft Windows"/>
    <s v=""/>
    <n v="443"/>
    <s v="HTTPS"/>
    <s v="Microsoft-HTTPAPI 2.0"/>
    <n v="5"/>
    <x v="1"/>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s://sweet32.info/,https://www.openssl.org/blog/blog/2016/08/24/sweet32,https://access.redhat.com/articles/2548661"/>
    <s v="CVE-2016-2183"/>
    <s v="http://nvd.nist.gov/vuln/detail/CVE-2016-2183"/>
    <d v="2016-08-24T00:00:00"/>
    <s v="ve"/>
    <n v="1"/>
    <s v="Expert"/>
    <s v="http://www.exploit-db.com/exploits/42091"/>
    <s v="168 Days"/>
    <m/>
    <m/>
    <s v="Fixed"/>
    <x v="15"/>
    <d v="2020-11-10T00:00:00"/>
    <s v="Vulnérabilité traité Voir avec Nabiil ibrahimi  à vérifier coté WAF"/>
    <x v="0"/>
    <s v="Windows"/>
    <s v="In Progress"/>
    <s v="Client"/>
    <s v="In Progress"/>
    <s v="Client"/>
    <d v="2020-10-20T00:00:00"/>
    <e v="#N/A"/>
    <s v="Fixed"/>
    <x v="1"/>
    <x v="0"/>
    <x v="0"/>
  </r>
  <r>
    <s v="81.192.11.182/443/ssl-static-key-ciphers"/>
    <s v="81.192.11.182"/>
    <x v="26"/>
    <s v="10.9.0.120"/>
    <s v="WIP"/>
    <d v="2020-11-10T00:00:00"/>
    <s v="ll81-2-182-11-192-81.ll81-2.iam.net.ma"/>
    <s v="Microsoft Windows"/>
    <s v=""/>
    <n v="443"/>
    <s v="HTTPS"/>
    <s v="Microsoft-HTTPAPI 2.0"/>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68 Days"/>
    <m/>
    <m/>
    <s v="Fixed"/>
    <x v="15"/>
    <d v="2020-11-10T00:00:00"/>
    <s v="Vulnérabilité traité Voir avec Nabiil ibrahimi  à vérifier coté WAF"/>
    <x v="0"/>
    <s v="Windows"/>
    <s v="In Progress"/>
    <s v="Client"/>
    <s v="In Progress"/>
    <s v="Client"/>
    <d v="2020-10-20T00:00:00"/>
    <e v="#N/A"/>
    <s v="Fixed"/>
    <x v="1"/>
    <x v="0"/>
    <x v="0"/>
  </r>
  <r>
    <s v="81.192.11.183/0/generic-tcp-timestamp"/>
    <s v="81.192.11.183"/>
    <x v="26"/>
    <s v="10.9.0.122"/>
    <s v="WIP"/>
    <s v="21/10/2020: _x000a_Un redémarrage est nécessaire, et il est planifié le weekend. _x000a_En raison de l’arrêt de service un change sera initié."/>
    <s v="ll81-2-183-11-192-81.ll81-2.iam.net.ma"/>
    <s v="Linux"/>
    <s v="4.0"/>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n v="35643"/>
    <s v="ve"/>
    <n v="0"/>
    <s v=""/>
    <s v=""/>
    <s v="168 Days"/>
    <m/>
    <m/>
    <s v="Fixed"/>
    <x v="0"/>
    <d v="2020-11-15T00:00:00"/>
    <d v="2020-11-15T00:00:00"/>
    <x v="0"/>
    <s v="Unix"/>
    <s v="Fixed"/>
    <s v="Client"/>
    <s v="Fixed"/>
    <s v="Client"/>
    <d v="2020-10-20T00:00:00"/>
    <e v="#N/A"/>
    <s v="Fixed"/>
    <x v="1"/>
    <x v="0"/>
    <x v="1"/>
  </r>
  <r>
    <s v="81.192.11.183/443/certificate-common-name-mismatch"/>
    <s v="81.192.11.183"/>
    <x v="26"/>
    <s v="10.9.0.122"/>
    <s v="Faux Positive"/>
    <m/>
    <s v="ll81-2-183-11-192-81.ll81-2.iam.net.ma"/>
    <s v="Linux"/>
    <s v="4.0"/>
    <n v="443"/>
    <s v="HTTPS"/>
    <s v="HTTPD"/>
    <n v="7"/>
    <x v="2"/>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n v="39297"/>
    <s v="ve"/>
    <n v="0"/>
    <s v=""/>
    <s v=""/>
    <s v="161 Days"/>
    <m/>
    <m/>
    <s v="Faux Positive"/>
    <x v="1"/>
    <m/>
    <m/>
    <x v="0"/>
    <s v="Unix"/>
    <s v="Faux Positive"/>
    <s v="Client"/>
    <s v="Faux Positive"/>
    <s v="Client"/>
    <d v="2020-10-20T00:00:00"/>
    <e v="#N/A"/>
    <s v="Faux Positive"/>
    <x v="1"/>
    <x v="1"/>
    <x v="1"/>
  </r>
  <r>
    <s v="81.192.11.183/443/http-generic-browsable-dir"/>
    <s v="81.192.11.183"/>
    <x v="26"/>
    <s v="10.9.0.122"/>
    <s v="Clos"/>
    <m/>
    <s v="ll81-2-183-11-192-81.ll81-2.iam.net.ma"/>
    <s v="Linux"/>
    <s v="4.0"/>
    <n v="443"/>
    <s v="HTTPS"/>
    <s v="HTTPD"/>
    <n v="5"/>
    <x v="1"/>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83/icons/small/ _x000d__x000a_HTTP response code was an expected 200_x000d__x000a_5: &lt;/head&gt; 6: &lt;body&gt; 7: &lt;h1&gt;Index of /icons/small&lt;/h1&gt; 8: &lt;table&gt; 9: ...CO]&quot;&gt;&lt;/th&gt;&lt;th&gt;&lt;a href=&quot;?C=N;O=D&quot;&gt;Name&lt;/a&gt;&lt;/th&gt;&lt;th&gt;&lt;a href=&quot;?C=M;O=A..."/>
    <s v=""/>
    <s v=""/>
    <s v=""/>
    <n v="36892"/>
    <s v="ve"/>
    <n v="0"/>
    <s v=""/>
    <s v=""/>
    <s v="161 Days"/>
    <m/>
    <m/>
    <s v="Point escaladé à la CDG pour intervention de l'éditeur (Signature parafeur)"/>
    <x v="1"/>
    <m/>
    <d v="2020-11-07T00:00:00"/>
    <x v="0"/>
    <s v="Unix"/>
    <s v="Not Fixed"/>
    <s v="Client"/>
    <s v="Not Fixed"/>
    <s v="Client"/>
    <d v="2020-10-20T00:00:00"/>
    <e v="#N/A"/>
    <s v="Point escaladé à la CDG pour intervention de l'éditeur (Signature parafeur)"/>
    <x v="1"/>
    <x v="8"/>
    <x v="1"/>
  </r>
  <r>
    <s v="81.192.11.183/443/ssl-3des-ciphers"/>
    <s v="81.192.11.183"/>
    <x v="26"/>
    <s v="10.9.0.122"/>
    <s v="WIP"/>
    <s v="21/10/2020: _x000a_Un redémarrage est nécessaire, et il est planifié le weekend. _x000a_En raison de l’arrêt de service un change sera initié."/>
    <s v="ll81-2-183-11-192-81.ll81-2.iam.net.ma"/>
    <s v="Linux"/>
    <s v="4.0"/>
    <n v="443"/>
    <s v="HTTPS"/>
    <s v="HTTPD"/>
    <n v="1"/>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n v="39845"/>
    <s v="ve"/>
    <n v="0"/>
    <s v=""/>
    <s v=""/>
    <s v="168 Days"/>
    <m/>
    <m/>
    <s v="Fixed"/>
    <x v="0"/>
    <d v="2020-11-15T00:00:00"/>
    <d v="2020-11-15T00:00:00"/>
    <x v="0"/>
    <s v="Unix"/>
    <s v="In Progress"/>
    <s v="Client"/>
    <s v="In Progress"/>
    <s v="Client"/>
    <d v="2020-10-20T00:00:00"/>
    <e v="#N/A"/>
    <s v="Fixed"/>
    <x v="1"/>
    <x v="0"/>
    <x v="0"/>
  </r>
  <r>
    <s v="81.192.11.183/443/ssl-cve-2016-2183-sweet32"/>
    <s v="81.192.11.183"/>
    <x v="26"/>
    <s v="10.9.0.122"/>
    <s v="Clos"/>
    <m/>
    <s v="ll81-2-183-11-192-81.ll81-2.iam.net.ma"/>
    <s v="Linux"/>
    <s v="4.0"/>
    <n v="443"/>
    <s v="HTTPS"/>
    <s v="HTTPD"/>
    <n v="5"/>
    <x v="1"/>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ECDHE_RSA_WITH_3DES_EDE_CBC_SHA"/>
    <s v="https://sweet32.info/,https://www.openssl.org/blog/blog/2016/08/24/sweet32,https://access.redhat.com/articles/2548661"/>
    <s v="CVE-2016-2183"/>
    <s v="http://nvd.nist.gov/vuln/detail/CVE-2016-2183"/>
    <n v="42606"/>
    <s v="ve"/>
    <n v="1"/>
    <s v="Expert"/>
    <s v="http://www.exploit-db.com/exploits/42091"/>
    <s v="168 Days"/>
    <m/>
    <m/>
    <s v="Fixed"/>
    <x v="8"/>
    <d v="2021-01-19T00:00:00"/>
    <d v="2020-11-07T00:00:00"/>
    <x v="0"/>
    <s v="Unix"/>
    <s v="Not Fixed"/>
    <s v="Client"/>
    <s v="Not Fixed"/>
    <s v="Client"/>
    <d v="2020-10-20T00:00:00"/>
    <e v="#N/A"/>
    <s v="Fixed"/>
    <x v="1"/>
    <x v="0"/>
    <x v="0"/>
  </r>
  <r>
    <s v="81.192.11.183/443/ssl-static-key-ciphers"/>
    <s v="81.192.11.183"/>
    <x v="26"/>
    <s v="10.9.0.122"/>
    <s v="WIP"/>
    <s v="21/10/2020: _x000a_Un redémarrage est nécessaire, et il est planifié le weekend. _x000a_En raison de l’arrêt de service un change sera initié."/>
    <s v="ll81-2-183-11-192-81.ll81-2.iam.net.ma"/>
    <s v="Linux"/>
    <s v="4.0"/>
    <n v="443"/>
    <s v="HTTPS"/>
    <s v="HTTPD"/>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n v="42036"/>
    <s v="ve"/>
    <n v="0"/>
    <s v=""/>
    <s v=""/>
    <s v="168 Days"/>
    <m/>
    <m/>
    <s v="Fixed"/>
    <x v="0"/>
    <d v="2020-11-15T00:00:00"/>
    <d v="2020-11-15T00:00:00"/>
    <x v="0"/>
    <s v="Unix"/>
    <s v="In Progress"/>
    <s v="Client"/>
    <s v="In Progress"/>
    <s v="Client"/>
    <d v="2020-10-20T00:00:00"/>
    <e v="#N/A"/>
    <s v="Fixed"/>
    <x v="1"/>
    <x v="0"/>
    <x v="0"/>
  </r>
  <r>
    <s v="81.192.11.184/0/generic-tcp-timestamp"/>
    <s v="81.192.11.184"/>
    <x v="27"/>
    <s v="10.9.0.21"/>
    <s v="Open"/>
    <s v="Créer demande de support auprés de Microsoft "/>
    <s v="ll81-2-184-11-192-81.ll81-2.iam.net.ma"/>
    <s v="Microsoft Windows"/>
    <s v=""/>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8 Days"/>
    <m/>
    <s v="Vulnérabilité cloturé après retour de l'editeur voir Mail de Khalid smila du 28/01/21"/>
    <s v="Fixed"/>
    <x v="6"/>
    <d v="2021-01-28T00:00:00"/>
    <m/>
    <x v="0"/>
    <s v="Windows"/>
    <s v="Fixed"/>
    <s v="Client"/>
    <s v="Fixed"/>
    <s v="Client"/>
    <d v="2020-10-20T00:00:00"/>
    <e v="#N/A"/>
    <s v="Fixed"/>
    <x v="1"/>
    <x v="0"/>
    <x v="1"/>
  </r>
  <r>
    <s v="81.192.11.184/443/certificate-common-name-mismatch"/>
    <s v="81.192.11.184"/>
    <x v="27"/>
    <s v="10.9.0.21"/>
    <s v="Faux Positive"/>
    <m/>
    <s v="ll81-2-184-11-192-81.ll81-2.iam.net.ma"/>
    <s v="Microsoft Windows"/>
    <s v=""/>
    <n v="443"/>
    <s v="HTTPS"/>
    <s v="Microsoft-HTTPAPI 2.0"/>
    <n v="7"/>
    <x v="2"/>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161 Days"/>
    <m/>
    <m/>
    <s v="Faux Positive"/>
    <x v="1"/>
    <m/>
    <m/>
    <x v="0"/>
    <s v="Windows"/>
    <s v="Faux Positive"/>
    <s v="Client"/>
    <s v="Faux Positive"/>
    <s v="Client"/>
    <d v="2020-10-20T00:00:00"/>
    <e v="#N/A"/>
    <s v="Faux Positive"/>
    <x v="1"/>
    <x v="1"/>
    <x v="1"/>
  </r>
  <r>
    <s v="81.192.11.187/0/generic-tcp-timestamp"/>
    <s v="81.192.11.187"/>
    <x v="28"/>
    <s v="10.8.0.51_x000a_10.9.0.61"/>
    <s v="Open"/>
    <s v="Créer demande de support auprés de Microsoft "/>
    <s v="ll81-2-187-11-192-81.ll81-2.iam.net.ma"/>
    <s v="Linux"/>
    <s v="4.0"/>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a_      Disable TCP timestamp responses on Cisco_x000a__x000a_      _x000a_       Run the following command to disable TCP timestamps: _x000a__x000a_       no ip tcp timestamp _x000a__x000a__x000a__x000a_ * FreeBSD_x000a_      Disable TCP timestamp responses on Free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Linux_x000a_      Disable TCP timestamp responses on Linux_x000a__x000a_      _x000a_       Set the value of net.ipv4.tcp_timestamps to 0 by running the following command: _x000a__x000a_       sysctl -w net.ipv4.tcp_timestamps=0 _x000a__x000a_       Additionally, put the following value in the default sysctl configuration file, generally sysctl.conf: _x000a__x000a_       net.ipv4.tcp_timestamps=0 _x000a__x000a__x000a__x000a_ * OpenBSD_x000a_      Disable TCP timestamp responses on OpenBSD_x000a__x000a_      _x000a_       Set the value of net.inet.tcp.rfc1323 to 0 by running the following command: _x000a__x000a_       sysctl -w net.inet.tcp.rfc1323=0 _x000a__x000a_       Additionally, put the following value in the default sysctl configuration file, generally sysctl.conf: _x000a__x000a_       net.inet.tcp.rfc1323=0 _x000a__x000a__x000a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a_      Disable TCP timestamp responses on Windows versions before Vista_x000a__x000a_      _x000a_       Set the Tcp1323Opts value in the following key to 1: _x000a__x000a_       HKEY_LOCAL_MACHINE\System\CurrentControlSet\Services\Tcpip\Parameters _x000a__x000a__x000a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a_      Disable TCP timestamp responses on Windows versions since Vista_x000a__x000a_      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d v="1997-08-01T00:00:00"/>
    <s v="ve"/>
    <n v="0"/>
    <s v=""/>
    <s v=""/>
    <s v="161 Days"/>
    <m/>
    <s v="Vulnérabilité cloturé après retour de l'editeur voir Mail de Khalid smila du 28/01/21"/>
    <s v="Fixed"/>
    <x v="6"/>
    <d v="2021-01-28T00:00:00"/>
    <m/>
    <x v="0"/>
    <s v="Windows"/>
    <s v="Not Fixed"/>
    <s v="NA"/>
    <s v="Not Fixed"/>
    <s v="NA"/>
    <d v="2020-10-20T00:00:00"/>
    <e v="#N/A"/>
    <s v="Fixed"/>
    <x v="1"/>
    <x v="0"/>
    <x v="1"/>
  </r>
  <r>
    <s v="81.192.11.187/443/certificate-common-name-mismatch"/>
    <s v="81.192.11.187"/>
    <x v="28"/>
    <s v="10.8.0.51_x000a_10.9.0.61"/>
    <s v="Faux Positive"/>
    <m/>
    <s v="ll81-2-187-11-192-81.ll81-2.iam.net.ma"/>
    <s v="Linux"/>
    <s v="4.0"/>
    <n v="443"/>
    <s v="HTTPS"/>
    <s v="CDGWS"/>
    <n v="7"/>
    <x v="2"/>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ma does not match target name specified in the site._x000d__x000a__x000d__x000a_ * Subject CN *.cdg.ma does not match DNS name specified in the site._x000d__x000a__x000d__x000a_ * Subject CN *.cdg.ma could not be resolved to an IP address via DNS lookup_x000d__x000a__x000d__x000a_ * Subject Alternative Name *.cdg.ma does not match target name specified in the site._x000d__x000a__x000d__x000a_ * Subject Alternative Name cdg.ma does not match target name specified in the site._x000d__x000a__x000d__x000a_ * Subject Alternative Name *.cdg.ma does not match DNS name specified in the site._x000d__x000a__x000d__x000a_ * Subject Alternative Name cdg.ma does not match DNS name specified in the site."/>
    <s v=""/>
    <s v=""/>
    <s v=""/>
    <d v="2007-08-03T00:00:00"/>
    <s v="ve"/>
    <n v="0"/>
    <s v=""/>
    <s v=""/>
    <s v="128 Days"/>
    <m/>
    <m/>
    <s v="Faux Positive"/>
    <x v="1"/>
    <m/>
    <m/>
    <x v="0"/>
    <s v="Windows"/>
    <s v="Faux Positive"/>
    <s v="Wintel"/>
    <s v="Faux Positive"/>
    <s v="NA"/>
    <d v="2020-10-20T00:00:00"/>
    <e v="#N/A"/>
    <s v="Faux Positive"/>
    <x v="1"/>
    <x v="1"/>
    <x v="1"/>
  </r>
  <r>
    <s v="81.192.11.187/443/http-options-method-enabled"/>
    <s v="81.192.11.187"/>
    <x v="28"/>
    <s v="10.8.0.51_x000a_10.9.0.61"/>
    <s v="Open"/>
    <m/>
    <s v="ll81-2-187-11-192-81.ll81-2.iam.net.ma"/>
    <s v="Linux"/>
    <s v="4.0"/>
    <n v="443"/>
    <s v="HTTPS"/>
    <s v="CDGWS"/>
    <n v="3"/>
    <x v="0"/>
    <s v="http-options-method-enabled"/>
    <s v="HTTP OPTIONS Method Enabled"/>
    <s v="Web servers that respond to the OPTIONS HTTP method expose what other methods are supported by the web server, allowing attackers to narrow and intensify their efforts."/>
    <s v="* Disable HTTP OPTIONS method_x000a_      _x000a_      Disable HTTP OPTIONS method on your web server. Refer to your web server's instruction manual on how to do this._x000a__x000a__x000a_      _x000a_      Web servers that respond to the OPTIONS HTTP method expose what other methods are supported by the web server, allowing attackers to narrow and intensify their efforts._x000a__x000a__x000a__x000a_ * Apache HTTPD_x000a_      Disable HTTP OPTIONS Method for Apache_x000a__x000a_      _x000a_      Disable the OPTIONS method by including the following in the Apache configuration:_x000a__x000a_       &lt;Limit OPTIONS&gt; Order deny,allow Deny from all &lt;/Limit&gt;_x000a__x000a__x000a__x000a_ * Microsoft IIS_x000a_      Disable HTTP OPTIONS Method for IIS_x000a__x000a_      _x000a_      Disable the OPTIONS method by doing the following in the IIS manager_x000a__x000a_    * Select relevent site_x000a__x000a_    * Select Request filtering and change to HTTP verb tab_x000a__x000a_    * Select Deny Verb from the actions pane_x000a__x000a_    * Type OPTIONS into the provided text box and press OK_x000a__x000a__x000a__x000a_ * nginx nginx_x000a_      Disable HTTP OPTIONS Method for nginx_x000a__x000a_      _x000a_      Disable the OPTIONS method by adding the following line to your server block, you can add other HTTP methods to be allowed to run after POST_x000a__x000a_      limit_except GET POST { deny all; }"/>
    <s v="OPTIONS method returned values including itself"/>
    <s v="https://www.owasp.org/index.php/Test_HTTP_Methods_(OTG-CONFIG-006)"/>
    <s v=""/>
    <s v=""/>
    <d v="2005-10-07T00:00:00"/>
    <s v="ve"/>
    <n v="0"/>
    <s v=""/>
    <s v=""/>
    <s v="128 Days"/>
    <m/>
    <m/>
    <s v="Fixed"/>
    <x v="7"/>
    <d v="2020-11-11T00:00:00"/>
    <m/>
    <x v="0"/>
    <s v="Windows"/>
    <s v="Not Fixed"/>
    <s v="NA"/>
    <s v="Not Fixed"/>
    <s v="NA"/>
    <d v="2020-10-20T00:00:00"/>
    <e v="#N/A"/>
    <s v="Fixed"/>
    <x v="1"/>
    <x v="0"/>
    <x v="0"/>
  </r>
  <r>
    <s v="81.192.11.187/443/ssl-3des-ciphers"/>
    <s v="81.192.11.187"/>
    <x v="28"/>
    <s v="10.8.0.51_x000a_10.9.0.61"/>
    <s v="Clos"/>
    <m/>
    <s v="ll81-2-187-11-192-81.ll81-2.iam.net.ma"/>
    <s v="Linux"/>
    <s v="4.0"/>
    <n v="443"/>
    <s v="HTTPS"/>
    <s v="CDGWS"/>
    <n v="1"/>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d v="2009-02-01T00:00:00"/>
    <s v="ve"/>
    <n v="0"/>
    <s v=""/>
    <s v=""/>
    <s v="128 Days"/>
    <m/>
    <m/>
    <s v="Fixed"/>
    <x v="16"/>
    <d v="2020-11-05T00:00:00"/>
    <m/>
    <x v="0"/>
    <s v="Windows"/>
    <s v="Fixed"/>
    <s v="NA"/>
    <s v="Fixed"/>
    <s v="NA"/>
    <d v="2020-10-20T00:00:00"/>
    <e v="#N/A"/>
    <s v="Fixed"/>
    <x v="1"/>
    <x v="0"/>
    <x v="0"/>
  </r>
  <r>
    <s v="81.192.11.187/443/ssl-cve-2011-3389-beast"/>
    <s v="81.192.11.187"/>
    <x v="28"/>
    <s v="10.8.0.51_x000a_10.9.0.61"/>
    <s v="Clos"/>
    <s v="change à initier lundi 02/11"/>
    <s v="ll81-2-187-11-192-81.ll81-2.iam.net.ma"/>
    <s v="Linux"/>
    <s v="4.0"/>
    <n v="443"/>
    <s v="HTTPS"/>
    <s v="CDGWS"/>
    <n v="4"/>
    <x v="1"/>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a_      Negotiated with the following insecure cipher suites: _x000a_    * TLS 1.0 ciphers: _x000a_       * TLS_ECDHE_RSA_WITH_3DES_EDE_CBC_SHA_x000a__x000a_       * TLS_ECDHE_RSA_WITH_AES_128_CBC_SHA_x000a__x000a_       * TLS_ECDHE_RSA_WITH_AES_256_CBC_SHA_x000a__x000a_       * TLS_RSA_WITH_AES_128_CBC_SHA_x000a__x000a_       * TLS_RSA_WITH_AES_256_CBC_SHA"/>
    <s v="http://vnhacker.blogspot.co.uk/2011/09/beast.html"/>
    <s v="CVE-2011-3389"/>
    <s v="http://nvd.nist.gov/vuln/detail/CVE-2011-3389"/>
    <d v="2011-09-06T00:00:00"/>
    <s v="ve"/>
    <n v="0"/>
    <s v=""/>
    <s v=""/>
    <s v="128 Days"/>
    <m/>
    <m/>
    <s v="Fixed"/>
    <x v="16"/>
    <d v="2020-11-05T00:00:00"/>
    <m/>
    <x v="0"/>
    <s v="Windows"/>
    <s v="Fixed"/>
    <s v="NA"/>
    <s v="Fixed"/>
    <s v="NA"/>
    <d v="2020-10-20T00:00:00"/>
    <e v="#N/A"/>
    <s v="Fixed"/>
    <x v="1"/>
    <x v="0"/>
    <x v="0"/>
  </r>
  <r>
    <s v="81.192.11.187/443/ssl-cve-2016-2183-sweet32"/>
    <s v="81.192.11.187"/>
    <x v="28"/>
    <s v="10.8.0.51_x000a_10.9.0.61"/>
    <s v="Clos"/>
    <s v="change à initier lundi 02/11"/>
    <s v="ll81-2-187-11-192-81.ll81-2.iam.net.ma"/>
    <s v="Linux"/>
    <s v="4.0"/>
    <n v="443"/>
    <s v="HTTPS"/>
    <s v="CDGWS"/>
    <n v="5"/>
    <x v="1"/>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ECDHE_RSA_WITH_3DES_EDE_CBC_SHA_x000d__x000a__x000d__x000a__x000d__x000a_    * TLS 1.1 ciphers: _x000d__x000a_       * TLS_ECDHE_RSA_WITH_3DES_EDE_CBC_SHA_x000d__x000a__x000d__x000a__x000d__x000a_    * TLS 1.2 ciphers: _x000d__x000a_       * TLS_ECDHE_RSA_WITH_3DES_EDE_CBC_SHA"/>
    <s v="https://sweet32.info/,https://www.openssl.org/blog/blog/2016/08/24/sweet32,https://access.redhat.com/articles/2548661"/>
    <s v="CVE-2016-2183"/>
    <s v="http://nvd.nist.gov/vuln/detail/CVE-2016-2183"/>
    <d v="2016-08-24T00:00:00"/>
    <s v="ve"/>
    <n v="1"/>
    <s v="Expert"/>
    <s v="http://www.exploit-db.com/exploits/42091"/>
    <s v="128 Days"/>
    <m/>
    <m/>
    <s v="Fixed"/>
    <x v="16"/>
    <d v="2020-11-05T00:00:00"/>
    <m/>
    <x v="0"/>
    <s v="Windows"/>
    <s v="Fixed"/>
    <s v="NA"/>
    <s v="Fixed"/>
    <s v="NA"/>
    <d v="2020-10-20T00:00:00"/>
    <e v="#N/A"/>
    <s v="Fixed"/>
    <x v="1"/>
    <x v="0"/>
    <x v="0"/>
  </r>
  <r>
    <s v="81.192.11.187/443/ssl-static-key-ciphers"/>
    <s v="81.192.11.187"/>
    <x v="28"/>
    <s v="10.8.0.51_x000a_10.9.0.61"/>
    <s v="Clos"/>
    <m/>
    <s v="ll81-2-187-11-192-81.ll81-2.iam.net.ma"/>
    <s v="Linux"/>
    <s v="4.0"/>
    <n v="443"/>
    <s v="HTTPS"/>
    <s v="CDGWS"/>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AES_128_CBC_SHA_x000d__x000a__x000d__x000a_       * TLS_RSA_WITH_AES_256_CBC_SHA_x000d__x000a__x000d__x000a__x000d__x000a_    * TLS 1.1 ciphers: _x000d__x000a_       * TLS_RSA_WITH_AES_128_CBC_SHA_x000d__x000a__x000d__x000a_       * TLS_RSA_WITH_AES_256_CBC_SHA_x000d__x000a__x000d__x000a__x000d__x000a_    * TLS 1.2 ciphers: _x000d__x000a_       * TLS_RSA_WITH_AES_128_CBC_SHA_x000d__x000a__x000d__x000a_       * TLS_RSA_WITH_AES_128_CBC_SHA256_x000d__x000a__x000d__x000a_       * TLS_RSA_WITH_AES_256_CBC_SHA_x000d__x000a__x000d__x000a_       * TLS_RSA_WITH_AES_256_CBC_SHA256"/>
    <s v="http://www.nist.gov/manuscript-publication-search.cfm?pub_id=915295,https://wiki.mozilla.org/Security/Server_Side_TLS,https://www.owasp.org/index.php/Transport_Layer_Protection_Cheat_Sheet#Rule_-_Only_Support_Strong_Cryptographic_Ciphers,http://support.microsoft.com/kb/245030/,https://tools.ietf.org/html/rfc7540/"/>
    <s v=""/>
    <s v=""/>
    <d v="2015-02-01T00:00:00"/>
    <s v="ve"/>
    <n v="0"/>
    <s v=""/>
    <s v=""/>
    <s v="128 Days"/>
    <m/>
    <m/>
    <s v="Fixed"/>
    <x v="16"/>
    <d v="2020-11-05T00:00:00"/>
    <m/>
    <x v="0"/>
    <s v="Windows"/>
    <s v="Fixed"/>
    <s v="NA"/>
    <s v="Fixed"/>
    <s v="NA"/>
    <d v="2020-10-20T00:00:00"/>
    <e v="#N/A"/>
    <s v="Fixed"/>
    <x v="1"/>
    <x v="0"/>
    <x v="0"/>
  </r>
  <r>
    <s v="81.192.11.187/443/tlsv1_0-enabled"/>
    <s v="81.192.11.187"/>
    <x v="28"/>
    <s v="172,20,0,33"/>
    <s v="Clos"/>
    <s v="change à initier lundi 02/11"/>
    <s v="ll81-2-187-11-192-81.ll81-2.iam.net.ma"/>
    <s v="Linux"/>
    <s v="4.0"/>
    <n v="443"/>
    <s v="HTTPS"/>
    <s v="CDGWS"/>
    <n v="4"/>
    <x v="1"/>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d v="2014-10-14T00:00:00"/>
    <s v="ve"/>
    <n v="0"/>
    <s v=""/>
    <s v=""/>
    <s v="128 Days"/>
    <m/>
    <m/>
    <s v="Fixed"/>
    <x v="16"/>
    <d v="2020-11-05T00:00:00"/>
    <m/>
    <x v="0"/>
    <s v="Windows"/>
    <s v="Fixed"/>
    <s v="NA"/>
    <s v="Fixed"/>
    <s v="NA"/>
    <d v="2020-10-20T00:00:00"/>
    <e v="#N/A"/>
    <s v="Fixed"/>
    <x v="1"/>
    <x v="0"/>
    <x v="0"/>
  </r>
  <r>
    <s v="81.192.11.187/443/tlsv1_1-enabled"/>
    <s v="81.192.11.187"/>
    <x v="28"/>
    <s v="10.8.0.51_x000a_10.9.0.61"/>
    <s v="Clos"/>
    <m/>
    <s v="ll81-2-187-11-192-81.ll81-2.iam.net.ma"/>
    <s v="Linux"/>
    <s v="4.0"/>
    <n v="443"/>
    <s v="HTTPS"/>
    <s v="CDGWS"/>
    <n v="3"/>
    <x v="0"/>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d v="2014-10-14T00:00:00"/>
    <s v="ve"/>
    <n v="0"/>
    <s v=""/>
    <s v=""/>
    <s v="128 Days"/>
    <m/>
    <m/>
    <s v="Fixed"/>
    <x v="16"/>
    <d v="2020-11-05T00:00:00"/>
    <m/>
    <x v="0"/>
    <s v="Windows"/>
    <s v="Fixed"/>
    <s v="NA"/>
    <s v="Fixed"/>
    <s v="NA"/>
    <d v="2020-10-20T00:00:00"/>
    <e v="#N/A"/>
    <s v="Fixed"/>
    <x v="1"/>
    <x v="0"/>
    <x v="0"/>
  </r>
  <r>
    <s v="81.192.11.151/443/http-generic-browsable-dir"/>
    <s v="81.192.11.151"/>
    <x v="10"/>
    <s v="10.8.0.54_x000a__x000a_10.9.0.31"/>
    <s v="New"/>
    <s v="PCDG-WebCDG"/>
    <s v="ll81-2-151-11-192-81.ll81-2.iam.net.ma"/>
    <s v="Linux"/>
    <s v="4.0"/>
    <s v="443"/>
    <s v="HTTPS"/>
    <s v="CDGWS"/>
    <s v="5"/>
    <x v="1"/>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51/icons/small/ _x000d__x000a_HTTP response code was an expected 200_x000d__x000a_5: &lt;/head&gt; 6: &lt;body&gt; 7: &lt;h1&gt;Index of /icons/small&lt;/h1&gt; 8: &lt;table&gt; 9: ...CO]&quot;&gt;&lt;/th&gt;&lt;th&gt;&lt;a href=&quot;?C=N;O=D&quot;&gt;Name&lt;/a&gt;&lt;/th&gt;&lt;th&gt;&lt;a href=&quot;?C=M;O=A..."/>
    <s v=""/>
    <s v=""/>
    <s v=""/>
    <s v="2001-01-01"/>
    <s v="ve"/>
    <s v="0"/>
    <s v=""/>
    <s v=""/>
    <s v="3 Days"/>
    <m/>
    <m/>
    <s v="Not Fixed 'Encours d'investigation) "/>
    <x v="1"/>
    <m/>
    <m/>
    <x v="5"/>
    <m/>
    <e v="#N/A"/>
    <e v="#N/A"/>
    <m/>
    <s v="Unix"/>
    <d v="2021-03-20T00:00:00"/>
    <e v="#N/A"/>
    <m/>
    <x v="1"/>
    <x v="3"/>
    <x v="1"/>
  </r>
  <r>
    <s v="81.192.11.151/443/http-generic-click-jacking"/>
    <s v="81.192.11.151"/>
    <x v="10"/>
    <s v="10.8.0.54_x000a__x000a_10.9.0.31"/>
    <s v="New"/>
    <s v="PCDG-WebCDG"/>
    <s v="ll81-2-151-11-192-81.ll81-2.iam.net.ma"/>
    <s v="Linux"/>
    <s v="4.0"/>
    <s v="443"/>
    <s v="HTTPS"/>
    <s v="CDGWS"/>
    <s v="4"/>
    <x v="1"/>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51/icons/small/ _x000d__x000a_HTTP response code was an expected 200_x000d__x000a_1: text/html;charset=ISO-8859-1_x000d__x000a__x000d__x000a_HTTP header 'Content-Type' was present and matched expectation_x000d__x000a__x000d__x000a_HTTP header 'Content-Security-Policy' not present_x000d__x000a__x000d__x000a_HTTP header 'X-Frame-Options' not present"/>
    <s v="https://www.owasp.org/index.php/Clickjacking"/>
    <s v=""/>
    <s v=""/>
    <s v="2008-09-17"/>
    <s v="ve"/>
    <s v="0"/>
    <s v=""/>
    <s v=""/>
    <s v="3 Days"/>
    <m/>
    <m/>
    <s v="Not Fixed 'Encours d'investigation) "/>
    <x v="1"/>
    <m/>
    <m/>
    <x v="5"/>
    <m/>
    <e v="#N/A"/>
    <e v="#N/A"/>
    <m/>
    <s v="Unix"/>
    <d v="2021-03-20T00:00:00"/>
    <e v="#N/A"/>
    <m/>
    <x v="1"/>
    <x v="3"/>
    <x v="1"/>
  </r>
  <r>
    <s v="81.192.11.179/0/generic-tcp-timestamp"/>
    <s v="81.192.11.179"/>
    <x v="24"/>
    <m/>
    <s v="Not Fixed"/>
    <m/>
    <s v="ll81-2-179-11-192-81.ll81-2.iam.net.ma"/>
    <s v="Linux"/>
    <s v="4.4"/>
    <s v="0"/>
    <s v="System"/>
    <s v=""/>
    <s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s v="1997-08-01"/>
    <s v="ve"/>
    <s v="0"/>
    <s v=""/>
    <s v=""/>
    <s v="72 Days"/>
    <m/>
    <m/>
    <s v="Not Fixed 'Encours d'investigation) "/>
    <x v="1"/>
    <m/>
    <m/>
    <x v="5"/>
    <m/>
    <e v="#N/A"/>
    <e v="#N/A"/>
    <m/>
    <s v="Unix"/>
    <d v="2021-03-20T00:00:00"/>
    <e v="#N/A"/>
    <m/>
    <x v="1"/>
    <x v="3"/>
    <x v="1"/>
  </r>
  <r>
    <s v="81.192.11.189/123/ntp-clock-variables-disclosure"/>
    <s v="81.192.11.189"/>
    <x v="29"/>
    <m/>
    <s v="Not Fixed"/>
    <m/>
    <m/>
    <s v="Linux"/>
    <s v="4.1.12-37.4.1.el6uek.x86_64"/>
    <n v="123"/>
    <s v="NTP"/>
    <s v="NTP 4.2.6p5@1.2349-o"/>
    <n v="1"/>
    <x v="0"/>
    <s v="ntp-clock-variables-disclosure"/>
    <s v="NTP clock variables information disclosure"/>
    <s v="This sytem allows the internal NTP variables to be queried. These variables contain potentially sensitive information, such as the NTP software version, operating system version, peers, and more."/>
    <s v="*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_x000d__x000a__x000d__x000a__x000d__x000a__x000d__x000a_ * Cisco_x000d__x000a_      Restrict NTP readvar queries_x000d__x000a__x000d__x000a_      _x000d__x000a_       Apply an ACL that restricts NTP readvar queries from unauthorized clients, as described in the  'Configuring an NTP Access Group' section of the Cisco IOS documentation (http://www.cisco.com/c/en/us/td/docs/ios/12_2/configfun/configuration/guide/ffun_c/fcf012.html#wp1034942) . _x000d__x000a__x000d__x000a_       Alternatively, if NTP is not required, disable it entirely by running the following command: _x000d__x000a__x000d__x000a_       ntp disable"/>
    <s v="The following NTP variables were found from a readvar request: clk_jitter, clk_wander, clock, frequency, leap, mintc, offset, peer, precision, processor, refid, reftime, rootdelay, rootdisp, stratum, sys_jitter, system, tc, version"/>
    <s v=""/>
    <s v=""/>
    <s v=""/>
    <m/>
    <m/>
    <m/>
    <m/>
    <m/>
    <n v="10"/>
    <m/>
    <m/>
    <s v="Fixed"/>
    <x v="1"/>
    <s v="22/04"/>
    <m/>
    <x v="6"/>
    <s v="Unix"/>
    <e v="#N/A"/>
    <e v="#N/A"/>
    <m/>
    <s v="Unix"/>
    <s v="22/04/2021"/>
    <e v="#N/A"/>
    <m/>
    <x v="0"/>
    <x v="0"/>
    <x v="0"/>
  </r>
  <r>
    <s v="81.192.11.189/443/apache-httpd-cve-2012-0053"/>
    <s v="81.192.11.189"/>
    <x v="29"/>
    <m/>
    <s v="Not Fixed"/>
    <m/>
    <m/>
    <s v="Linux"/>
    <s v="4.1.12-37.4.1.el6uek.x86_64"/>
    <n v="443"/>
    <s v="HTTPS"/>
    <s v="HTTPD 2.2.15"/>
    <n v="4"/>
    <x v="1"/>
    <s v="apache-httpd-cve-2012-0053"/>
    <s v="Apache HTTPD: error responses can expose cookies (CVE-2012-0053)"/>
    <s v="A flaw was found in the default error response for status code 400. This flaw could be used by an attacker to expose &quot;httpOnly&quot; cookies when no custom ErrorDocument is specified."/>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0.html,http://httpd.apache.org/security/vulnerabilities_22.html"/>
    <s v="CVE-2012-0053"/>
    <s v="http://nvd.nist.gov/vuln/detail/CVE-2012-0053"/>
    <m/>
    <m/>
    <m/>
    <m/>
    <m/>
    <n v="10"/>
    <m/>
    <m/>
    <s v="Fixed"/>
    <x v="1"/>
    <s v="22/04"/>
    <m/>
    <x v="6"/>
    <s v="Unix"/>
    <e v="#N/A"/>
    <e v="#N/A"/>
    <m/>
    <s v="Unix"/>
    <s v="22/04/2022"/>
    <e v="#N/A"/>
    <m/>
    <x v="0"/>
    <x v="0"/>
    <x v="0"/>
  </r>
  <r>
    <s v="81.192.11.189/80/apache-httpd-cve-2012-0053"/>
    <s v="81.192.11.189"/>
    <x v="29"/>
    <m/>
    <s v="Not Fixed"/>
    <m/>
    <m/>
    <s v="Linux"/>
    <s v="4.1.12-37.4.1.el6uek.x86_64"/>
    <n v="80"/>
    <s v="HTTP"/>
    <s v="HTTPD 2.2.15"/>
    <n v="4"/>
    <x v="1"/>
    <s v="apache-httpd-cve-2012-0053"/>
    <s v="Apache HTTPD: error responses can expose cookies (CVE-2012-0053)"/>
    <s v="A flaw was found in the default error response for status code 400. This flaw could be used by an attacker to expose &quot;httpOnly&quot; cookies when no custom ErrorDocument is specified."/>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0.html,http://httpd.apache.org/security/vulnerabilities_22.html"/>
    <s v="CVE-2012-0053"/>
    <s v="http://nvd.nist.gov/vuln/detail/CVE-2012-0053"/>
    <m/>
    <m/>
    <m/>
    <m/>
    <m/>
    <n v="10"/>
    <m/>
    <m/>
    <s v="DTP nécessité de l4intervention de l'editeur"/>
    <x v="1"/>
    <m/>
    <m/>
    <x v="6"/>
    <s v="Unix"/>
    <e v="#N/A"/>
    <e v="#N/A"/>
    <m/>
    <s v="Unix"/>
    <s v="22/04/2023"/>
    <e v="#N/A"/>
    <m/>
    <x v="0"/>
    <x v="9"/>
    <x v="0"/>
  </r>
  <r>
    <s v="81.192.11.189/443/apache-httpd-cve-2017-9798"/>
    <s v="81.192.11.189"/>
    <x v="29"/>
    <m/>
    <s v="Not Fixed"/>
    <m/>
    <m/>
    <s v="Linux"/>
    <s v="4.1.12-37.4.1.el6uek.x86_64"/>
    <n v="443"/>
    <s v="HTTPS"/>
    <s v="HTTPD 2.2.15"/>
    <n v="5"/>
    <x v="1"/>
    <s v="apache-httpd-cve-2017-9798"/>
    <s v="Apache HTTPD: Use-after-free when using &lt;Limit &gt; with an unrecognized method in .htaccess (&quot;OptionsBleed&quot;) (CVE-2017-9798)"/>
    <s v="When an unrecognized HTTP Method is given in an &lt;Limit {method}&gt; directive in an .htaccess file, and that .htaccess file is processed by the corresponding request, the global methods table is corrupted in the current worker process, resulting in erratic behaviour. This behavior may be avoided by listing all unusual HTTP Methods in a global httpd.conf RegisterHttpMethod directive in httpd release 2.4.25 and later. To permit other .htaccess directives while denying the &lt;Limit &gt; directive, see the AllowOverrideList directive. Source code patch (2.4) is at; CVE-2017-9798-patch-2.4.patch Source code patch (2.2) is at; CVE-2017-9798-patch-2.2.patch Note 2.2 is end-of-life, no further release with this fix is planned. Users are encouraged to migrate to 2.4.28 or later for this and other fixes."/>
    <s v="Apache HTTPD &gt;= 2.4 and &lt; 2.4.28_x000d__x000a__x000d__x000a_Upgrade to Apache HTTPD version 2.4.28_x000d__x000a__x000d__x000a_Download and apply the upgrade from:  http://archive.apache.org/dist/httpd/httpd-2.4.28.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7-9798"/>
    <s v="http://nvd.nist.gov/vuln/detail/CVE-2017-9798"/>
    <m/>
    <m/>
    <m/>
    <m/>
    <m/>
    <n v="10"/>
    <m/>
    <m/>
    <s v="Fixed"/>
    <x v="1"/>
    <s v="22/04"/>
    <m/>
    <x v="6"/>
    <s v="Unix"/>
    <e v="#N/A"/>
    <e v="#N/A"/>
    <m/>
    <s v="Unix"/>
    <s v="22/04/2024"/>
    <e v="#N/A"/>
    <m/>
    <x v="0"/>
    <x v="0"/>
    <x v="0"/>
  </r>
  <r>
    <s v="81.192.11.189/80/apache-httpd-cve-2017-9798"/>
    <s v="81.192.11.189"/>
    <x v="29"/>
    <m/>
    <s v="Not Fixed"/>
    <m/>
    <m/>
    <s v="Linux"/>
    <s v="4.1.12-37.4.1.el6uek.x86_64"/>
    <n v="80"/>
    <s v="HTTP"/>
    <s v="HTTPD 2.2.15"/>
    <n v="5"/>
    <x v="1"/>
    <s v="apache-httpd-cve-2017-9798"/>
    <s v="Apache HTTPD: Use-after-free when using &lt;Limit &gt; with an unrecognized method in .htaccess (&quot;OptionsBleed&quot;) (CVE-2017-9798)"/>
    <s v="When an unrecognized HTTP Method is given in an &lt;Limit {method}&gt; directive in an .htaccess file, and that .htaccess file is processed by the corresponding request, the global methods table is corrupted in the current worker process, resulting in erratic behaviour. This behavior may be avoided by listing all unusual HTTP Methods in a global httpd.conf RegisterHttpMethod directive in httpd release 2.4.25 and later. To permit other .htaccess directives while denying the &lt;Limit &gt; directive, see the AllowOverrideList directive. Source code patch (2.4) is at; CVE-2017-9798-patch-2.4.patch Source code patch (2.2) is at; CVE-2017-9798-patch-2.2.patch Note 2.2 is end-of-life, no further release with this fix is planned. Users are encouraged to migrate to 2.4.28 or later for this and other fixes."/>
    <s v="Apache HTTPD &gt;= 2.4 and &lt; 2.4.28_x000d__x000a__x000d__x000a_Upgrade to Apache HTTPD version 2.4.28_x000d__x000a__x000d__x000a_Download and apply the upgrade from:  http://archive.apache.org/dist/httpd/httpd-2.4.28.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7-9798"/>
    <s v="http://nvd.nist.gov/vuln/detail/CVE-2017-9798"/>
    <m/>
    <m/>
    <m/>
    <m/>
    <m/>
    <n v="10"/>
    <m/>
    <m/>
    <s v="DTP nécessité de l4intervention de l'editeur"/>
    <x v="1"/>
    <m/>
    <m/>
    <x v="6"/>
    <s v="Unix"/>
    <e v="#N/A"/>
    <e v="#N/A"/>
    <m/>
    <s v="Unix"/>
    <s v="22/04/2025"/>
    <e v="#N/A"/>
    <m/>
    <x v="0"/>
    <x v="9"/>
    <x v="0"/>
  </r>
  <r>
    <s v="81.192.11.189/443/apache-httpd-cve-2017-9788"/>
    <s v="81.192.11.189"/>
    <x v="29"/>
    <m/>
    <s v="Not Fixed"/>
    <m/>
    <m/>
    <s v="Linux"/>
    <s v="4.1.12-37.4.1.el6uek.x86_64"/>
    <n v="443"/>
    <s v="HTTPS"/>
    <s v="HTTPD 2.2.15"/>
    <n v="6"/>
    <x v="1"/>
    <s v="apache-httpd-cve-2017-9788"/>
    <s v="Apache HTTPD: Uninitialized memory reflection in mod_auth_digest (CVE-2017-9788)"/>
    <s v="The affected asset is vulnerable to this vulnerability ONLY if it is running one of the following modules: mod_auth_digest. Review your web server configuration for validation. The value placeholder in [Proxy-]Authorization headers of type 'Digest' was not initialized or reset before or between successive key=value assignments. by mod_auth_digest. Providing an initial key with no '=' assignment could reflect the stale value of uninitialized pool memory used by the prior request, leading to leakage of potentially confidential information, and a segfault."/>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7_x000d__x000a_      Upgrade to Apache HTTPD version 2.4.27_x000d__x000a__x000d__x000a_      Download and apply the upgrade from:  http://archive.apache.org/dist/httpd/httpd-2.4.2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7-9788"/>
    <s v="http://nvd.nist.gov/vuln/detail/CVE-2017-9788"/>
    <m/>
    <m/>
    <m/>
    <m/>
    <m/>
    <n v="10"/>
    <m/>
    <m/>
    <s v="Fixed"/>
    <x v="1"/>
    <s v="22/04"/>
    <m/>
    <x v="6"/>
    <s v="Unix"/>
    <e v="#N/A"/>
    <e v="#N/A"/>
    <m/>
    <s v="Unix"/>
    <s v="22/04/2026"/>
    <e v="#N/A"/>
    <m/>
    <x v="0"/>
    <x v="0"/>
    <x v="0"/>
  </r>
  <r>
    <s v="81.192.11.189/80/apache-httpd-cve-2017-9788"/>
    <s v="81.192.11.189"/>
    <x v="29"/>
    <m/>
    <s v="Not Fixed"/>
    <m/>
    <m/>
    <s v="Linux"/>
    <s v="4.1.12-37.4.1.el6uek.x86_64"/>
    <n v="80"/>
    <s v="HTTP"/>
    <s v="HTTPD 2.2.15"/>
    <n v="6"/>
    <x v="1"/>
    <s v="apache-httpd-cve-2017-9788"/>
    <s v="Apache HTTPD: Uninitialized memory reflection in mod_auth_digest (CVE-2017-9788)"/>
    <s v="The affected asset is vulnerable to this vulnerability ONLY if it is running one of the following modules: mod_auth_digest. Review your web server configuration for validation. The value placeholder in [Proxy-]Authorization headers of type 'Digest' was not initialized or reset before or between successive key=value assignments. by mod_auth_digest. Providing an initial key with no '=' assignment could reflect the stale value of uninitialized pool memory used by the prior request, leading to leakage of potentially confidential information, and a segfault."/>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7_x000d__x000a_      Upgrade to Apache HTTPD version 2.4.27_x000d__x000a__x000d__x000a_      Download and apply the upgrade from:  http://archive.apache.org/dist/httpd/httpd-2.4.2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7-9788"/>
    <s v="http://nvd.nist.gov/vuln/detail/CVE-2017-9788"/>
    <m/>
    <m/>
    <m/>
    <m/>
    <m/>
    <n v="10"/>
    <m/>
    <m/>
    <s v="DTP nécessité de l4intervention de l'editeur"/>
    <x v="1"/>
    <m/>
    <m/>
    <x v="6"/>
    <s v="Unix"/>
    <e v="#N/A"/>
    <e v="#N/A"/>
    <m/>
    <s v="Unix"/>
    <s v="22/04/2027"/>
    <e v="#N/A"/>
    <m/>
    <x v="0"/>
    <x v="9"/>
    <x v="0"/>
  </r>
  <r>
    <s v="81.192.11.189/22/ssh-rc4-ciphers"/>
    <s v="81.192.11.189"/>
    <x v="29"/>
    <m/>
    <s v="Not Fixed"/>
    <m/>
    <m/>
    <s v="Linux"/>
    <s v="4.1.12-37.4.1.el6uek.x86_64"/>
    <n v="22"/>
    <s v="SSH"/>
    <s v="OpenSSH 5.3"/>
    <n v="4"/>
    <x v="1"/>
    <s v="ssh-rc4-ciphers"/>
    <s v="SSH Server Supports RC4 Cipher Algorithms"/>
    <s v="Cryptanalysis results exploit biases in the RC4 keystream to recover repeatedly encrypted plaintexts. As a result, RC4 can no longer be seen as providing a sufficient level of security for SSH sessions. It has many single-byte biases, which makes it easier for remote attackers to conduct plaintext-recovery attacks via statistical analysis of ciphertext in a large number of sessions that use the same plaintext."/>
    <s v="Disable SSH support for RC4 ciphers_x000d__x000a__x000d__x000a__x000d__x000a_Remove arcfour, arcfour128, and arcfour256 from the Ciphers list specified in sshd_config."/>
    <s v="* Running SSH service_x000d__x000a__x000d__x000a_ * Insecure arcfour (RC4) ciphers in use: arcfour256,arcfour128,arcfour"/>
    <s v="http://www.openssh.com/txt/release-6.7"/>
    <s v=""/>
    <s v=""/>
    <m/>
    <m/>
    <m/>
    <m/>
    <m/>
    <n v="10"/>
    <m/>
    <m/>
    <s v="Fixed"/>
    <x v="1"/>
    <s v="22/04"/>
    <m/>
    <x v="6"/>
    <s v="Unix"/>
    <e v="#N/A"/>
    <e v="#N/A"/>
    <m/>
    <s v="Unix"/>
    <s v="22/04/2028"/>
    <e v="#N/A"/>
    <m/>
    <x v="0"/>
    <x v="0"/>
    <x v="0"/>
  </r>
  <r>
    <s v="81.192.11.189/443/apache-httpd-cve-2014-0098"/>
    <s v="81.192.11.189"/>
    <x v="29"/>
    <m/>
    <s v="Not Fixed"/>
    <m/>
    <m/>
    <s v="Linux"/>
    <s v="4.1.12-37.4.1.el6uek.x86_64"/>
    <n v="443"/>
    <s v="HTTPS"/>
    <s v="HTTPD 2.2.15"/>
    <n v="5"/>
    <x v="1"/>
    <s v="apache-httpd-cve-2014-0098"/>
    <s v="Apache HTTPD: mod_log_config crash (CVE-2014-0098)"/>
    <s v="The affected asset is vulnerable to this vulnerability ONLY if it is running one of the following modules: mod_log_config. Review your web server configuration for validation. A flaw was found in mod_log_config. A remote attacker could send a specific truncated cookie causing a crash. This crash would only be a denial of service if using a threaded MPM."/>
    <s v="* Apache HTTPD &gt;= 2.2 and &lt; 2.2.27_x000d__x000a_      Upgrade to Apache HTTPD version 2.2.27_x000d__x000a__x000d__x000a_      Download and apply the upgrade from:  http://archive.apache.org/dist/httpd/httpd-2.2.2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9_x000d__x000a_      Upgrade to Apache HTTPD version 2.4.9_x000d__x000a__x000d__x000a_      Download and apply the upgrade from:  http://archive.apache.org/dist/httpd/httpd-2.4.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4-0098"/>
    <s v="http://nvd.nist.gov/vuln/detail/CVE-2014-0098"/>
    <m/>
    <m/>
    <m/>
    <m/>
    <m/>
    <n v="10"/>
    <m/>
    <m/>
    <s v="Fixed"/>
    <x v="1"/>
    <s v="22/04"/>
    <m/>
    <x v="6"/>
    <s v="Unix"/>
    <e v="#N/A"/>
    <e v="#N/A"/>
    <m/>
    <s v="Unix"/>
    <s v="22/04/2029"/>
    <e v="#N/A"/>
    <m/>
    <x v="0"/>
    <x v="0"/>
    <x v="0"/>
  </r>
  <r>
    <s v="81.192.11.189/80/apache-httpd-cve-2014-0098"/>
    <s v="81.192.11.189"/>
    <x v="29"/>
    <m/>
    <s v="Not Fixed"/>
    <m/>
    <m/>
    <s v="Linux"/>
    <s v="4.1.12-37.4.1.el6uek.x86_64"/>
    <n v="80"/>
    <s v="HTTP"/>
    <s v="HTTPD 2.2.15"/>
    <n v="5"/>
    <x v="1"/>
    <s v="apache-httpd-cve-2014-0098"/>
    <s v="Apache HTTPD: mod_log_config crash (CVE-2014-0098)"/>
    <s v="The affected asset is vulnerable to this vulnerability ONLY if it is running one of the following modules: mod_log_config. Review your web server configuration for validation. A flaw was found in mod_log_config. A remote attacker could send a specific truncated cookie causing a crash. This crash would only be a denial of service if using a threaded MPM."/>
    <s v="* Apache HTTPD &gt;= 2.2 and &lt; 2.2.27_x000d__x000a_      Upgrade to Apache HTTPD version 2.2.27_x000d__x000a__x000d__x000a_      Download and apply the upgrade from:  http://archive.apache.org/dist/httpd/httpd-2.2.2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9_x000d__x000a_      Upgrade to Apache HTTPD version 2.4.9_x000d__x000a__x000d__x000a_      Download and apply the upgrade from:  http://archive.apache.org/dist/httpd/httpd-2.4.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4-0098"/>
    <s v="http://nvd.nist.gov/vuln/detail/CVE-2014-0098"/>
    <m/>
    <m/>
    <m/>
    <m/>
    <m/>
    <n v="10"/>
    <m/>
    <m/>
    <s v="DTP nécessité de l4intervention de l'editeur"/>
    <x v="1"/>
    <m/>
    <m/>
    <x v="6"/>
    <s v="Unix"/>
    <e v="#N/A"/>
    <e v="#N/A"/>
    <m/>
    <s v="Unix"/>
    <s v="22/04/2030"/>
    <e v="#N/A"/>
    <m/>
    <x v="0"/>
    <x v="9"/>
    <x v="0"/>
  </r>
  <r>
    <s v="81.192.11.189/443/apache-httpd-cve-2017-3169"/>
    <s v="81.192.11.189"/>
    <x v="29"/>
    <m/>
    <s v="Not Fixed"/>
    <m/>
    <m/>
    <s v="Linux"/>
    <s v="4.1.12-37.4.1.el6uek.x86_64"/>
    <n v="443"/>
    <s v="HTTPS"/>
    <s v="HTTPD 2.2.15"/>
    <n v="8"/>
    <x v="2"/>
    <s v="apache-httpd-cve-2017-3169"/>
    <s v="Apache HTTPD: mod_ssl Null Pointer Dereference (CVE-2017-3169)"/>
    <s v="The affected asset is vulnerable to this vulnerability ONLY if it is running one of the following modules: mod_ssl. Review your web server configuration for validation. mod_ssl may dereference a NULL pointer when third-party modules call ap_hook_process_connection() during an HTTP request to an HTTPS port."/>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6_x000d__x000a_      Upgrade to Apache HTTPD version 2.4.26_x000d__x000a__x000d__x000a_      Download and apply the upgrade from:  http://archive.apache.org/dist/httpd/httpd-2.4.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7-3169"/>
    <s v="http://nvd.nist.gov/vuln/detail/CVE-2017-3169"/>
    <m/>
    <m/>
    <m/>
    <m/>
    <m/>
    <n v="10"/>
    <m/>
    <m/>
    <s v="Fixed"/>
    <x v="1"/>
    <s v="22/04"/>
    <m/>
    <x v="6"/>
    <s v="Unix"/>
    <e v="#N/A"/>
    <e v="#N/A"/>
    <m/>
    <s v="Unix"/>
    <s v="22/04/2031"/>
    <e v="#N/A"/>
    <m/>
    <x v="0"/>
    <x v="0"/>
    <x v="0"/>
  </r>
  <r>
    <s v="81.192.11.189/80/apache-httpd-cve-2017-3169"/>
    <s v="81.192.11.189"/>
    <x v="29"/>
    <m/>
    <s v="Not Fixed"/>
    <m/>
    <m/>
    <s v="Linux"/>
    <s v="4.1.12-37.4.1.el6uek.x86_64"/>
    <n v="80"/>
    <s v="HTTP"/>
    <s v="HTTPD 2.2.15"/>
    <n v="8"/>
    <x v="2"/>
    <s v="apache-httpd-cve-2017-3169"/>
    <s v="Apache HTTPD: mod_ssl Null Pointer Dereference (CVE-2017-3169)"/>
    <s v="The affected asset is vulnerable to this vulnerability ONLY if it is running one of the following modules: mod_ssl. Review your web server configuration for validation. mod_ssl may dereference a NULL pointer when third-party modules call ap_hook_process_connection() during an HTTP request to an HTTPS port."/>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6_x000d__x000a_      Upgrade to Apache HTTPD version 2.4.26_x000d__x000a__x000d__x000a_      Download and apply the upgrade from:  http://archive.apache.org/dist/httpd/httpd-2.4.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7-3169"/>
    <s v="http://nvd.nist.gov/vuln/detail/CVE-2017-3169"/>
    <m/>
    <m/>
    <m/>
    <m/>
    <m/>
    <n v="10"/>
    <m/>
    <m/>
    <s v="DTP nécessité de l4intervention de l'editeur"/>
    <x v="1"/>
    <m/>
    <m/>
    <x v="6"/>
    <s v="Unix"/>
    <e v="#N/A"/>
    <e v="#N/A"/>
    <m/>
    <s v="Unix"/>
    <s v="22/04/2032"/>
    <e v="#N/A"/>
    <m/>
    <x v="0"/>
    <x v="9"/>
    <x v="0"/>
  </r>
  <r>
    <s v="81.192.11.189/443/apache-httpd-cve-2014-0118"/>
    <s v="81.192.11.189"/>
    <x v="29"/>
    <m/>
    <s v="Not Fixed"/>
    <m/>
    <m/>
    <s v="Linux"/>
    <s v="4.1.12-37.4.1.el6uek.x86_64"/>
    <n v="443"/>
    <s v="HTTPS"/>
    <s v="HTTPD 2.2.15"/>
    <n v="4"/>
    <x v="1"/>
    <s v="apache-httpd-cve-2014-0118"/>
    <s v="Apache HTTPD: mod_deflate denial of service (CVE-2014-0118)"/>
    <s v="The affected asset is vulnerable to this vulnerability ONLY if it is running one of the following modules: mod_deflate. Review your web server configuration for validation. A resource consumption flaw was found in mod_deflate. If request body decompression was configured (using the &quot;DEFLATE&quot; input filter), a remote attacker could cause the server to consume significant memory and/or CPU resources. The use of request body decompression is not a common configuration."/>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0_x000d__x000a_      Upgrade to Apache HTTPD version 2.4.10_x000d__x000a__x000d__x000a_      Download and apply the upgrade from:  http://archive.apache.org/dist/httpd/httpd-2.4.1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4-0118"/>
    <s v="http://nvd.nist.gov/vuln/detail/CVE-2014-0118"/>
    <m/>
    <m/>
    <m/>
    <m/>
    <m/>
    <n v="10"/>
    <m/>
    <m/>
    <s v="Fixed"/>
    <x v="1"/>
    <s v="22/04"/>
    <m/>
    <x v="6"/>
    <s v="Unix"/>
    <e v="#N/A"/>
    <e v="#N/A"/>
    <m/>
    <s v="Unix"/>
    <s v="22/04/2033"/>
    <e v="#N/A"/>
    <m/>
    <x v="0"/>
    <x v="0"/>
    <x v="0"/>
  </r>
  <r>
    <s v="81.192.11.189/80/apache-httpd-cve-2014-0118"/>
    <s v="81.192.11.189"/>
    <x v="29"/>
    <m/>
    <s v="Not Fixed"/>
    <m/>
    <m/>
    <s v="Linux"/>
    <s v="4.1.12-37.4.1.el6uek.x86_64"/>
    <n v="80"/>
    <s v="HTTP"/>
    <s v="HTTPD 2.2.15"/>
    <n v="4"/>
    <x v="1"/>
    <s v="apache-httpd-cve-2014-0118"/>
    <s v="Apache HTTPD: mod_deflate denial of service (CVE-2014-0118)"/>
    <s v="The affected asset is vulnerable to this vulnerability ONLY if it is running one of the following modules: mod_deflate. Review your web server configuration for validation. A resource consumption flaw was found in mod_deflate. If request body decompression was configured (using the &quot;DEFLATE&quot; input filter), a remote attacker could cause the server to consume significant memory and/or CPU resources. The use of request body decompression is not a common configuration."/>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0_x000d__x000a_      Upgrade to Apache HTTPD version 2.4.10_x000d__x000a__x000d__x000a_      Download and apply the upgrade from:  http://archive.apache.org/dist/httpd/httpd-2.4.1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4-0118"/>
    <s v="http://nvd.nist.gov/vuln/detail/CVE-2014-0118"/>
    <m/>
    <m/>
    <m/>
    <m/>
    <m/>
    <n v="10"/>
    <m/>
    <m/>
    <s v="DTP nécessité de l4intervention de l'editeur"/>
    <x v="1"/>
    <m/>
    <m/>
    <x v="6"/>
    <s v="Unix"/>
    <e v="#N/A"/>
    <e v="#N/A"/>
    <m/>
    <s v="Unix"/>
    <s v="22/04/2034"/>
    <e v="#N/A"/>
    <m/>
    <x v="0"/>
    <x v="9"/>
    <x v="0"/>
  </r>
  <r>
    <s v="81.192.11.189/443/apache-httpd-cve-2016-5387"/>
    <s v="81.192.11.189"/>
    <x v="29"/>
    <m/>
    <s v="Not Fixed"/>
    <m/>
    <m/>
    <s v="Linux"/>
    <s v="4.1.12-37.4.1.el6uek.x86_64"/>
    <n v="443"/>
    <s v="HTTPS"/>
    <s v="HTTPD 2.2.15"/>
    <n v="5"/>
    <x v="1"/>
    <s v="apache-httpd-cve-2016-5387"/>
    <s v="Apache HTTPD: HTTP_PROXY environment variable &quot;httpoxy&quot; mitigation (CVE-2016-5387)"/>
    <s v="HTTP_PROXY is a well-defined environment variable in a CGI process, which collided with a number of libraries which failed to avoid colliding with this CGI namespace. A mitigation is provided for the httpd CGI environment to avoid populating the &quot;HTTP_PROXY&quot; variable from a &quot;Proxy:&quot; header, which has never been registered by IANA. This workaround and patch are documented in the ASF Advisory at asf-httpoxy-response.txt and incorporated in the 2.4.25 and 2.2.32 releases. Note: This is not assigned an httpd severity, as it is a defect in other software which overloaded well-established CGI environment variables, and does not reflect an error in HTTP server software."/>
    <s v="* Apache HTTPD &gt;= 2.2 and &lt; 2.2.32_x000d__x000a_      Upgrade to Apache HTTPD version 2.2.32_x000d__x000a__x000d__x000a_      Download and apply the upgrade from:  http://archive.apache.org/dist/httpd/httpd-2.2.3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5_x000d__x000a_      Upgrade to Apache HTTPD version 2.4.25_x000d__x000a__x000d__x000a_      Download and apply the upgrade from:  http://archive.apache.org/dist/httpd/httpd-2.4.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6-5387"/>
    <s v="http://nvd.nist.gov/vuln/detail/CVE-2016-5387"/>
    <m/>
    <m/>
    <m/>
    <m/>
    <m/>
    <n v="10"/>
    <m/>
    <m/>
    <s v="Fixed"/>
    <x v="1"/>
    <s v="22/04"/>
    <m/>
    <x v="6"/>
    <s v="Unix"/>
    <e v="#N/A"/>
    <e v="#N/A"/>
    <m/>
    <s v="Unix"/>
    <s v="22/04/2035"/>
    <e v="#N/A"/>
    <m/>
    <x v="0"/>
    <x v="0"/>
    <x v="0"/>
  </r>
  <r>
    <s v="81.192.11.189/80/apache-httpd-cve-2016-5387"/>
    <s v="81.192.11.189"/>
    <x v="29"/>
    <m/>
    <s v="Not Fixed"/>
    <m/>
    <m/>
    <s v="Linux"/>
    <s v="4.1.12-37.4.1.el6uek.x86_64"/>
    <n v="80"/>
    <s v="HTTP"/>
    <s v="HTTPD 2.2.15"/>
    <n v="5"/>
    <x v="1"/>
    <s v="apache-httpd-cve-2016-5387"/>
    <s v="Apache HTTPD: HTTP_PROXY environment variable &quot;httpoxy&quot; mitigation (CVE-2016-5387)"/>
    <s v="HTTP_PROXY is a well-defined environment variable in a CGI process, which collided with a number of libraries which failed to avoid colliding with this CGI namespace. A mitigation is provided for the httpd CGI environment to avoid populating the &quot;HTTP_PROXY&quot; variable from a &quot;Proxy:&quot; header, which has never been registered by IANA. This workaround and patch are documented in the ASF Advisory at asf-httpoxy-response.txt and incorporated in the 2.4.25 and 2.2.32 releases. Note: This is not assigned an httpd severity, as it is a defect in other software which overloaded well-established CGI environment variables, and does not reflect an error in HTTP server software."/>
    <s v="* Apache HTTPD &gt;= 2.2 and &lt; 2.2.32_x000d__x000a_      Upgrade to Apache HTTPD version 2.2.32_x000d__x000a__x000d__x000a_      Download and apply the upgrade from:  http://archive.apache.org/dist/httpd/httpd-2.2.3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5_x000d__x000a_      Upgrade to Apache HTTPD version 2.4.25_x000d__x000a__x000d__x000a_      Download and apply the upgrade from:  http://archive.apache.org/dist/httpd/httpd-2.4.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6-5387"/>
    <s v="http://nvd.nist.gov/vuln/detail/CVE-2016-5387"/>
    <m/>
    <m/>
    <m/>
    <m/>
    <m/>
    <n v="10"/>
    <m/>
    <m/>
    <s v="DTP nécessité de l4intervention de l'editeur"/>
    <x v="1"/>
    <m/>
    <m/>
    <x v="6"/>
    <s v="Unix"/>
    <e v="#N/A"/>
    <e v="#N/A"/>
    <m/>
    <s v="Unix"/>
    <s v="22/04/2036"/>
    <e v="#N/A"/>
    <m/>
    <x v="0"/>
    <x v="9"/>
    <x v="0"/>
  </r>
  <r>
    <s v="81.192.11.189/80/apache-httpd-cve-2014-0226"/>
    <s v="81.192.11.189"/>
    <x v="29"/>
    <m/>
    <s v="Not Fixed"/>
    <m/>
    <m/>
    <s v="Linux"/>
    <s v="4.1.12-37.4.1.el6uek.x86_64"/>
    <n v="80"/>
    <s v="HTTP"/>
    <s v="HTTPD 2.2.15"/>
    <n v="7"/>
    <x v="2"/>
    <s v="apache-httpd-cve-2014-0226"/>
    <s v="Apache HTTPD: mod_status buffer overflow (CVE-2014-0226)"/>
    <s v="The affected asset is vulnerable to this vulnerability ONLY if it is running one of the following modules: mod_status. Review your web server configuration for validation.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0_x000d__x000a_      Upgrade to Apache HTTPD version 2.4.10_x000d__x000a__x000d__x000a_      Download and apply the upgrade from:  http://archive.apache.org/dist/httpd/httpd-2.4.1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4-0226"/>
    <s v="http://nvd.nist.gov/vuln/detail/CVE-2014-0226"/>
    <m/>
    <m/>
    <m/>
    <m/>
    <m/>
    <n v="10"/>
    <m/>
    <m/>
    <s v="DTP nécessité de l4intervention de l'editeur"/>
    <x v="1"/>
    <m/>
    <m/>
    <x v="6"/>
    <s v="Unix"/>
    <e v="#N/A"/>
    <e v="#N/A"/>
    <m/>
    <s v="Unix"/>
    <s v="22/04/2037"/>
    <e v="#N/A"/>
    <m/>
    <x v="0"/>
    <x v="9"/>
    <x v="0"/>
  </r>
  <r>
    <s v="81.192.11.189/443/apache-httpd-cve-2014-0226"/>
    <s v="81.192.11.189"/>
    <x v="29"/>
    <m/>
    <s v="Not Fixed"/>
    <m/>
    <m/>
    <s v="Linux"/>
    <s v="4.1.12-37.4.1.el6uek.x86_64"/>
    <n v="443"/>
    <s v="HTTPS"/>
    <s v="HTTPD 2.2.15"/>
    <n v="7"/>
    <x v="2"/>
    <s v="apache-httpd-cve-2014-0226"/>
    <s v="Apache HTTPD: mod_status buffer overflow (CVE-2014-0226)"/>
    <s v="The affected asset is vulnerable to this vulnerability ONLY if it is running one of the following modules: mod_status. Review your web server configuration for validation.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0_x000d__x000a_      Upgrade to Apache HTTPD version 2.4.10_x000d__x000a__x000d__x000a_      Download and apply the upgrade from:  http://archive.apache.org/dist/httpd/httpd-2.4.1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4-0226"/>
    <s v="http://nvd.nist.gov/vuln/detail/CVE-2014-0226"/>
    <m/>
    <m/>
    <m/>
    <m/>
    <m/>
    <n v="10"/>
    <m/>
    <m/>
    <s v="Fixed"/>
    <x v="1"/>
    <s v="22/04"/>
    <m/>
    <x v="6"/>
    <s v="Unix"/>
    <e v="#N/A"/>
    <e v="#N/A"/>
    <m/>
    <s v="Unix"/>
    <s v="22/04/2038"/>
    <e v="#N/A"/>
    <m/>
    <x v="0"/>
    <x v="0"/>
    <x v="0"/>
  </r>
  <r>
    <s v="81.192.11.189/22/ssh-cbc-ciphers"/>
    <s v="81.192.11.189"/>
    <x v="29"/>
    <m/>
    <s v="Not Fixed"/>
    <m/>
    <m/>
    <s v="Linux"/>
    <s v="4.1.12-37.4.1.el6uek.x86_64"/>
    <n v="22"/>
    <s v="SSH"/>
    <s v="OpenSSH 5.3"/>
    <n v="3"/>
    <x v="0"/>
    <s v="ssh-cbc-ciphers"/>
    <s v="SSH CBC vulnerability"/>
    <s v="SSH contains a vulnerability in the way certain types of errors are handled. Attacks leveraging this vulnerabilty would lead to the loss of the SSH session. According to CPNI Vulnerability Advisory SSH: _x000d__x000a__x000d__x000a_ If exploited, this attack can potentially allow an attacker to recover up to 32 bits of plaintext from an arbitrary block of ciphertext from a connection secured using the SSH protocol in the standard configuration. If OpenSSH is used in the standard configuration, then the attacker's success probability for recovering 32 bits of plaintext is 2^{-18}. A variant of the attack against OpenSSH in the standard configuration can verifiably recover 14 bits of plaintext with probability 2^{-14}. The success probability of the attack for other implementations of SSH is not known."/>
    <s v="Disable SSH support for CBC cipher suite_x000d__x000a__x000d__x000a__x000d__x000a_SSH can be done using Counter (CTR) mode encryption. This mode generates the keystream by encrypting successive values of a &quot;counter&quot; function. In order to mitigate this vulnerabilty SSH can be setup to use CTR mode rather CBC mode."/>
    <s v="* Running SSH service_x000d__x000a__x000d__x000a_ * Insecure CBC ciphers in use: aes128-cbc,3des-cbc,blowfish-cbc,cast128-cbc,aes192-cbc,aes256-cbc"/>
    <s v="https://www.kb.cert.org/vuls/id/958563"/>
    <s v=""/>
    <s v=""/>
    <m/>
    <m/>
    <m/>
    <m/>
    <m/>
    <n v="10"/>
    <m/>
    <m/>
    <s v="Fixed"/>
    <x v="1"/>
    <s v="22/04"/>
    <m/>
    <x v="6"/>
    <s v="Unix"/>
    <e v="#N/A"/>
    <e v="#N/A"/>
    <m/>
    <s v="Unix"/>
    <s v="22/04/2039"/>
    <e v="#N/A"/>
    <m/>
    <x v="0"/>
    <x v="0"/>
    <x v="0"/>
  </r>
  <r>
    <s v="81.192.11.189/443/apache-httpd-obsolete"/>
    <s v="81.192.11.189"/>
    <x v="29"/>
    <m/>
    <s v="Not Fixed"/>
    <m/>
    <m/>
    <s v="Linux"/>
    <s v="4.1.12-37.4.1.el6uek.x86_64"/>
    <n v="443"/>
    <s v="HTTPS"/>
    <s v="HTTPD 2.2.15"/>
    <n v="10"/>
    <x v="3"/>
    <s v="apache-httpd-obsolete"/>
    <s v="Obsolete Version of Apache HTTPD"/>
    <s v="Older versions of Apache HTTPD (prior to 2.4.X) are no longer officially supported. There may exist unreported vulnerabilities for these versions. An upgrade to the latest version should be applied to mitigate these unknown risks."/>
    <s v="Upgrade to the latest version of Apache HTTPD_x000d__x000a__x000d__x000a_Download and apply the upgrade from:  http://archive.apache.org/dist/httpd/httpd-2.4.46.tar.gz _x000d__x000a__x000d__x000a__x000d__x000a_The latest version of Apache HTTPD is 2.4.46.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s://en.wikipedia.org/wiki/Apache_HTTP_Server,https://httpd.apache.org"/>
    <s v=""/>
    <s v=""/>
    <m/>
    <m/>
    <m/>
    <m/>
    <m/>
    <n v="10"/>
    <m/>
    <m/>
    <s v="Fixed"/>
    <x v="1"/>
    <s v="22/04"/>
    <m/>
    <x v="6"/>
    <s v="Unix"/>
    <e v="#N/A"/>
    <e v="#N/A"/>
    <m/>
    <s v="Unix"/>
    <s v="22/04/2040"/>
    <e v="#N/A"/>
    <m/>
    <x v="0"/>
    <x v="0"/>
    <x v="0"/>
  </r>
  <r>
    <s v="81.192.11.189/80/apache-httpd-obsolete"/>
    <s v="81.192.11.189"/>
    <x v="29"/>
    <m/>
    <s v="Not Fixed"/>
    <m/>
    <m/>
    <s v="Linux"/>
    <s v="4.1.12-37.4.1.el6uek.x86_64"/>
    <n v="80"/>
    <s v="HTTP"/>
    <s v="HTTPD 2.2.15"/>
    <n v="10"/>
    <x v="3"/>
    <s v="apache-httpd-obsolete"/>
    <s v="Obsolete Version of Apache HTTPD"/>
    <s v="Older versions of Apache HTTPD (prior to 2.4.X) are no longer officially supported. There may exist unreported vulnerabilities for these versions. An upgrade to the latest version should be applied to mitigate these unknown risks."/>
    <s v="Upgrade to the latest version of Apache HTTPD_x000d__x000a__x000d__x000a_Download and apply the upgrade from:  http://archive.apache.org/dist/httpd/httpd-2.4.46.tar.gz _x000d__x000a__x000d__x000a__x000d__x000a_The latest version of Apache HTTPD is 2.4.46.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s://en.wikipedia.org/wiki/Apache_HTTP_Server,https://httpd.apache.org"/>
    <s v=""/>
    <s v=""/>
    <m/>
    <m/>
    <m/>
    <m/>
    <m/>
    <n v="10"/>
    <m/>
    <m/>
    <s v="DTP nécessité de l4intervention de l'editeur"/>
    <x v="1"/>
    <m/>
    <m/>
    <x v="6"/>
    <s v="Unix"/>
    <e v="#N/A"/>
    <e v="#N/A"/>
    <m/>
    <s v="Unix"/>
    <s v="22/04/2041"/>
    <e v="#N/A"/>
    <m/>
    <x v="0"/>
    <x v="9"/>
    <x v="0"/>
  </r>
  <r>
    <s v="81.192.11.189/443/tlsv1_0-enabled"/>
    <s v="81.192.11.189"/>
    <x v="29"/>
    <m/>
    <s v="Not Fixed"/>
    <m/>
    <m/>
    <s v="Linux"/>
    <s v="4.1.12-37.4.1.el6uek.x86_64"/>
    <n v="443"/>
    <s v="HTTPS"/>
    <s v="HTTPD 2.2.15"/>
    <n v="4"/>
    <x v="1"/>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m/>
    <m/>
    <m/>
    <m/>
    <m/>
    <n v="10"/>
    <m/>
    <m/>
    <s v="Fixed"/>
    <x v="1"/>
    <s v="22/04"/>
    <m/>
    <x v="6"/>
    <s v="Unix"/>
    <e v="#N/A"/>
    <e v="#N/A"/>
    <m/>
    <s v="Unix"/>
    <s v="22/04/2042"/>
    <e v="#N/A"/>
    <m/>
    <x v="0"/>
    <x v="0"/>
    <x v="0"/>
  </r>
  <r>
    <s v="81.192.11.189/444/tlsv1_0-enabled"/>
    <s v="81.192.11.189"/>
    <x v="29"/>
    <m/>
    <s v="Not Fixed"/>
    <m/>
    <m/>
    <s v="Linux"/>
    <s v="4.1.12-37.4.1.el6uek.x86_64"/>
    <n v="444"/>
    <s v="snpp (Simple Network Paging Protocol)"/>
    <s v=""/>
    <n v="4"/>
    <x v="1"/>
    <s v="tlsv1_0-enabled"/>
    <s v="TLS Server Supports TLS version 1.0"/>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0"/>
    <s v="https://www.pcisecuritystandards.org/documents/Migrating_from_SSL_Early_TLS_Information%20Supplement_v1.pdf,http://nvlpubs.nist.gov/nistpubs/SpecialPublications/NIST.SP.800-52r1.pdf"/>
    <s v=""/>
    <s v=""/>
    <m/>
    <m/>
    <m/>
    <m/>
    <m/>
    <n v="10"/>
    <m/>
    <m/>
    <s v="Fixed"/>
    <x v="1"/>
    <s v="22/04"/>
    <m/>
    <x v="6"/>
    <s v="Unix"/>
    <e v="#N/A"/>
    <e v="#N/A"/>
    <m/>
    <s v="Unix"/>
    <s v="22/04/2043"/>
    <e v="#N/A"/>
    <m/>
    <x v="0"/>
    <x v="0"/>
    <x v="0"/>
  </r>
  <r>
    <s v="81.192.11.189/443/apache-httpd-cve-2013-5704"/>
    <s v="81.192.11.189"/>
    <x v="29"/>
    <m/>
    <s v="Not Fixed"/>
    <m/>
    <m/>
    <s v="Linux"/>
    <s v="4.1.12-37.4.1.el6uek.x86_64"/>
    <n v="443"/>
    <s v="HTTPS"/>
    <s v="HTTPD 2.2.15"/>
    <n v="5"/>
    <x v="1"/>
    <s v="apache-httpd-cve-2013-5704"/>
    <s v="Apache HTTPD: HTTP Trailers processing bypass (CVE-2013-5704)"/>
    <s v="HTTP trailers could be used to replace HTTP headers late during request processing, potentially undoing or otherwise confusing modules that examined or modified request headers earlier. This fix adds the &quot;MergeTrailers&quot; directive to restore legacy behavior."/>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2_x000d__x000a_      Upgrade to Apache HTTPD version 2.4.12_x000d__x000a__x000d__x000a_      Download and apply the upgrade from:  http://archive.apache.org/dist/httpd/httpd-2.4.1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3-5704"/>
    <s v="http://nvd.nist.gov/vuln/detail/CVE-2013-5704"/>
    <m/>
    <m/>
    <m/>
    <m/>
    <m/>
    <n v="10"/>
    <m/>
    <m/>
    <s v="Fixed"/>
    <x v="1"/>
    <s v="22/04"/>
    <m/>
    <x v="6"/>
    <s v="Unix"/>
    <e v="#N/A"/>
    <e v="#N/A"/>
    <m/>
    <s v="Unix"/>
    <s v="22/04/2044"/>
    <e v="#N/A"/>
    <m/>
    <x v="0"/>
    <x v="0"/>
    <x v="0"/>
  </r>
  <r>
    <s v="81.192.11.189/80/apache-httpd-cve-2013-5704"/>
    <s v="81.192.11.189"/>
    <x v="29"/>
    <m/>
    <s v="Not Fixed"/>
    <m/>
    <m/>
    <s v="Linux"/>
    <s v="4.1.12-37.4.1.el6uek.x86_64"/>
    <n v="80"/>
    <s v="HTTP"/>
    <s v="HTTPD 2.2.15"/>
    <n v="5"/>
    <x v="1"/>
    <s v="apache-httpd-cve-2013-5704"/>
    <s v="Apache HTTPD: HTTP Trailers processing bypass (CVE-2013-5704)"/>
    <s v="HTTP trailers could be used to replace HTTP headers late during request processing, potentially undoing or otherwise confusing modules that examined or modified request headers earlier. This fix adds the &quot;MergeTrailers&quot; directive to restore legacy behavior."/>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2_x000d__x000a_      Upgrade to Apache HTTPD version 2.4.12_x000d__x000a__x000d__x000a_      Download and apply the upgrade from:  http://archive.apache.org/dist/httpd/httpd-2.4.1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3-5704"/>
    <s v="http://nvd.nist.gov/vuln/detail/CVE-2013-5704"/>
    <m/>
    <m/>
    <m/>
    <m/>
    <m/>
    <n v="10"/>
    <m/>
    <m/>
    <s v="DTP nécessité de l4intervention de l'editeur"/>
    <x v="1"/>
    <m/>
    <m/>
    <x v="6"/>
    <s v="Unix"/>
    <e v="#N/A"/>
    <e v="#N/A"/>
    <m/>
    <s v="Unix"/>
    <s v="22/04/2045"/>
    <e v="#N/A"/>
    <m/>
    <x v="0"/>
    <x v="9"/>
    <x v="0"/>
  </r>
  <r>
    <s v="81.192.11.189/443/apache-httpd-cve-2013-6438"/>
    <s v="81.192.11.189"/>
    <x v="29"/>
    <m/>
    <s v="Not Fixed"/>
    <m/>
    <m/>
    <s v="Linux"/>
    <s v="4.1.12-37.4.1.el6uek.x86_64"/>
    <n v="443"/>
    <s v="HTTPS"/>
    <s v="HTTPD 2.2.15"/>
    <n v="5"/>
    <x v="1"/>
    <s v="apache-httpd-cve-2013-6438"/>
    <s v="Apache HTTPD: mod_dav crash (CVE-2013-6438)"/>
    <s v="The affected asset is vulnerable to this vulnerability ONLY if it is running one of the following modules: mod_dav. Review your web server configuration for validation.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
    <s v="* Apache HTTPD &gt;= 2.2 and &lt; 2.2.27_x000d__x000a_      Upgrade to Apache HTTPD version 2.2.27_x000d__x000a__x000d__x000a_      Download and apply the upgrade from:  http://archive.apache.org/dist/httpd/httpd-2.2.2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9_x000d__x000a_      Upgrade to Apache HTTPD version 2.4.9_x000d__x000a__x000d__x000a_      Download and apply the upgrade from:  http://archive.apache.org/dist/httpd/httpd-2.4.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3-6438"/>
    <s v="http://nvd.nist.gov/vuln/detail/CVE-2013-6438"/>
    <m/>
    <m/>
    <m/>
    <m/>
    <m/>
    <n v="10"/>
    <m/>
    <m/>
    <s v="Fixed"/>
    <x v="1"/>
    <s v="22/04"/>
    <m/>
    <x v="6"/>
    <s v="Unix"/>
    <e v="#N/A"/>
    <e v="#N/A"/>
    <m/>
    <s v="Unix"/>
    <s v="22/04/2046"/>
    <e v="#N/A"/>
    <m/>
    <x v="0"/>
    <x v="0"/>
    <x v="0"/>
  </r>
  <r>
    <s v="81.192.11.189/80/apache-httpd-cve-2013-6438"/>
    <s v="81.192.11.189"/>
    <x v="29"/>
    <m/>
    <s v="Not Fixed"/>
    <m/>
    <m/>
    <s v="Linux"/>
    <s v="4.1.12-37.4.1.el6uek.x86_64"/>
    <n v="80"/>
    <s v="HTTP"/>
    <s v="HTTPD 2.2.15"/>
    <n v="5"/>
    <x v="1"/>
    <s v="apache-httpd-cve-2013-6438"/>
    <s v="Apache HTTPD: mod_dav crash (CVE-2013-6438)"/>
    <s v="The affected asset is vulnerable to this vulnerability ONLY if it is running one of the following modules: mod_dav. Review your web server configuration for validation.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
    <s v="* Apache HTTPD &gt;= 2.2 and &lt; 2.2.27_x000d__x000a_      Upgrade to Apache HTTPD version 2.2.27_x000d__x000a__x000d__x000a_      Download and apply the upgrade from:  http://archive.apache.org/dist/httpd/httpd-2.2.2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9_x000d__x000a_      Upgrade to Apache HTTPD version 2.4.9_x000d__x000a__x000d__x000a_      Download and apply the upgrade from:  http://archive.apache.org/dist/httpd/httpd-2.4.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3-6438"/>
    <s v="http://nvd.nist.gov/vuln/detail/CVE-2013-6438"/>
    <m/>
    <m/>
    <m/>
    <m/>
    <m/>
    <n v="10"/>
    <m/>
    <m/>
    <s v="DTP nécessité de l4intervention de l'editeur"/>
    <x v="1"/>
    <m/>
    <m/>
    <x v="6"/>
    <s v="Unix"/>
    <e v="#N/A"/>
    <e v="#N/A"/>
    <m/>
    <s v="Unix"/>
    <s v="22/04/2047"/>
    <e v="#N/A"/>
    <m/>
    <x v="0"/>
    <x v="9"/>
    <x v="0"/>
  </r>
  <r>
    <s v="81.192.11.189/80/apache-httpd-cve-2015-3183"/>
    <s v="81.192.11.189"/>
    <x v="29"/>
    <m/>
    <s v="Not Fixed"/>
    <m/>
    <m/>
    <s v="Linux"/>
    <s v="4.1.12-37.4.1.el6uek.x86_64"/>
    <n v="80"/>
    <s v="HTTP"/>
    <s v="HTTPD 2.2.15"/>
    <n v="5"/>
    <x v="1"/>
    <s v="apache-httpd-cve-2015-3183"/>
    <s v="Apache HTTPD: HTTP request smuggling attack against chunked request parser (CVE-2015-3183)"/>
    <s v="An HTTP request smuggling attack was possible due to a bug in parsing of chunked requests. A malicious client could force the server to misinterpret the request length, allowing cache poisoning or credential hijacking if an intermediary proxy is in use."/>
    <s v="* Apache HTTPD &gt;= 2.2 and &lt; 2.2.31_x000d__x000a_      Upgrade to Apache HTTPD version 2.2.31_x000d__x000a__x000d__x000a_      Download and apply the upgrade from:  http://archive.apache.org/dist/httpd/httpd-2.2.3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6_x000d__x000a_      Upgrade to Apache HTTPD version 2.4.16_x000d__x000a__x000d__x000a_      Download and apply the upgrade from:  http://archive.apache.org/dist/httpd/httpd-2.4.1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5-3183"/>
    <s v="http://nvd.nist.gov/vuln/detail/CVE-2015-3183"/>
    <m/>
    <m/>
    <m/>
    <m/>
    <m/>
    <n v="10"/>
    <m/>
    <m/>
    <s v="DTP nécessité de l4intervention de l'editeur"/>
    <x v="1"/>
    <m/>
    <m/>
    <x v="6"/>
    <s v="Unix"/>
    <e v="#N/A"/>
    <e v="#N/A"/>
    <m/>
    <s v="Unix"/>
    <s v="22/04/2048"/>
    <e v="#N/A"/>
    <m/>
    <x v="0"/>
    <x v="9"/>
    <x v="0"/>
  </r>
  <r>
    <s v="81.192.11.189/443/apache-httpd-cve-2015-3183"/>
    <s v="81.192.11.189"/>
    <x v="29"/>
    <m/>
    <s v="Not Fixed"/>
    <m/>
    <m/>
    <s v="Linux"/>
    <s v="4.1.12-37.4.1.el6uek.x86_64"/>
    <n v="443"/>
    <s v="HTTPS"/>
    <s v="HTTPD 2.2.15"/>
    <n v="5"/>
    <x v="1"/>
    <s v="apache-httpd-cve-2015-3183"/>
    <s v="Apache HTTPD: HTTP request smuggling attack against chunked request parser (CVE-2015-3183)"/>
    <s v="An HTTP request smuggling attack was possible due to a bug in parsing of chunked requests. A malicious client could force the server to misinterpret the request length, allowing cache poisoning or credential hijacking if an intermediary proxy is in use."/>
    <s v="* Apache HTTPD &gt;= 2.2 and &lt; 2.2.31_x000d__x000a_      Upgrade to Apache HTTPD version 2.2.31_x000d__x000a__x000d__x000a_      Download and apply the upgrade from:  http://archive.apache.org/dist/httpd/httpd-2.2.31.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6_x000d__x000a_      Upgrade to Apache HTTPD version 2.4.16_x000d__x000a__x000d__x000a_      Download and apply the upgrade from:  http://archive.apache.org/dist/httpd/httpd-2.4.1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5-3183"/>
    <s v="http://nvd.nist.gov/vuln/detail/CVE-2015-3183"/>
    <m/>
    <m/>
    <m/>
    <m/>
    <m/>
    <n v="10"/>
    <m/>
    <m/>
    <s v="Fixed"/>
    <x v="1"/>
    <s v="22/04"/>
    <m/>
    <x v="6"/>
    <s v="Unix"/>
    <e v="#N/A"/>
    <e v="#N/A"/>
    <m/>
    <s v="Unix"/>
    <s v="22/04/2049"/>
    <e v="#N/A"/>
    <m/>
    <x v="0"/>
    <x v="0"/>
    <x v="0"/>
  </r>
  <r>
    <s v="81.192.11.189/22/ssh-weak-kex-algorithms"/>
    <s v="81.192.11.189"/>
    <x v="29"/>
    <m/>
    <s v="Not Fixed"/>
    <m/>
    <m/>
    <s v="Linux"/>
    <s v="4.1.12-37.4.1.el6uek.x86_64"/>
    <n v="22"/>
    <s v="SSH"/>
    <s v="OpenSSH 5.3"/>
    <n v="4"/>
    <x v="1"/>
    <s v="ssh-weak-kex-algorithms"/>
    <s v="SSH Server Supports Weak Key Exchange Algorithms"/>
    <s v="The server supports one or more weak key exchange algorithms. It is highly adviseable to remove weak key exchange algorithm support from SSH configuration files on hosts to prevent them from being used to establish connections."/>
    <s v="Disable weak Key Exchange Algorithms_x000d__x000a__x000d__x000a__x000d__x000a_Refer to  this guide (https://wiki.mozilla.org/Security/Guidelines/OpenSSH)  on what KEX algorithms to permit in your SSH configuration."/>
    <s v="* Running SSH service_x000d__x000a__x000d__x000a_ * Insecure key exchange algorithms in use: diffie-hellman-group-exchange-sha1,diffie-hellman-group1-sha1"/>
    <s v="https://wiki.mozilla.org/Security/Guidelines/OpenSSH"/>
    <s v=""/>
    <s v=""/>
    <m/>
    <m/>
    <m/>
    <m/>
    <m/>
    <n v="10"/>
    <m/>
    <m/>
    <s v="Fixed"/>
    <x v="1"/>
    <s v="22/04"/>
    <m/>
    <x v="6"/>
    <s v="Unix"/>
    <e v="#N/A"/>
    <e v="#N/A"/>
    <m/>
    <s v="Unix"/>
    <s v="22/04/2050"/>
    <e v="#N/A"/>
    <m/>
    <x v="0"/>
    <x v="0"/>
    <x v="0"/>
  </r>
  <r>
    <s v="81.192.11.189/22/ssh-cve-2015-4000"/>
    <s v="81.192.11.189"/>
    <x v="29"/>
    <m/>
    <s v="Not Fixed"/>
    <m/>
    <m/>
    <s v="Linux"/>
    <s v="4.1.12-37.4.1.el6uek.x86_64"/>
    <n v="22"/>
    <s v="SSH"/>
    <s v="OpenSSH 5.3"/>
    <n v="4"/>
    <x v="1"/>
    <s v="ssh-cve-2015-4000"/>
    <s v="SSH Server Supports diffie-hellman-group1-sha1"/>
    <s v="The prime modulus offered when diffie-hellman-group1-sha1 is used only has a size of 1024 bits. This size is considered weak and within theoretical range of the so-called Logjam attack."/>
    <s v="Disable SSH support for ssh-diffie-hellman-group1-sha1_x000d__x000a__x000d__x000a__x000d__x000a_Remove ssh-diffie-hellman-group1-sha1 from the KexAlgorithms list specified in sshd_config."/>
    <s v="* Running SSH service_x000d__x000a__x000d__x000a_ * Insecure key exchange in use: diffie-hellman-group1-sha1"/>
    <s v="https://weakdh.org/"/>
    <s v="CVE-2015-4000"/>
    <s v="http://nvd.nist.gov/vuln/detail/CVE-2015-4000"/>
    <m/>
    <m/>
    <m/>
    <m/>
    <m/>
    <n v="10"/>
    <m/>
    <m/>
    <s v="Fixed"/>
    <x v="1"/>
    <s v="22/04"/>
    <m/>
    <x v="6"/>
    <s v="Unix"/>
    <e v="#N/A"/>
    <e v="#N/A"/>
    <m/>
    <s v="Unix"/>
    <s v="22/04/2051"/>
    <e v="#N/A"/>
    <m/>
    <x v="0"/>
    <x v="0"/>
    <x v="0"/>
  </r>
  <r>
    <s v="81.192.11.189/443/apache-httpd-cve-2011-3192"/>
    <s v="81.192.11.189"/>
    <x v="29"/>
    <m/>
    <s v="Not Fixed"/>
    <m/>
    <m/>
    <s v="Linux"/>
    <s v="4.1.12-37.4.1.el6uek.x86_64"/>
    <n v="443"/>
    <s v="HTTPS"/>
    <s v="HTTPD 2.2.15"/>
    <n v="8"/>
    <x v="2"/>
    <s v="apache-httpd-cve-2011-3192"/>
    <s v="Apache HTTPD: Range header remote DoS (CVE-2011-3192)"/>
    <s v="A flaw was found in the way the Apache HTTP Server handled Range HTTP headers. A remote attacker could use this flaw to cause httpd to use an excessive amount of memory and CPU time via HTTP requests with a specially-crafted Range header. This could be used in a denial of service attack. Advisory: CVE-2011-3192.txt"/>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0_x000d__x000a_      Upgrade to Apache HTTPD version 2.2.20_x000d__x000a__x000d__x000a_      Download and apply the upgrade from:  http://archive.apache.org/dist/httpd/httpd-2.2.2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0.html,http://httpd.apache.org/security/vulnerabilities_22.html"/>
    <s v="CVE-2011-3192"/>
    <s v="http://nvd.nist.gov/vuln/detail/CVE-2011-3192"/>
    <m/>
    <m/>
    <m/>
    <m/>
    <m/>
    <n v="10"/>
    <m/>
    <m/>
    <s v="Fixed"/>
    <x v="1"/>
    <s v="22/04"/>
    <m/>
    <x v="6"/>
    <s v="Unix"/>
    <e v="#N/A"/>
    <e v="#N/A"/>
    <m/>
    <s v="Unix"/>
    <s v="22/04/2052"/>
    <e v="#N/A"/>
    <m/>
    <x v="0"/>
    <x v="0"/>
    <x v="0"/>
  </r>
  <r>
    <s v="81.192.11.189/80/apache-httpd-cve-2011-3192"/>
    <s v="81.192.11.189"/>
    <x v="29"/>
    <m/>
    <s v="Not Fixed"/>
    <m/>
    <m/>
    <s v="Linux"/>
    <s v="4.1.12-37.4.1.el6uek.x86_64"/>
    <n v="80"/>
    <s v="HTTP"/>
    <s v="HTTPD 2.2.15"/>
    <n v="8"/>
    <x v="2"/>
    <s v="apache-httpd-cve-2011-3192"/>
    <s v="Apache HTTPD: Range header remote DoS (CVE-2011-3192)"/>
    <s v="A flaw was found in the way the Apache HTTP Server handled Range HTTP headers. A remote attacker could use this flaw to cause httpd to use an excessive amount of memory and CPU time via HTTP requests with a specially-crafted Range header. This could be used in a denial of service attack. Advisory: CVE-2011-3192.txt"/>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0_x000d__x000a_      Upgrade to Apache HTTPD version 2.2.20_x000d__x000a__x000d__x000a_      Download and apply the upgrade from:  http://archive.apache.org/dist/httpd/httpd-2.2.2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0.html,http://httpd.apache.org/security/vulnerabilities_22.html"/>
    <s v="CVE-2011-3192"/>
    <s v="http://nvd.nist.gov/vuln/detail/CVE-2011-3192"/>
    <m/>
    <m/>
    <m/>
    <m/>
    <m/>
    <n v="10"/>
    <m/>
    <m/>
    <s v="DTP nécessité de l4intervention de l'editeur"/>
    <x v="1"/>
    <m/>
    <m/>
    <x v="6"/>
    <s v="Unix"/>
    <e v="#N/A"/>
    <e v="#N/A"/>
    <m/>
    <s v="Unix"/>
    <s v="22/04/2053"/>
    <e v="#N/A"/>
    <m/>
    <x v="0"/>
    <x v="9"/>
    <x v="0"/>
  </r>
  <r>
    <s v="81.192.11.189/80/apache-httpd-cve-2011-3348"/>
    <s v="81.192.11.189"/>
    <x v="29"/>
    <m/>
    <s v="Not Fixed"/>
    <m/>
    <m/>
    <s v="Linux"/>
    <s v="4.1.12-37.4.1.el6uek.x86_64"/>
    <n v="80"/>
    <s v="HTTP"/>
    <s v="HTTPD 2.2.15"/>
    <n v="4"/>
    <x v="1"/>
    <s v="apache-httpd-cve-2011-3348"/>
    <s v="Apache HTTPD: mod_proxy_ajp remote DoS (CVE-2011-3348)"/>
    <s v="The affected asset is vulnerable to this vulnerability ONLY if it is running one of the following modules: mod_proxy_ajp. Review your web server configuration for validation. A flaw was found when mod_proxy_ajp is used together with mod_proxy_balancer. Given a specific configuration, a remote attacker could send certain malformed HTTP requests, putting a backend server into an error state until the retry timeout expired. This could lead to a temporary denial of service."/>
    <s v="Apache HTTPD &gt;= 2.2 and &lt; 2.2.21_x000d__x000a__x000d__x000a_Upgrade to Apache HTTPD version 2.2.21_x000d__x000a__x000d__x000a_Download and apply the upgrade from:  http://archive.apache.org/dist/httpd/httpd-2.2.2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
    <s v="CVE-2011-3348"/>
    <s v="http://nvd.nist.gov/vuln/detail/CVE-2011-3348"/>
    <m/>
    <m/>
    <m/>
    <m/>
    <m/>
    <n v="10"/>
    <m/>
    <m/>
    <s v="DTP nécessité de l4intervention de l'editeur"/>
    <x v="1"/>
    <m/>
    <m/>
    <x v="6"/>
    <s v="Unix"/>
    <e v="#N/A"/>
    <e v="#N/A"/>
    <m/>
    <s v="Unix"/>
    <s v="22/04/2054"/>
    <e v="#N/A"/>
    <m/>
    <x v="0"/>
    <x v="9"/>
    <x v="0"/>
  </r>
  <r>
    <s v="81.192.11.189/443/apache-httpd-cve-2011-3348"/>
    <s v="81.192.11.189"/>
    <x v="29"/>
    <m/>
    <s v="Not Fixed"/>
    <m/>
    <m/>
    <s v="Linux"/>
    <s v="4.1.12-37.4.1.el6uek.x86_64"/>
    <n v="443"/>
    <s v="HTTPS"/>
    <s v="HTTPD 2.2.15"/>
    <n v="4"/>
    <x v="1"/>
    <s v="apache-httpd-cve-2011-3348"/>
    <s v="Apache HTTPD: mod_proxy_ajp remote DoS (CVE-2011-3348)"/>
    <s v="The affected asset is vulnerable to this vulnerability ONLY if it is running one of the following modules: mod_proxy_ajp. Review your web server configuration for validation. A flaw was found when mod_proxy_ajp is used together with mod_proxy_balancer. Given a specific configuration, a remote attacker could send certain malformed HTTP requests, putting a backend server into an error state until the retry timeout expired. This could lead to a temporary denial of service."/>
    <s v="Apache HTTPD &gt;= 2.2 and &lt; 2.2.21_x000d__x000a__x000d__x000a_Upgrade to Apache HTTPD version 2.2.21_x000d__x000a__x000d__x000a_Download and apply the upgrade from:  http://archive.apache.org/dist/httpd/httpd-2.2.21.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
    <s v="CVE-2011-3348"/>
    <s v="http://nvd.nist.gov/vuln/detail/CVE-2011-3348"/>
    <m/>
    <m/>
    <m/>
    <m/>
    <m/>
    <n v="10"/>
    <m/>
    <m/>
    <s v="Fixed"/>
    <x v="1"/>
    <s v="22/04"/>
    <m/>
    <x v="6"/>
    <s v="Unix"/>
    <e v="#N/A"/>
    <e v="#N/A"/>
    <m/>
    <s v="Unix"/>
    <s v="22/04/2055"/>
    <e v="#N/A"/>
    <m/>
    <x v="0"/>
    <x v="0"/>
    <x v="0"/>
  </r>
  <r>
    <s v="81.192.11.189/22/ssh-weak-message-authentication-code-algorithms"/>
    <s v="81.192.11.189"/>
    <x v="29"/>
    <m/>
    <s v="Not Fixed"/>
    <m/>
    <m/>
    <s v="Linux"/>
    <s v="4.1.12-37.4.1.el6uek.x86_64"/>
    <n v="22"/>
    <s v="SSH"/>
    <s v="OpenSSH 5.3"/>
    <n v="4"/>
    <x v="1"/>
    <s v="ssh-weak-message-authentication-code-algorithms"/>
    <s v="SSH Weak Message Authentication Code Algorithms"/>
    <s v="The SSH server supports cryptographically weak Hash-based message authentication codes (HMACs) including MD5 or 96-bit Hash-based algorithms."/>
    <s v="Disable any MD5 or 96-bit HMAC algorithms within the SSH configuration_x000d__x000a__x000d__x000a_Consult the product documentation for instructions to disable any insecure MD5 or 96-bit HMAC algorithms within the SSH configuration."/>
    <s v="* Running SSH service_x000d__x000a__x000d__x000a_ * Insecure MAC algorithms in use: hmac-md5,hmac-sha1-96,hmac-md5-96"/>
    <s v="http://csrc.nist.gov/archive/ipsec/papers/rfc2403-hmacmd5.txt"/>
    <s v=""/>
    <s v=""/>
    <m/>
    <m/>
    <m/>
    <m/>
    <m/>
    <n v="10"/>
    <m/>
    <m/>
    <s v="Fixed"/>
    <x v="1"/>
    <s v="22/04"/>
    <m/>
    <x v="6"/>
    <s v="Unix"/>
    <e v="#N/A"/>
    <e v="#N/A"/>
    <m/>
    <s v="Unix"/>
    <s v="22/04/2056"/>
    <e v="#N/A"/>
    <m/>
    <x v="0"/>
    <x v="0"/>
    <x v="0"/>
  </r>
  <r>
    <s v="81.192.11.189/80/apache-httpd-cve-2009-3720"/>
    <s v="81.192.11.189"/>
    <x v="29"/>
    <m/>
    <s v="Not Fixed"/>
    <m/>
    <m/>
    <s v="Linux"/>
    <s v="4.1.12-37.4.1.el6uek.x86_64"/>
    <n v="80"/>
    <s v="HTTP"/>
    <s v="HTTPD 2.2.15"/>
    <n v="5"/>
    <x v="1"/>
    <s v="apache-httpd-cve-2009-3720"/>
    <s v="Apache HTTPD: expat DoS (CVE-2009-3720)"/>
    <s v="The affected asset is vulnerable to this vulnerability ONLY if an attacker is able to get Apache to parse an untrusted XML document. Review your web server configuration for validation. A buffer over-read flaw was found in the bundled expat library. An attacker who is able to get Apache to parse an untrused XML document (for example through mod_dav) may be able to cause a crash. This crash would only be a denial of service if using the worker MPM."/>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7_x000d__x000a_      Upgrade to Apache HTTPD version 2.2.17_x000d__x000a__x000d__x000a_      Download and apply the upgrade from:  http://archive.apache.org/dist/httpd/httpd-2.2.1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0.html,http://httpd.apache.org/security/vulnerabilities_22.html"/>
    <s v="CVE-2009-3720"/>
    <s v="http://nvd.nist.gov/vuln/detail/CVE-2009-3720"/>
    <m/>
    <m/>
    <m/>
    <m/>
    <m/>
    <n v="10"/>
    <m/>
    <m/>
    <s v="DTP nécessité de l4intervention de l'editeur"/>
    <x v="1"/>
    <m/>
    <m/>
    <x v="6"/>
    <s v="Unix"/>
    <e v="#N/A"/>
    <e v="#N/A"/>
    <m/>
    <s v="Unix"/>
    <s v="22/04/2057"/>
    <e v="#N/A"/>
    <m/>
    <x v="0"/>
    <x v="9"/>
    <x v="0"/>
  </r>
  <r>
    <s v="81.192.11.189/443/apache-httpd-cve-2009-3720"/>
    <s v="81.192.11.189"/>
    <x v="29"/>
    <m/>
    <s v="Not Fixed"/>
    <m/>
    <m/>
    <s v="Linux"/>
    <s v="4.1.12-37.4.1.el6uek.x86_64"/>
    <n v="443"/>
    <s v="HTTPS"/>
    <s v="HTTPD 2.2.15"/>
    <n v="5"/>
    <x v="1"/>
    <s v="apache-httpd-cve-2009-3720"/>
    <s v="Apache HTTPD: expat DoS (CVE-2009-3720)"/>
    <s v="The affected asset is vulnerable to this vulnerability ONLY if an attacker is able to get Apache to parse an untrusted XML document. Review your web server configuration for validation. A buffer over-read flaw was found in the bundled expat library. An attacker who is able to get Apache to parse an untrused XML document (for example through mod_dav) may be able to cause a crash. This crash would only be a denial of service if using the worker MPM."/>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7_x000d__x000a_      Upgrade to Apache HTTPD version 2.2.17_x000d__x000a__x000d__x000a_      Download and apply the upgrade from:  http://archive.apache.org/dist/httpd/httpd-2.2.1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0.html,http://httpd.apache.org/security/vulnerabilities_22.html"/>
    <s v="CVE-2009-3720"/>
    <s v="http://nvd.nist.gov/vuln/detail/CVE-2009-3720"/>
    <m/>
    <m/>
    <m/>
    <m/>
    <m/>
    <n v="10"/>
    <m/>
    <m/>
    <s v="Fixed"/>
    <x v="1"/>
    <s v="22/04"/>
    <m/>
    <x v="6"/>
    <s v="Unix"/>
    <e v="#N/A"/>
    <e v="#N/A"/>
    <m/>
    <s v="Unix"/>
    <s v="22/04/2058"/>
    <e v="#N/A"/>
    <m/>
    <x v="0"/>
    <x v="0"/>
    <x v="0"/>
  </r>
  <r>
    <s v="81.192.11.189/80/apache-httpd-cve-2012-3499"/>
    <s v="81.192.11.189"/>
    <x v="29"/>
    <m/>
    <s v="Not Fixed"/>
    <m/>
    <m/>
    <s v="Linux"/>
    <s v="4.1.12-37.4.1.el6uek.x86_64"/>
    <n v="80"/>
    <s v="HTTP"/>
    <s v="HTTPD 2.2.15"/>
    <n v="4"/>
    <x v="1"/>
    <s v="apache-httpd-cve-2012-3499"/>
    <s v="Apache HTTPD: XSS due to unescaped hostnames (CVE-2012-3499)"/>
    <s v="The affected asset is vulnerable to this vulnerability ONLY if it is running one of the following modules: mod_imagemap, mod_info, mod_ldap, mod_proxy_ftp, mod_status. Review your web server configuration for validation. Various XSS flaws due to unescaped hostnames and URIs HTML output in mod_info, mod_status, mod_imagemap, mod_ldap, and mod_proxy_ftp."/>
    <s v="* Apache HTTPD &gt;= 2.2 and &lt; 2.2.24_x000d__x000a_      Upgrade to Apache HTTPD version 2.2.24_x000d__x000a__x000d__x000a_      Download and apply the upgrade from:  http://archive.apache.org/dist/httpd/httpd-2.2.2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4_x000d__x000a_      Upgrade to Apache HTTPD version 2.4.4_x000d__x000a__x000d__x000a_      Download and apply the upgrade from:  http://archive.apache.org/dist/httpd/httpd-2.4.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2-3499"/>
    <s v="http://nvd.nist.gov/vuln/detail/CVE-2012-3499"/>
    <m/>
    <m/>
    <m/>
    <m/>
    <m/>
    <n v="10"/>
    <m/>
    <m/>
    <s v="DTP nécessité de l4intervention de l'editeur"/>
    <x v="1"/>
    <m/>
    <m/>
    <x v="6"/>
    <s v="Unix"/>
    <e v="#N/A"/>
    <e v="#N/A"/>
    <m/>
    <s v="Unix"/>
    <s v="22/04/2059"/>
    <e v="#N/A"/>
    <m/>
    <x v="0"/>
    <x v="9"/>
    <x v="0"/>
  </r>
  <r>
    <s v="81.192.11.189/443/apache-httpd-cve-2012-3499"/>
    <s v="81.192.11.189"/>
    <x v="29"/>
    <m/>
    <s v="Not Fixed"/>
    <m/>
    <m/>
    <s v="Linux"/>
    <s v="4.1.12-37.4.1.el6uek.x86_64"/>
    <n v="443"/>
    <s v="HTTPS"/>
    <s v="HTTPD 2.2.15"/>
    <n v="4"/>
    <x v="1"/>
    <s v="apache-httpd-cve-2012-3499"/>
    <s v="Apache HTTPD: XSS due to unescaped hostnames (CVE-2012-3499)"/>
    <s v="The affected asset is vulnerable to this vulnerability ONLY if it is running one of the following modules: mod_imagemap, mod_info, mod_ldap, mod_proxy_ftp, mod_status. Review your web server configuration for validation. Various XSS flaws due to unescaped hostnames and URIs HTML output in mod_info, mod_status, mod_imagemap, mod_ldap, and mod_proxy_ftp."/>
    <s v="* Apache HTTPD &gt;= 2.2 and &lt; 2.2.24_x000d__x000a_      Upgrade to Apache HTTPD version 2.2.24_x000d__x000a__x000d__x000a_      Download and apply the upgrade from:  http://archive.apache.org/dist/httpd/httpd-2.2.2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4_x000d__x000a_      Upgrade to Apache HTTPD version 2.4.4_x000d__x000a__x000d__x000a_      Download and apply the upgrade from:  http://archive.apache.org/dist/httpd/httpd-2.4.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2-3499"/>
    <s v="http://nvd.nist.gov/vuln/detail/CVE-2012-3499"/>
    <m/>
    <m/>
    <m/>
    <m/>
    <m/>
    <n v="10"/>
    <m/>
    <m/>
    <s v="Fixed"/>
    <x v="1"/>
    <s v="22/04"/>
    <m/>
    <x v="6"/>
    <s v="Unix"/>
    <e v="#N/A"/>
    <e v="#N/A"/>
    <m/>
    <s v="Unix"/>
    <s v="22/04/2060"/>
    <e v="#N/A"/>
    <m/>
    <x v="0"/>
    <x v="0"/>
    <x v="0"/>
  </r>
  <r>
    <s v="81.192.11.189/123/ntp-r7-2014-12-reslist-disclosure"/>
    <s v="81.192.11.189"/>
    <x v="29"/>
    <m/>
    <s v="Not Fixed"/>
    <m/>
    <m/>
    <s v="Linux"/>
    <s v="4.1.12-37.4.1.el6uek.x86_64"/>
    <n v="123"/>
    <s v="NTP"/>
    <s v="NTP 4.2.6p5@1.2349-o"/>
    <n v="5"/>
    <x v="1"/>
    <s v="ntp-r7-2014-12-reslist-disclosure"/>
    <s v="NTP: Information disclosure in reslist feature of ntpd (CVE-2014-5209)"/>
    <s v="An NTP private (mode 7) message for the XNTPD_OLD (2) and XNTPD (3) implementation with the GET_RESTRICT (16) request code will return the list of hosts/networks that have particular restrictions applied to them. This is the equivalent of an ACL and should be considered sensitive because it can disclose the internal or alternative IP addresses and/or networks used by the NTP server as well as any other networks or hosts that have unique, possibly more lax restrictions applied when communicating with this NTP server, potentially showing further attack vectors."/>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Based on the result of the &quot;ntp-r7-2014-12-reslist-drdos&quot; test, this node is applicable to this issue."/>
    <s v="https://community.rapid7.com/community/metasploit/blog/2014/08/25/r7-2014-12-more-amplification-vulnerabilities-in-ntp-allow-even-more-drdos-attacks"/>
    <s v="CVE-2014-5209"/>
    <s v="http://nvd.nist.gov/vuln/detail/CVE-2014-5209"/>
    <m/>
    <m/>
    <m/>
    <m/>
    <m/>
    <n v="10"/>
    <m/>
    <m/>
    <s v="Fixed"/>
    <x v="1"/>
    <s v="22/04"/>
    <m/>
    <x v="6"/>
    <s v="Unix"/>
    <e v="#N/A"/>
    <e v="#N/A"/>
    <m/>
    <s v="Unix"/>
    <s v="22/04/2061"/>
    <e v="#N/A"/>
    <m/>
    <x v="0"/>
    <x v="0"/>
    <x v="0"/>
  </r>
  <r>
    <s v="81.192.11.189/80/apache-httpd-cve-2017-3167"/>
    <s v="81.192.11.189"/>
    <x v="29"/>
    <m/>
    <s v="Not Fixed"/>
    <m/>
    <m/>
    <s v="Linux"/>
    <s v="4.1.12-37.4.1.el6uek.x86_64"/>
    <n v="80"/>
    <s v="HTTP"/>
    <s v="HTTPD 2.2.15"/>
    <n v="8"/>
    <x v="2"/>
    <s v="apache-httpd-cve-2017-3167"/>
    <s v="Apache HTTPD: ap_get_basic_auth_pw() Authentication Bypass (CVE-2017-3167)"/>
    <s v="Use of the ap_get_basic_auth_pw() by third-party modules outside of the authentication phase may lead to authentication requirements being bypassed. Third-party module writers SHOULD use ap_get_basic_auth_components(), available in 2.2.34 and 2.4.26, instead of ap_get_basic_auth_pw(). Modules which call the legacy ap_get_basic_auth_pw() during the authentication phase MUST either immediately authenticate the user after the call, or else stop the request immediately with an error response, to avoid incorrectly authenticating the current request."/>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6_x000d__x000a_      Upgrade to Apache HTTPD version 2.4.26_x000d__x000a__x000d__x000a_      Download and apply the upgrade from:  http://archive.apache.org/dist/httpd/httpd-2.4.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7-3167"/>
    <s v="http://nvd.nist.gov/vuln/detail/CVE-2017-3167"/>
    <m/>
    <m/>
    <m/>
    <m/>
    <m/>
    <n v="10"/>
    <m/>
    <m/>
    <s v="DTP nécessité de l4intervention de l'editeur"/>
    <x v="1"/>
    <m/>
    <m/>
    <x v="6"/>
    <s v="Unix"/>
    <e v="#N/A"/>
    <e v="#N/A"/>
    <m/>
    <s v="Unix"/>
    <s v="22/04/2062"/>
    <e v="#N/A"/>
    <m/>
    <x v="0"/>
    <x v="9"/>
    <x v="0"/>
  </r>
  <r>
    <s v="81.192.11.189/443/apache-httpd-cve-2017-3167"/>
    <s v="81.192.11.189"/>
    <x v="29"/>
    <m/>
    <s v="Not Fixed"/>
    <m/>
    <m/>
    <s v="Linux"/>
    <s v="4.1.12-37.4.1.el6uek.x86_64"/>
    <n v="443"/>
    <s v="HTTPS"/>
    <s v="HTTPD 2.2.15"/>
    <n v="8"/>
    <x v="2"/>
    <s v="apache-httpd-cve-2017-3167"/>
    <s v="Apache HTTPD: ap_get_basic_auth_pw() Authentication Bypass (CVE-2017-3167)"/>
    <s v="Use of the ap_get_basic_auth_pw() by third-party modules outside of the authentication phase may lead to authentication requirements being bypassed. Third-party module writers SHOULD use ap_get_basic_auth_components(), available in 2.2.34 and 2.4.26, instead of ap_get_basic_auth_pw(). Modules which call the legacy ap_get_basic_auth_pw() during the authentication phase MUST either immediately authenticate the user after the call, or else stop the request immediately with an error response, to avoid incorrectly authenticating the current request."/>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6_x000d__x000a_      Upgrade to Apache HTTPD version 2.4.26_x000d__x000a__x000d__x000a_      Download and apply the upgrade from:  http://archive.apache.org/dist/httpd/httpd-2.4.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7-3167"/>
    <s v="http://nvd.nist.gov/vuln/detail/CVE-2017-3167"/>
    <m/>
    <m/>
    <m/>
    <m/>
    <m/>
    <n v="10"/>
    <m/>
    <m/>
    <s v="DTP nécessité de l4intervention de l'editeur"/>
    <x v="1"/>
    <m/>
    <m/>
    <x v="6"/>
    <s v="Unix"/>
    <e v="#N/A"/>
    <e v="#N/A"/>
    <m/>
    <s v="Unix"/>
    <s v="22/04/2063"/>
    <e v="#N/A"/>
    <m/>
    <x v="0"/>
    <x v="9"/>
    <x v="0"/>
  </r>
  <r>
    <s v="81.192.11.189/444/tls-dh-primes"/>
    <s v="81.192.11.189"/>
    <x v="29"/>
    <m/>
    <s v="Not Fixed"/>
    <m/>
    <m/>
    <s v="Linux"/>
    <s v="4.1.12-37.4.1.el6uek.x86_64"/>
    <n v="444"/>
    <s v="snpp (Simple Network Paging Protocol)"/>
    <s v=""/>
    <n v="3"/>
    <x v="0"/>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ffffffffffffffffc90fdaa22168c234c4c6628b80dc1cd129024e088a67cc74020bbea63b139b22514a08798e3404ddef9519b3cd3a431b302b0a6df25f14374fe1356d6d51c245e485b576625e7ec6f44c42e9a637ed6b0bff5cb6f406b7edee386bfb5a899fa5ae9f24117c4b1fe649286651ece45b3dc2007cb8a163bf0598da48361c55d39a69163fa8fd24cf5f83655d23dca3ad961c62f356208552bb9ed529077096966d670c354e4abc9804f1746c08ca18217c32905e462e36ce3be39e772c180e86039b2783a2ec07a28fb5c55df06f4c52c9de2bcbf6955817183995497cea956ae515d2261898fa051015728e5a8aacaa68ffffffffffffffff"/>
    <s v="https://weakdh.org/,https://www.openssl.org/docs/man1.1.0/apps/dhparam.html"/>
    <s v=""/>
    <s v=""/>
    <m/>
    <m/>
    <m/>
    <m/>
    <m/>
    <n v="10"/>
    <m/>
    <m/>
    <s v="DTP nécessité de l4intervention de l'editeur"/>
    <x v="1"/>
    <m/>
    <m/>
    <x v="6"/>
    <s v="Unix"/>
    <e v="#N/A"/>
    <e v="#N/A"/>
    <m/>
    <s v="Unix"/>
    <s v="22/04/2064"/>
    <e v="#N/A"/>
    <m/>
    <x v="0"/>
    <x v="9"/>
    <x v="0"/>
  </r>
  <r>
    <s v="81.192.11.189/443/tls-dh-primes"/>
    <s v="81.192.11.189"/>
    <x v="29"/>
    <m/>
    <s v="Not Fixed"/>
    <m/>
    <m/>
    <s v="Linux"/>
    <s v="4.1.12-37.4.1.el6uek.x86_64"/>
    <n v="443"/>
    <s v="HTTPS"/>
    <s v="HTTPD 2.2.15"/>
    <n v="3"/>
    <x v="0"/>
    <s v="tls-dh-primes"/>
    <s v="TLS/SSL Server Is Using Commonly Used Prime Numbers"/>
    <s v="The server is using a common or default prime number as a parameter during the Diffie-Hellman key exchange. This makes the secure session vulnerable to a precomputation attack. An attacker can spend a significant amount of time to generate a lookup/rainbow table for a particular prime number. This lookup table can then be used to obtain the shared secret for the handshake and decrypt the session."/>
    <s v="Generate random Diffie-Hellman parameters_x000d__x000a__x000d__x000a__x000d__x000a_ Configure the server to use a randomly generated Diffie-Hellman group. It's recommend that you generate a 2048-bit group. The simplest way of generating a new group is to use OpenSSL: _x000d__x000a__x000d__x000a_ openssl dhparam -out dhparams.pem 2048 _x000d__x000a__x000d__x000a_ To use the DH parameters in newer versions of Apache (2.4.8 and newer) and OpenSSL 1.0.2 or later, you can directly specify your DH params file as follows: _x000d__x000a__x000d__x000a_ SSLOpenSSLConfCmd DHParameters &quot;{path to dhparams.pem}&quot; _x000d__x000a__x000d__x000a_ If you are using Apache with LibreSSL, or Apache 2.4.7 and OpenSSL 0.9.8a or later, you can append the DHparams you generated earlier to the end of your certificate file and reload the configuration. _x000d__x000a__x000d__x000a_ For other products see  the remediation steps suggested by the original researchers. (https://weakdh.org/sysadmin.html)"/>
    <s v="* _x000d__x000a_      The server is using the following commonly used Diffie-Hellman primes: _x000d__x000a_    * ffffffffffffffffc90fdaa22168c234c4c6628b80dc1cd129024e088a67cc74020bbea63b139b22514a08798e3404ddef9519b3cd3a431b302b0a6df25f14374fe1356d6d51c245e485b576625e7ec6f44c42e9a637ed6b0bff5cb6f406b7edee386bfb5a899fa5ae9f24117c4b1fe649286651ece45b3dc2007cb8a163bf0598da48361c55d39a69163fa8fd24cf5f83655d23dca3ad961c62f356208552bb9ed529077096966d670c354e4abc9804f1746c08ca18217c32905e462e36ce3be39e772c180e86039b2783a2ec07a28fb5c55df06f4c52c9de2bcbf6955817183995497cea956ae515d2261898fa051015728e5a8aacaa68ffffffffffffffff"/>
    <s v="https://weakdh.org/,https://www.openssl.org/docs/man1.1.0/apps/dhparam.html"/>
    <s v=""/>
    <s v=""/>
    <m/>
    <m/>
    <m/>
    <m/>
    <m/>
    <n v="10"/>
    <m/>
    <m/>
    <s v="DTP nécessité de l4intervention de l'editeur"/>
    <x v="1"/>
    <m/>
    <m/>
    <x v="6"/>
    <s v="Unix"/>
    <e v="#N/A"/>
    <e v="#N/A"/>
    <m/>
    <s v="Unix"/>
    <s v="22/04/2065"/>
    <e v="#N/A"/>
    <m/>
    <x v="0"/>
    <x v="9"/>
    <x v="0"/>
  </r>
  <r>
    <s v="81.192.11.189/443/ssl-cve-2011-3389-beast"/>
    <s v="81.192.11.189"/>
    <x v="29"/>
    <m/>
    <s v="Not Fixed"/>
    <m/>
    <m/>
    <s v="Linux"/>
    <s v="4.1.12-37.4.1.el6uek.x86_64"/>
    <n v="443"/>
    <s v="HTTPS"/>
    <s v="HTTPD 2.2.15"/>
    <n v="4"/>
    <x v="1"/>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AES_128_CBC_SHA_x000d__x000a__x000d__x000a_       * TLS_DHE_RSA_WITH_AES_256_CBC_SHA_x000d__x000a__x000d__x000a_       * TLS_DHE_RSA_WITH_CAMELLIA_128_CBC_SHA_x000d__x000a__x000d__x000a_       * TLS_DHE_RSA_WITH_CAMELLIA_256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
    <s v="http://vnhacker.blogspot.co.uk/2011/09/beast.html"/>
    <s v="CVE-2011-3389"/>
    <s v="http://nvd.nist.gov/vuln/detail/CVE-2011-3389"/>
    <m/>
    <m/>
    <m/>
    <m/>
    <m/>
    <n v="10"/>
    <m/>
    <m/>
    <s v="DTP nécessité de l4intervention de l'editeur"/>
    <x v="1"/>
    <m/>
    <m/>
    <x v="6"/>
    <s v="Unix"/>
    <e v="#N/A"/>
    <e v="#N/A"/>
    <m/>
    <s v="Unix"/>
    <s v="22/04/2066"/>
    <e v="#N/A"/>
    <m/>
    <x v="0"/>
    <x v="9"/>
    <x v="0"/>
  </r>
  <r>
    <s v="81.192.11.189/444/ssl-cve-2011-3389-beast"/>
    <s v="81.192.11.189"/>
    <x v="29"/>
    <m/>
    <s v="Not Fixed"/>
    <m/>
    <m/>
    <s v="Linux"/>
    <s v="4.1.12-37.4.1.el6uek.x86_64"/>
    <n v="444"/>
    <s v="snpp (Simple Network Paging Protocol)"/>
    <s v=""/>
    <n v="4"/>
    <x v="1"/>
    <s v="ssl-cve-2011-3389-beast"/>
    <s v="TLS/SSL Server is enabling the BEAST attack"/>
    <s v="The SSL protocol, as used in certain configurations of Microsoft Windows and browsers such as Microsoft Internet Explorer, Mozilla Firefox, Google Chrome, Opera (and other products negotiating SSL connections) encrypts data by using CBC mode with chained initialization vectors. This potentially allows man-in-the-middle attackers to obtain plaintext HTTP headers via a blockwise chosen-boundary attack (BCBA) on an HTTPS session, in conjunction with JavaScript code that uses (1) the HTML5 WebSocket API, (2) the Java URLConnection API, or (3) the Silverlight WebClient API, aka a &quot;BEAST&quot; attack. By supporting the affected protocols and ciphers, the server is enabling the clients in to being exploited."/>
    <s v="Disable SSLv2, SSLv3, and TLS 1.0. The best solution is to only have TLS 1.2 enabled_x000d__x000a__x000d__x000a__x000d__x000a_ There is no server-side mitigation available against the BEAST attack. The only option is to disable the affected protocols (SSLv3 and TLS 1.0). The only fully safe configuration is to use Authenticated Encryption with Associated Data (AEAD), e.g. AES-GCM, AES-CCM in TLS 1.2."/>
    <s v="* _x000d__x000a_      Negotiated with the following insecure cipher suites: _x000d__x000a_    * TLS 1.0 ciphers: _x000d__x000a_       * TLS_DHE_RSA_WITH_AES_128_CBC_SHA_x000d__x000a__x000d__x000a_       * TLS_DHE_RSA_WITH_AES_256_CBC_SHA_x000d__x000a__x000d__x000a_       * TLS_DHE_RSA_WITH_CAMELLIA_128_CBC_SHA_x000d__x000a__x000d__x000a_       * TLS_DHE_RSA_WITH_CAMELLIA_256_CBC_SHA_x000d__x000a__x000d__x000a_       * TLS_ECDHE_RSA_WITH_AES_128_CBC_SHA_x000d__x000a__x000d__x000a_       * TLS_ECDHE_RSA_WITH_AES_256_CBC_SHA_x000d__x000a_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
    <s v="http://vnhacker.blogspot.co.uk/2011/09/beast.html"/>
    <s v="CVE-2011-3389"/>
    <s v="http://nvd.nist.gov/vuln/detail/CVE-2011-3389"/>
    <m/>
    <m/>
    <m/>
    <m/>
    <m/>
    <n v="10"/>
    <m/>
    <m/>
    <s v="DTP nécessité de l4intervention de l'editeur"/>
    <x v="1"/>
    <m/>
    <m/>
    <x v="6"/>
    <s v="Unix"/>
    <e v="#N/A"/>
    <e v="#N/A"/>
    <m/>
    <s v="Unix"/>
    <s v="22/04/2067"/>
    <e v="#N/A"/>
    <m/>
    <x v="0"/>
    <x v="9"/>
    <x v="0"/>
  </r>
  <r>
    <s v="81.192.11.189/80/apache-httpd-cve-2010-1623"/>
    <s v="81.192.11.189"/>
    <x v="29"/>
    <m/>
    <s v="Not Fixed"/>
    <m/>
    <m/>
    <s v="Linux"/>
    <s v="4.1.12-37.4.1.el6uek.x86_64"/>
    <n v="80"/>
    <s v="HTTP"/>
    <s v="HTTPD 2.2.15"/>
    <n v="5"/>
    <x v="1"/>
    <s v="apache-httpd-cve-2010-1623"/>
    <s v="Apache HTTPD: apr_bridage_split_line DoS (CVE-2010-1623)"/>
    <s v="The affected asset is vulnerable to this vulnerability ONLY if Apache processes non-SSL requests. Review your web server configuration for validation. A flaw was found in the apr_brigade_split_line() function of the bundled APR-util library, used to process non-SSL requests. A remote attacker could send requests, carefully crafting the timing of individual bytes, which would slowly consume memory, potentially leading to a denial of service."/>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7_x000d__x000a_      Upgrade to Apache HTTPD version 2.2.17_x000d__x000a__x000d__x000a_      Download and apply the upgrade from:  http://archive.apache.org/dist/httpd/httpd-2.2.1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0.html,http://httpd.apache.org/security/vulnerabilities_22.html"/>
    <s v="CVE-2010-1623"/>
    <s v="http://nvd.nist.gov/vuln/detail/CVE-2010-1623"/>
    <m/>
    <m/>
    <m/>
    <m/>
    <m/>
    <n v="10"/>
    <m/>
    <m/>
    <s v="DTP nécessité de l4intervention de l'editeur"/>
    <x v="1"/>
    <m/>
    <m/>
    <x v="6"/>
    <s v="Unix"/>
    <e v="#N/A"/>
    <e v="#N/A"/>
    <m/>
    <s v="Unix"/>
    <s v="22/04/2068"/>
    <e v="#N/A"/>
    <m/>
    <x v="0"/>
    <x v="9"/>
    <x v="0"/>
  </r>
  <r>
    <s v="81.192.11.189/443/apache-httpd-cve-2010-1623"/>
    <s v="81.192.11.189"/>
    <x v="29"/>
    <m/>
    <s v="Not Fixed"/>
    <m/>
    <m/>
    <s v="Linux"/>
    <s v="4.1.12-37.4.1.el6uek.x86_64"/>
    <n v="443"/>
    <s v="HTTPS"/>
    <s v="HTTPD 2.2.15"/>
    <n v="5"/>
    <x v="1"/>
    <s v="apache-httpd-cve-2010-1623"/>
    <s v="Apache HTTPD: apr_bridage_split_line DoS (CVE-2010-1623)"/>
    <s v="The affected asset is vulnerable to this vulnerability ONLY if Apache processes non-SSL requests. Review your web server configuration for validation. A flaw was found in the apr_brigade_split_line() function of the bundled APR-util library, used to process non-SSL requests. A remote attacker could send requests, carefully crafting the timing of individual bytes, which would slowly consume memory, potentially leading to a denial of service."/>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7_x000d__x000a_      Upgrade to Apache HTTPD version 2.2.17_x000d__x000a__x000d__x000a_      Download and apply the upgrade from:  http://archive.apache.org/dist/httpd/httpd-2.2.1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0.html,http://httpd.apache.org/security/vulnerabilities_22.html"/>
    <s v="CVE-2010-1623"/>
    <s v="http://nvd.nist.gov/vuln/detail/CVE-2010-1623"/>
    <m/>
    <m/>
    <m/>
    <m/>
    <m/>
    <n v="10"/>
    <m/>
    <m/>
    <s v="DTP nécessité de l4intervention de l'editeur"/>
    <x v="1"/>
    <m/>
    <m/>
    <x v="6"/>
    <s v="Unix"/>
    <e v="#N/A"/>
    <e v="#N/A"/>
    <m/>
    <s v="Unix"/>
    <s v="22/04/2069"/>
    <e v="#N/A"/>
    <m/>
    <x v="0"/>
    <x v="9"/>
    <x v="0"/>
  </r>
  <r>
    <s v="81.192.11.189/444/ssl-3des-ciphers"/>
    <s v="81.192.11.189"/>
    <x v="29"/>
    <m/>
    <s v="Not Fixed"/>
    <m/>
    <m/>
    <s v="Linux"/>
    <s v="4.1.12-37.4.1.el6uek.x86_64"/>
    <n v="444"/>
    <s v="snpp (Simple Network Paging Protocol)"/>
    <s v=""/>
    <n v="1"/>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m/>
    <m/>
    <m/>
    <m/>
    <m/>
    <n v="10"/>
    <m/>
    <m/>
    <s v="DTP nécessité de l4intervention de l'editeur"/>
    <x v="1"/>
    <m/>
    <m/>
    <x v="6"/>
    <s v="Unix"/>
    <e v="#N/A"/>
    <e v="#N/A"/>
    <m/>
    <s v="Unix"/>
    <s v="22/04/2070"/>
    <e v="#N/A"/>
    <m/>
    <x v="0"/>
    <x v="9"/>
    <x v="0"/>
  </r>
  <r>
    <s v="81.192.11.189/443/ssl-3des-ciphers"/>
    <s v="81.192.11.189"/>
    <x v="29"/>
    <m/>
    <s v="Not Fixed"/>
    <m/>
    <m/>
    <s v="Linux"/>
    <s v="4.1.12-37.4.1.el6uek.x86_64"/>
    <n v="443"/>
    <s v="HTTPS"/>
    <s v="HTTPD 2.2.15"/>
    <n v="1"/>
    <x v="0"/>
    <s v="ssl-3des-ciphers"/>
    <s v="TLS/SSL Server Supports 3DES Cipher Suite"/>
    <s v="Transport Layer Security (TLS) versions 1.0 (RFC 2246) and 1.1 (RFC 4346) include cipher suites based on the 3DES (Triple Data Encryption Standard) algorithm. Since 3DES only provides an effective security of 112 bits, it is considered close to end of life by some agencies. Consequently, the 3DES algorithm is not included in the specifications for TLS version 1.3. ECRYPT II (from 2012) recommends for generic application independent long-term protection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s v=""/>
    <s v=""/>
    <m/>
    <m/>
    <m/>
    <m/>
    <m/>
    <n v="10"/>
    <m/>
    <m/>
    <s v="DTP nécessité de l4intervention de l'editeur"/>
    <x v="1"/>
    <m/>
    <m/>
    <x v="6"/>
    <s v="Unix"/>
    <e v="#N/A"/>
    <e v="#N/A"/>
    <m/>
    <s v="Unix"/>
    <s v="22/04/2071"/>
    <e v="#N/A"/>
    <m/>
    <x v="0"/>
    <x v="9"/>
    <x v="0"/>
  </r>
  <r>
    <s v="81.192.11.189/22/ssh-3des-ciphers"/>
    <s v="81.192.11.189"/>
    <x v="29"/>
    <m/>
    <s v="Not Fixed"/>
    <m/>
    <m/>
    <s v="Linux"/>
    <s v="4.1.12-37.4.1.el6uek.x86_64"/>
    <n v="22"/>
    <s v="SSH"/>
    <s v="OpenSSH 5.3"/>
    <n v="1"/>
    <x v="0"/>
    <s v="ssh-3des-ciphers"/>
    <s v="SSH Server Supports 3DES Cipher Suite"/>
    <s v="Since 3DES (Triple Data Encryption Standard) only provides an effective security of 112 bits, it is considered close to end of life by some agencies. ECRYPT II (from 2012) recommends for generic application independent long-term protection of at least 128 bits security. The same recommendation has also been reported by BSI Germany (from 2015) and ANSSI France (from 2014), 128 bit is the recommended symmetric size and should be mandatory after 2020. While NIST (from 2012) still considers 3DES being appropriate to use until the end of 2030."/>
    <s v="Disable SSH support for 3DES cipher suite_x000d__x000a__x000d__x000a__x000d__x000a_Remove all 3DES ciphers from the cipher list specified in sshd_config."/>
    <s v="* Running SSH service_x000d__x000a__x000d__x000a_ * Insecure 3DES ciphers in use: 3des-cbc"/>
    <s v="http://www.ecrypt.eu.org/ecrypt2/documents/D.SPA.20.pdf,https://bettercrypto.org/static/applied-crypto-hardening.pdf"/>
    <s v=""/>
    <s v=""/>
    <m/>
    <m/>
    <m/>
    <m/>
    <m/>
    <n v="10"/>
    <m/>
    <m/>
    <s v="Fixed"/>
    <x v="1"/>
    <s v="22/04"/>
    <m/>
    <x v="6"/>
    <s v="Unix"/>
    <e v="#N/A"/>
    <e v="#N/A"/>
    <m/>
    <s v="Unix"/>
    <s v="22/04/2072"/>
    <e v="#N/A"/>
    <m/>
    <x v="0"/>
    <x v="0"/>
    <x v="0"/>
  </r>
  <r>
    <s v="81.192.11.189/443/tlsv1_1-enabled"/>
    <s v="81.192.11.189"/>
    <x v="29"/>
    <m/>
    <s v="Not Fixed"/>
    <m/>
    <m/>
    <s v="Linux"/>
    <s v="4.1.12-37.4.1.el6uek.x86_64"/>
    <n v="443"/>
    <s v="HTTPS"/>
    <s v="HTTPD 2.2.15"/>
    <n v="3"/>
    <x v="0"/>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m/>
    <m/>
    <m/>
    <m/>
    <m/>
    <n v="10"/>
    <m/>
    <m/>
    <s v="DTP nécessité de l4intervention de l'editeur"/>
    <x v="1"/>
    <m/>
    <m/>
    <x v="6"/>
    <s v="Unix"/>
    <e v="#N/A"/>
    <e v="#N/A"/>
    <m/>
    <s v="Unix"/>
    <s v="22/04/2073"/>
    <e v="#N/A"/>
    <m/>
    <x v="0"/>
    <x v="9"/>
    <x v="0"/>
  </r>
  <r>
    <s v="81.192.11.189/444/tlsv1_1-enabled"/>
    <s v="81.192.11.189"/>
    <x v="29"/>
    <m/>
    <s v="Not Fixed"/>
    <m/>
    <m/>
    <s v="Linux"/>
    <s v="4.1.12-37.4.1.el6uek.x86_64"/>
    <n v="444"/>
    <s v="snpp (Simple Network Paging Protocol)"/>
    <s v=""/>
    <n v="3"/>
    <x v="0"/>
    <s v="tlsv1_1-enabled"/>
    <s v="TLS Server Supports TLS version 1.1"/>
    <s v="The PCI (Payment Card Industry) Data Security Standard requires a minimum of TLS v1.1 and recommends TLS v1.2. In addition, FIPS 140-2 standard requires a minimum of TLS v1.1 and recommends TLS v1.2."/>
    <s v="Disable insecure TLS/SSL protocol support_x000d__x000a__x000d__x000a__x000d__x000a_Configure the server to require clients to use TLS version 1.2 using Authenticated Encryption with Associated Data (AEAD) capable ciphers."/>
    <s v="Successfully connected over TLSv1.1"/>
    <s v="https://www.pcisecuritystandards.org/documents/Migrating_from_SSL_Early_TLS_Information%20Supplement_v1.pdf,http://nvlpubs.nist.gov/nistpubs/SpecialPublications/NIST.SP.800-52r1.pdf"/>
    <s v=""/>
    <s v=""/>
    <m/>
    <m/>
    <m/>
    <m/>
    <m/>
    <n v="10"/>
    <m/>
    <m/>
    <s v="DTP nécessité de l4intervention de l'editeur"/>
    <x v="1"/>
    <m/>
    <m/>
    <x v="6"/>
    <s v="Unix"/>
    <e v="#N/A"/>
    <e v="#N/A"/>
    <m/>
    <s v="Unix"/>
    <s v="22/04/2074"/>
    <e v="#N/A"/>
    <m/>
    <x v="0"/>
    <x v="9"/>
    <x v="0"/>
  </r>
  <r>
    <s v="81.192.11.189/444/ssl-static-key-ciphers"/>
    <s v="81.192.11.189"/>
    <x v="29"/>
    <m/>
    <s v="Not Fixed"/>
    <m/>
    <m/>
    <s v="Linux"/>
    <s v="4.1.12-37.4.1.el6uek.x86_64"/>
    <n v="444"/>
    <s v="snpp (Simple Network Paging Protocol)"/>
    <s v=""/>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_x000d__x000a__x000d__x000a__x000d__x000a_    * TLS 1.1 ciphers: 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CAMELLIA_128_CBC_SHA_x000d__x000a__x000d__x000a_       * TLS_RSA_WITH_CAMELLIA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s v=""/>
    <s v=""/>
    <m/>
    <m/>
    <m/>
    <m/>
    <m/>
    <n v="10"/>
    <m/>
    <m/>
    <s v="DTP nécessité de l4intervention de l'editeur"/>
    <x v="1"/>
    <m/>
    <m/>
    <x v="6"/>
    <s v="Unix"/>
    <e v="#N/A"/>
    <e v="#N/A"/>
    <m/>
    <s v="Unix"/>
    <s v="22/04/2075"/>
    <e v="#N/A"/>
    <m/>
    <x v="0"/>
    <x v="9"/>
    <x v="0"/>
  </r>
  <r>
    <s v="81.192.11.189/443/ssl-static-key-ciphers"/>
    <s v="81.192.11.189"/>
    <x v="29"/>
    <m/>
    <s v="Not Fixed"/>
    <m/>
    <m/>
    <s v="Linux"/>
    <s v="4.1.12-37.4.1.el6uek.x86_64"/>
    <n v="443"/>
    <s v="HTTPS"/>
    <s v="HTTPD 2.2.15"/>
    <n v="3"/>
    <x v="0"/>
    <s v="ssl-static-key-ciphers"/>
    <s v="TLS/SSL Server Supports The Use of Static Key Ciphers"/>
    <s v="The server is configured to support ciphers known as static key ciphers. These ciphers don't support &quot;Forward Secrecy&quot;. In the new specification for HTTP/2, these ciphers have been blacklisted."/>
    <s v="Disable TLS/SSL support for static key cipher suites_x000d__x000a__x000d__x000a__x000d__x000a_Configure the server to disable support for static key cipher suites._x000d__x000a__x000d__x000a_For Microsoft IIS web servers, see Microsoft Knowledgebase article  245030 (http://support.microsoft.com/kb/245030/)  for instructions on disabling static key cipher suites.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_x000d__x000a__x000d__x000a__x000d__x000a_    * TLS 1.1 ciphers: _x000d__x000a_       * TLS_RSA_WITH_3DES_EDE_CBC_SHA_x000d__x000a__x000d__x000a_       * TLS_RSA_WITH_AES_128_CBC_SHA_x000d__x000a__x000d__x000a_       * TLS_RSA_WITH_AES_256_CBC_SHA_x000d__x000a__x000d__x000a_       * TLS_RSA_WITH_CAMELLIA_128_CBC_SHA_x000d__x000a__x000d__x000a_       * TLS_RSA_WITH_CAMELLIA_256_CBC_SHA_x000d__x000a__x000d__x000a__x000d__x000a_    * TLS 1.2 ciphers: _x000d__x000a_       * TLS_RSA_WITH_3DES_EDE_CBC_SHA_x000d__x000a__x000d__x000a_       * TLS_RSA_WITH_AES_128_CBC_SHA_x000d__x000a__x000d__x000a_       * TLS_RSA_WITH_AES_128_CBC_SHA256_x000d__x000a__x000d__x000a_       * TLS_RSA_WITH_AES_128_GCM_SHA256_x000d__x000a__x000d__x000a_       * TLS_RSA_WITH_AES_256_CBC_SHA_x000d__x000a__x000d__x000a_       * TLS_RSA_WITH_AES_256_CBC_SHA256_x000d__x000a__x000d__x000a_       * TLS_RSA_WITH_AES_256_GCM_SHA384_x000d__x000a__x000d__x000a_       * TLS_RSA_WITH_CAMELLIA_128_CBC_SHA_x000d__x000a__x000d__x000a_       * TLS_RSA_WITH_CAMELLIA_256_CBC_SHA"/>
    <s v="http://www.nist.gov/manuscript-publication-search.cfm?pub_id=915295,https://wiki.mozilla.org/Security/Server_Side_TLS,https://www.owasp.org/index.php/Transport_Layer_Protection_Cheat_Sheet#Rule_-_Only_Support_Strong_Cryptographic_Ciphers,http://support.microsoft.com/kb/245030/,https://tools.ietf.org/html/rfc7540/"/>
    <s v=""/>
    <s v=""/>
    <m/>
    <m/>
    <m/>
    <m/>
    <m/>
    <n v="10"/>
    <m/>
    <m/>
    <s v="DTP nécessité de l4intervention de l'editeur"/>
    <x v="1"/>
    <m/>
    <m/>
    <x v="6"/>
    <s v="Unix"/>
    <e v="#N/A"/>
    <e v="#N/A"/>
    <m/>
    <s v="Unix"/>
    <s v="22/04/2076"/>
    <e v="#N/A"/>
    <m/>
    <x v="0"/>
    <x v="9"/>
    <x v="0"/>
  </r>
  <r>
    <s v="81.192.11.189/443/http-trace-method-enabled"/>
    <s v="81.192.11.189"/>
    <x v="29"/>
    <m/>
    <s v="Not Fixed"/>
    <m/>
    <m/>
    <s v="Linux"/>
    <s v="4.1.12-37.4.1.el6uek.x86_64"/>
    <n v="443"/>
    <s v="HTTPS"/>
    <s v="HTTPD 2.2.15"/>
    <n v="6"/>
    <x v="1"/>
    <s v="http-trace-method-enabled"/>
    <s v="HTTP TRACE Method Enabled"/>
    <s v="The HTTP TRACE method is normally used to return the full HTTP request back to the requesting client for proxy-debugging purposes. An attacker can create a webpage using XMLHTTP, ActiveX, or XMLDOM to cause a client to issue a TRACE request and capture the client's cookies. This effectively results in a Cross-Site Scripting attack."/>
    <s v="* Apache HTTPD, Apache Tomcat_x000d__x000a_      Disable HTTP TRACE Method for Apache_x000d__x000a__x000d__x000a_      _x000d__x000a_      Newer versions of Apache (1.3.34 and 2.0.55 and later) provide a configuration directive called TraceEnable. To deny TRACE requests, add the following line to the server configuration:_x000d__x000a__x000d__x000a_      TraceEnable off_x000d__x000a__x000d__x000a_      For older versions of the Apache webserver, use the mod_rewrite module to deny the TRACE requests:_x000d__x000a__x000d__x000a_      RewriteEngine On RewriteCond %{REQUEST_METHOD} ^TRACE RewriteRule .* - [F]_x000d__x000a__x000d__x000a_       In Apache Tomcat, the HTTP Trace can be disabled by adding security constraints into the Java Servlet specification within the web.xml configuration file and by setting the attribute allowTrace=&quot;False&quot; to the HTTP connector in server.xml. For Spring Boot embedded Tomcat configuration, please refer  here (https://docs.spring.io/spring-boot/docs/2.0.0.RC1/reference/htmlsingle/#howto-configure-tomcat) _x000d__x000a__x000d__x000a__x000d__x000a__x000d__x000a_ * IIS, PWS, Microsoft-IIS, Internet Information Services, Internet Information Services, Microsoft-PWS_x000d__x000a_      Disable HTTP TRACE Method for Microsoft IIS_x000d__x000a__x000d__x000a_      _x000d__x000a_      For Microsoft Internet Information Services (IIS), you may use the URLScan tool, freely available at  http://www.microsoft.com/technet/security/tools/urlscan.mspx _x000d__x000a__x000d__x000a__x000d__x000a__x000d__x000a_ * Java System Web Server, SunONE WebServer, Sun-ONE-Web-Server, iPlanet_x000d__x000a_      Disable HTTP TRACE Method for SunONE/iPlanet_x000d__x000a__x000d__x000a_      _x000d__x000a_    * _x000d__x000a_            For Sun ONE/iPlanet Web Server v6.0 SP2 and later, add the following configuration to the top of the default object in the 'obj.conf' file:_x000d__x000a__x000d__x000a_            &lt;Client method=&quot;TRACE&quot;&gt; AuthTrans fn=&quot;set-variable&quot; remove-headers=&quot;transfer-encoding&quot; set-headers=&quot;content-length: -1&quot; error=&quot;501&quot; &lt;/Client&gt;_x000d__x000a__x000d__x000a_            You must then restart the server for the changes to take effect._x000d__x000a__x000d__x000a__x000d__x000a_    * _x000d__x000a_            For Sun ONE/iPlanet Web Server prior to v6.0 SP2, follow the instructions provided the 'Relief/Workaround' section of Sun's official advisory:  http://sunsolve.sun.com/pub-cgi/retrieve.pl?doc=fsalert%2F50603 _x000d__x000a__x000d__x000a__x000d__x000a__x000d__x000a__x000d__x000a_ * Lotus Domino_x000d__x000a_      Disable HTTP TRACE Method for Domino_x000d__x000a__x000d__x000a_      _x000d__x000a_      Follow  IBM's instructions (http://www-1.ibm.com/support/docview.wss?&amp;uid=swg21201202)  for disabling HTTP methods on the Domino server by adding the following line to the server's NOTES.INI file:_x000d__x000a__x000d__x000a_      HTTPDisableMethods=TRACE_x000d__x000a__x000d__x000a_      After saving NOTES.INI, restart the Notes web server by issuing the console command &quot;tell http restart&quot;."/>
    <s v="* Running HTTPS service_x000d__x000a__x000d__x000a__x000d__x000a__x000d__x000a__x000d__x000a_HTTP TRACE request to  https://81.192.11.189/ _x000d__x000a__x000d__x000a_1: TRACE / HTTP/1.1 2: Host: 81.192.11.189 3: Cookie: vulnerable=yes"/>
    <s v="http://www.apacheweek.com/issues/03-01-24#news,http://www.kb.cert.org/vuls/id/867593"/>
    <s v="CVE-2010-0386,CVE-2009-2823,CVE-2008-7253,CVE-2007-3008,CVE-2006-4683,CVE-2005-3398,CVE-2004-2763,CVE-2004-2320"/>
    <s v="http://nvd.nist.gov/vuln/detail/CVE-2010-0386,http://nvd.nist.gov/vuln/detail/CVE-2009-2823,http://nvd.nist.gov/vuln/detail/CVE-2008-7253,http://nvd.nist.gov/vuln/detail/CVE-2007-3008,http://nvd.nist.gov/vuln/detail/CVE-2006-4683,http://nvd.nist.gov/vuln/detail/CVE-2005-3398,http://nvd.nist.gov/vuln/detail/CVE-2004-2763,http://nvd.nist.gov/vuln/detail/CVE-2004-2320"/>
    <m/>
    <m/>
    <m/>
    <m/>
    <m/>
    <n v="10"/>
    <m/>
    <m/>
    <s v="DTP nécessité de l4intervention de l'editeur"/>
    <x v="1"/>
    <m/>
    <m/>
    <x v="6"/>
    <s v="Unix"/>
    <e v="#N/A"/>
    <e v="#N/A"/>
    <m/>
    <s v="Unix"/>
    <s v="22/04/2077"/>
    <e v="#N/A"/>
    <m/>
    <x v="0"/>
    <x v="9"/>
    <x v="0"/>
  </r>
  <r>
    <s v="81.192.11.189/443/apache-httpd-cve-2011-3639"/>
    <s v="81.192.11.189"/>
    <x v="29"/>
    <m/>
    <s v="Not Fixed"/>
    <m/>
    <m/>
    <s v="Linux"/>
    <s v="4.1.12-37.4.1.el6uek.x86_64"/>
    <n v="443"/>
    <s v="HTTPS"/>
    <s v="HTTPD 2.2.15"/>
    <n v="4"/>
    <x v="1"/>
    <s v="apache-httpd-cve-2011-3639"/>
    <s v="Apache HTTPD: Potential pattern expansion problem when mod-proxy and mod-rewrite are used together (CVE-2011-3639)"/>
    <s v="The affected asset is vulnerable to this vulnerability ONLY if proxyPassMatch pattern matches for configuration of a reverse proxy, which allows remote attackers to send requests to intranet servers by using the HTTP/0.9 protocol with a malformed URI containing an initial @ (at sign) character. Review your web server configuration for validation."/>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8_x000d__x000a_      Upgrade to Apache HTTPD version 2.2.18_x000d__x000a__x000d__x000a_      Download and apply the upgrade from:  http://archive.apache.org/dist/httpd/httpd-2.2.1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
    <s v="CVE-2011-3639"/>
    <s v="http://nvd.nist.gov/vuln/detail/CVE-2011-3639"/>
    <m/>
    <m/>
    <m/>
    <m/>
    <m/>
    <n v="10"/>
    <m/>
    <m/>
    <s v="DTP nécessité de l4intervention de l'editeur"/>
    <x v="1"/>
    <m/>
    <m/>
    <x v="6"/>
    <s v="Unix"/>
    <e v="#N/A"/>
    <e v="#N/A"/>
    <m/>
    <s v="Unix"/>
    <s v="22/04/2078"/>
    <e v="#N/A"/>
    <m/>
    <x v="0"/>
    <x v="9"/>
    <x v="0"/>
  </r>
  <r>
    <s v="81.192.11.189/80/apache-httpd-cve-2011-3639"/>
    <s v="81.192.11.189"/>
    <x v="29"/>
    <m/>
    <s v="Not Fixed"/>
    <m/>
    <m/>
    <s v="Linux"/>
    <s v="4.1.12-37.4.1.el6uek.x86_64"/>
    <n v="80"/>
    <s v="HTTP"/>
    <s v="HTTPD 2.2.15"/>
    <n v="4"/>
    <x v="1"/>
    <s v="apache-httpd-cve-2011-3639"/>
    <s v="Apache HTTPD: Potential pattern expansion problem when mod-proxy and mod-rewrite are used together (CVE-2011-3639)"/>
    <s v="The affected asset is vulnerable to this vulnerability ONLY if proxyPassMatch pattern matches for configuration of a reverse proxy, which allows remote attackers to send requests to intranet servers by using the HTTP/0.9 protocol with a malformed URI containing an initial @ (at sign) character. Review your web server configuration for validation."/>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8_x000d__x000a_      Upgrade to Apache HTTPD version 2.2.18_x000d__x000a__x000d__x000a_      Download and apply the upgrade from:  http://archive.apache.org/dist/httpd/httpd-2.2.18.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
    <s v="CVE-2011-3639"/>
    <s v="http://nvd.nist.gov/vuln/detail/CVE-2011-3639"/>
    <m/>
    <m/>
    <m/>
    <m/>
    <m/>
    <n v="10"/>
    <m/>
    <m/>
    <s v="DTP nécessité de l4intervention de l'editeur"/>
    <x v="1"/>
    <m/>
    <m/>
    <x v="6"/>
    <s v="Unix"/>
    <e v="#N/A"/>
    <e v="#N/A"/>
    <m/>
    <s v="Unix"/>
    <s v="22/04/2079"/>
    <e v="#N/A"/>
    <m/>
    <x v="0"/>
    <x v="9"/>
    <x v="0"/>
  </r>
  <r>
    <s v="81.192.11.189/80/apache-httpd-cve-2011-3607"/>
    <s v="81.192.11.189"/>
    <x v="29"/>
    <m/>
    <s v="Not Fixed"/>
    <m/>
    <m/>
    <s v="Linux"/>
    <s v="4.1.12-37.4.1.el6uek.x86_64"/>
    <n v="80"/>
    <s v="HTTP"/>
    <s v="HTTPD 2.2.15"/>
    <n v="4"/>
    <x v="1"/>
    <s v="apache-httpd-cve-2011-3607"/>
    <s v="Apache HTTPD: mod_setenvif .htaccess privilege escalation (CVE-2011-3607)"/>
    <s v="The affected asset is vulnerable to this vulnerability ONLY if it is running one of the following modules: mod_setenvif. Review your web server configuration for validation. An integer overflow flaw was found which, when the mod_setenvif module is enabled, could allow local users to gain privileges via a .htaccess file."/>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0.html,http://httpd.apache.org/security/vulnerabilities_22.html"/>
    <s v="CVE-2011-3607"/>
    <s v="http://nvd.nist.gov/vuln/detail/CVE-2011-3607"/>
    <m/>
    <m/>
    <m/>
    <m/>
    <m/>
    <n v="10"/>
    <m/>
    <m/>
    <s v="DTP nécessité de l4intervention de l'editeur"/>
    <x v="1"/>
    <m/>
    <m/>
    <x v="6"/>
    <s v="Unix"/>
    <e v="#N/A"/>
    <e v="#N/A"/>
    <m/>
    <s v="Unix"/>
    <s v="22/04/2080"/>
    <e v="#N/A"/>
    <m/>
    <x v="0"/>
    <x v="9"/>
    <x v="0"/>
  </r>
  <r>
    <s v="81.192.11.189/443/apache-httpd-cve-2011-3607"/>
    <s v="81.192.11.189"/>
    <x v="29"/>
    <m/>
    <s v="Not Fixed"/>
    <m/>
    <m/>
    <s v="Linux"/>
    <s v="4.1.12-37.4.1.el6uek.x86_64"/>
    <n v="443"/>
    <s v="HTTPS"/>
    <s v="HTTPD 2.2.15"/>
    <n v="4"/>
    <x v="1"/>
    <s v="apache-httpd-cve-2011-3607"/>
    <s v="Apache HTTPD: mod_setenvif .htaccess privilege escalation (CVE-2011-3607)"/>
    <s v="The affected asset is vulnerable to this vulnerability ONLY if it is running one of the following modules: mod_setenvif. Review your web server configuration for validation. An integer overflow flaw was found which, when the mod_setenvif module is enabled, could allow local users to gain privileges via a .htaccess file."/>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0.html,http://httpd.apache.org/security/vulnerabilities_22.html"/>
    <s v="CVE-2011-3607"/>
    <s v="http://nvd.nist.gov/vuln/detail/CVE-2011-3607"/>
    <m/>
    <m/>
    <m/>
    <m/>
    <m/>
    <n v="10"/>
    <m/>
    <m/>
    <s v="DTP nécessité de l4intervention de l'editeur"/>
    <x v="1"/>
    <m/>
    <m/>
    <x v="6"/>
    <s v="Unix"/>
    <e v="#N/A"/>
    <e v="#N/A"/>
    <m/>
    <s v="Unix"/>
    <s v="22/04/2081"/>
    <e v="#N/A"/>
    <m/>
    <x v="0"/>
    <x v="9"/>
    <x v="0"/>
  </r>
  <r>
    <s v="81.192.11.189/443/apache-httpd-cve-2011-4317"/>
    <s v="81.192.11.189"/>
    <x v="29"/>
    <m/>
    <s v="Not Fixed"/>
    <m/>
    <m/>
    <s v="Linux"/>
    <s v="4.1.12-37.4.1.el6uek.x86_64"/>
    <n v="443"/>
    <s v="HTTPS"/>
    <s v="HTTPD 2.2.15"/>
    <n v="4"/>
    <x v="1"/>
    <s v="apache-httpd-cve-2011-4317"/>
    <s v="Apache HTTPD: mod_proxy reverse proxy exposure  (CVE-2011-4317)"/>
    <s v="The affected asset is vulnerable to this vulnerability ONLY if it is running one of the following modules: mod_proxy. Review your web server configuration for validation. An additional exposure was found when using mod_proxy in reverse proxy mode. In certain configurations using RewriteRule with proxy flag or ProxyPassMatch, a remote attacker could cause the reverse proxy to connect to an arbitrary server, possibly disclosing sensitive information from internal web servers not directly accessible to attacker."/>
    <s v="Apache HTTPD &gt;= 2.2 and &lt; 2.2.22_x000d__x000a__x000d__x000a_Upgrade to Apache HTTPD version 2.2.22_x000d__x000a__x000d__x000a_Download and apply the upgrade from:  http://archive.apache.org/dist/httpd/httpd-2.2.22.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
    <s v="CVE-2011-4317"/>
    <s v="http://nvd.nist.gov/vuln/detail/CVE-2011-4317"/>
    <m/>
    <m/>
    <m/>
    <m/>
    <m/>
    <n v="10"/>
    <m/>
    <m/>
    <s v="DTP nécessité de l4intervention de l'editeur"/>
    <x v="1"/>
    <m/>
    <m/>
    <x v="6"/>
    <s v="Unix"/>
    <e v="#N/A"/>
    <e v="#N/A"/>
    <m/>
    <s v="Unix"/>
    <s v="22/04/2082"/>
    <e v="#N/A"/>
    <m/>
    <x v="0"/>
    <x v="9"/>
    <x v="0"/>
  </r>
  <r>
    <s v="81.192.11.189/80/apache-httpd-cve-2011-4317"/>
    <s v="81.192.11.189"/>
    <x v="29"/>
    <m/>
    <s v="Not Fixed"/>
    <m/>
    <m/>
    <s v="Linux"/>
    <s v="4.1.12-37.4.1.el6uek.x86_64"/>
    <n v="80"/>
    <s v="HTTP"/>
    <s v="HTTPD 2.2.15"/>
    <n v="4"/>
    <x v="1"/>
    <s v="apache-httpd-cve-2011-4317"/>
    <s v="Apache HTTPD: mod_proxy reverse proxy exposure  (CVE-2011-4317)"/>
    <s v="The affected asset is vulnerable to this vulnerability ONLY if it is running one of the following modules: mod_proxy. Review your web server configuration for validation. An additional exposure was found when using mod_proxy in reverse proxy mode. In certain configurations using RewriteRule with proxy flag or ProxyPassMatch, a remote attacker could cause the reverse proxy to connect to an arbitrary server, possibly disclosing sensitive information from internal web servers not directly accessible to attacker."/>
    <s v="Apache HTTPD &gt;= 2.2 and &lt; 2.2.22_x000d__x000a__x000d__x000a_Upgrade to Apache HTTPD version 2.2.22_x000d__x000a__x000d__x000a_Download and apply the upgrade from:  http://archive.apache.org/dist/httpd/httpd-2.2.22.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
    <s v="CVE-2011-4317"/>
    <s v="http://nvd.nist.gov/vuln/detail/CVE-2011-4317"/>
    <m/>
    <m/>
    <m/>
    <m/>
    <m/>
    <n v="10"/>
    <m/>
    <m/>
    <s v="DTP nécessité de l4intervention de l'editeur"/>
    <x v="1"/>
    <m/>
    <m/>
    <x v="6"/>
    <s v="Unix"/>
    <e v="#N/A"/>
    <e v="#N/A"/>
    <m/>
    <s v="Unix"/>
    <s v="22/04/2083"/>
    <e v="#N/A"/>
    <m/>
    <x v="0"/>
    <x v="9"/>
    <x v="0"/>
  </r>
  <r>
    <s v="81.192.11.189/443/apache-httpd-cve-2012-2687"/>
    <s v="81.192.11.189"/>
    <x v="29"/>
    <m/>
    <s v="Not Fixed"/>
    <m/>
    <m/>
    <s v="Linux"/>
    <s v="4.1.12-37.4.1.el6uek.x86_64"/>
    <n v="443"/>
    <s v="HTTPS"/>
    <s v="HTTPD 2.2.15"/>
    <n v="3"/>
    <x v="0"/>
    <s v="apache-httpd-cve-2012-2687"/>
    <s v="Apache HTTPD: XSS in mod_negotiation when untrusted uploads are supported (CVE-2012-2687)"/>
    <s v="The affected asset is vulnerable to this vulnerability ONLY if it is running one of the following modules: mod_negotiation. Review your web server configuration for validation. Possible XSS for sites which use mod_negotiation and allow untrusted uploads to locations which have MultiViews enabled. Note: This issue is also known as CVE-2008-0455."/>
    <s v="* Apache HTTPD &gt;= 2.2 and &lt; 2.2.23_x000d__x000a_      Upgrade to Apache HTTPD version 2.2.23_x000d__x000a__x000d__x000a_      Download and apply the upgrade from:  http://archive.apache.org/dist/httpd/httpd-2.2.2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3_x000d__x000a_      Upgrade to Apache HTTPD version 2.4.3_x000d__x000a__x000d__x000a_      Download and apply the upgrade from:  http://archive.apache.org/dist/httpd/httpd-2.4.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2-2687"/>
    <s v="http://nvd.nist.gov/vuln/detail/CVE-2012-2687"/>
    <m/>
    <m/>
    <m/>
    <m/>
    <m/>
    <n v="10"/>
    <m/>
    <m/>
    <s v="DTP nécessité de l4intervention de l'editeur"/>
    <x v="1"/>
    <m/>
    <m/>
    <x v="6"/>
    <s v="Unix"/>
    <e v="#N/A"/>
    <e v="#N/A"/>
    <m/>
    <s v="Unix"/>
    <s v="22/04/2084"/>
    <e v="#N/A"/>
    <m/>
    <x v="0"/>
    <x v="9"/>
    <x v="0"/>
  </r>
  <r>
    <s v="81.192.11.189/80/apache-httpd-cve-2012-2687"/>
    <s v="81.192.11.189"/>
    <x v="29"/>
    <m/>
    <s v="Not Fixed"/>
    <m/>
    <m/>
    <s v="Linux"/>
    <s v="4.1.12-37.4.1.el6uek.x86_64"/>
    <n v="80"/>
    <s v="HTTP"/>
    <s v="HTTPD 2.2.15"/>
    <n v="3"/>
    <x v="0"/>
    <s v="apache-httpd-cve-2012-2687"/>
    <s v="Apache HTTPD: XSS in mod_negotiation when untrusted uploads are supported (CVE-2012-2687)"/>
    <s v="The affected asset is vulnerable to this vulnerability ONLY if it is running one of the following modules: mod_negotiation. Review your web server configuration for validation. Possible XSS for sites which use mod_negotiation and allow untrusted uploads to locations which have MultiViews enabled. Note: This issue is also known as CVE-2008-0455."/>
    <s v="* Apache HTTPD &gt;= 2.2 and &lt; 2.2.23_x000d__x000a_      Upgrade to Apache HTTPD version 2.2.23_x000d__x000a__x000d__x000a_      Download and apply the upgrade from:  http://archive.apache.org/dist/httpd/httpd-2.2.2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3_x000d__x000a_      Upgrade to Apache HTTPD version 2.4.3_x000d__x000a__x000d__x000a_      Download and apply the upgrade from:  http://archive.apache.org/dist/httpd/httpd-2.4.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2-2687"/>
    <s v="http://nvd.nist.gov/vuln/detail/CVE-2012-2687"/>
    <m/>
    <m/>
    <m/>
    <m/>
    <m/>
    <n v="10"/>
    <m/>
    <m/>
    <s v="DTP nécessité de l4intervention de l'editeur"/>
    <x v="1"/>
    <m/>
    <m/>
    <x v="6"/>
    <s v="Unix"/>
    <e v="#N/A"/>
    <e v="#N/A"/>
    <m/>
    <s v="Unix"/>
    <s v="22/04/2085"/>
    <e v="#N/A"/>
    <m/>
    <x v="0"/>
    <x v="9"/>
    <x v="0"/>
  </r>
  <r>
    <s v="81.192.11.189/80/apache-httpd-cve-2009-3560"/>
    <s v="81.192.11.189"/>
    <x v="29"/>
    <m/>
    <s v="Not Fixed"/>
    <m/>
    <m/>
    <s v="Linux"/>
    <s v="4.1.12-37.4.1.el6uek.x86_64"/>
    <n v="80"/>
    <s v="HTTP"/>
    <s v="HTTPD 2.2.15"/>
    <n v="5"/>
    <x v="1"/>
    <s v="apache-httpd-cve-2009-3560"/>
    <s v="Apache HTTPD: expat DoS (CVE-2009-3560)"/>
    <s v="The affected asset is vulnerable to this vulnerability ONLY if an attacker is able to get Apache to parse an untrusted XML document. Review your web server configuration for validation. A buffer over-read flaw was found in the bundled expat library. An attacker who is able to get Apache to parse an untrused XML document (for example through mod_dav) may be able to cause a crash. This crash would only be a denial of service if using the worker MPM."/>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7_x000d__x000a_      Upgrade to Apache HTTPD version 2.2.17_x000d__x000a__x000d__x000a_      Download and apply the upgrade from:  http://archive.apache.org/dist/httpd/httpd-2.2.1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0.html,http://httpd.apache.org/security/vulnerabilities_22.html"/>
    <s v="CVE-2009-3560"/>
    <s v="http://nvd.nist.gov/vuln/detail/CVE-2009-3560"/>
    <m/>
    <m/>
    <m/>
    <m/>
    <m/>
    <n v="10"/>
    <m/>
    <m/>
    <s v="DTP nécessité de l4intervention de l'editeur"/>
    <x v="1"/>
    <m/>
    <m/>
    <x v="6"/>
    <s v="Unix"/>
    <e v="#N/A"/>
    <e v="#N/A"/>
    <m/>
    <s v="Unix"/>
    <s v="22/04/2086"/>
    <e v="#N/A"/>
    <m/>
    <x v="0"/>
    <x v="9"/>
    <x v="0"/>
  </r>
  <r>
    <s v="81.192.11.189/443/apache-httpd-cve-2009-3560"/>
    <s v="81.192.11.189"/>
    <x v="29"/>
    <m/>
    <s v="Not Fixed"/>
    <m/>
    <m/>
    <s v="Linux"/>
    <s v="4.1.12-37.4.1.el6uek.x86_64"/>
    <n v="443"/>
    <s v="HTTPS"/>
    <s v="HTTPD 2.2.15"/>
    <n v="5"/>
    <x v="1"/>
    <s v="apache-httpd-cve-2009-3560"/>
    <s v="Apache HTTPD: expat DoS (CVE-2009-3560)"/>
    <s v="The affected asset is vulnerable to this vulnerability ONLY if an attacker is able to get Apache to parse an untrusted XML document. Review your web server configuration for validation. A buffer over-read flaw was found in the bundled expat library. An attacker who is able to get Apache to parse an untrused XML document (for example through mod_dav) may be able to cause a crash. This crash would only be a denial of service if using the worker MPM."/>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7_x000d__x000a_      Upgrade to Apache HTTPD version 2.2.17_x000d__x000a__x000d__x000a_      Download and apply the upgrade from:  http://archive.apache.org/dist/httpd/httpd-2.2.17.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0.html,http://httpd.apache.org/security/vulnerabilities_22.html"/>
    <s v="CVE-2009-3560"/>
    <s v="http://nvd.nist.gov/vuln/detail/CVE-2009-3560"/>
    <m/>
    <m/>
    <m/>
    <m/>
    <m/>
    <n v="10"/>
    <m/>
    <m/>
    <s v="DTP nécessité de l4intervention de l'editeur"/>
    <x v="1"/>
    <m/>
    <m/>
    <x v="6"/>
    <s v="Unix"/>
    <e v="#N/A"/>
    <e v="#N/A"/>
    <m/>
    <s v="Unix"/>
    <s v="22/04/2087"/>
    <e v="#N/A"/>
    <m/>
    <x v="0"/>
    <x v="9"/>
    <x v="0"/>
  </r>
  <r>
    <s v="81.192.11.189/80/apache-httpd-cve-2013-1862"/>
    <s v="81.192.11.189"/>
    <x v="29"/>
    <m/>
    <s v="Not Fixed"/>
    <m/>
    <m/>
    <s v="Linux"/>
    <s v="4.1.12-37.4.1.el6uek.x86_64"/>
    <n v="80"/>
    <s v="HTTP"/>
    <s v="HTTPD 2.2.15"/>
    <n v="5"/>
    <x v="1"/>
    <s v="apache-httpd-cve-2013-1862"/>
    <s v="Apache HTTPD: mod_rewrite log escape filtering (CVE-2013-1862)"/>
    <s v="The affected asset is vulnerable to this vulnerability ONLY if it is running one of the following modules: mod_rewrite. Review your web server configuration for validation. mod_rewrite does not filter terminal escape sequences from logs, which could make it easier for attackers to insert those sequences into terminal emulators containing vulnerabilities related to escape sequences."/>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5_x000d__x000a_      Upgrade to Apache HTTPD version 2.2.25_x000d__x000a__x000d__x000a_      Download and apply the upgrade from:  http://archive.apache.org/dist/httpd/httpd-2.2.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0.html,http://httpd.apache.org/security/vulnerabilities_22.html"/>
    <s v="CVE-2013-1862"/>
    <s v="http://nvd.nist.gov/vuln/detail/CVE-2013-1862"/>
    <m/>
    <m/>
    <m/>
    <m/>
    <m/>
    <n v="10"/>
    <m/>
    <m/>
    <s v="DTP nécessité de l4intervention de l'editeur"/>
    <x v="1"/>
    <m/>
    <m/>
    <x v="6"/>
    <s v="Unix"/>
    <e v="#N/A"/>
    <e v="#N/A"/>
    <m/>
    <s v="Unix"/>
    <s v="22/04/2088"/>
    <e v="#N/A"/>
    <m/>
    <x v="0"/>
    <x v="9"/>
    <x v="0"/>
  </r>
  <r>
    <s v="81.192.11.189/443/apache-httpd-cve-2013-1862"/>
    <s v="81.192.11.189"/>
    <x v="29"/>
    <m/>
    <s v="Not Fixed"/>
    <m/>
    <m/>
    <s v="Linux"/>
    <s v="4.1.12-37.4.1.el6uek.x86_64"/>
    <n v="443"/>
    <s v="HTTPS"/>
    <s v="HTTPD 2.2.15"/>
    <n v="5"/>
    <x v="1"/>
    <s v="apache-httpd-cve-2013-1862"/>
    <s v="Apache HTTPD: mod_rewrite log escape filtering (CVE-2013-1862)"/>
    <s v="The affected asset is vulnerable to this vulnerability ONLY if it is running one of the following modules: mod_rewrite. Review your web server configuration for validation. mod_rewrite does not filter terminal escape sequences from logs, which could make it easier for attackers to insert those sequences into terminal emulators containing vulnerabilities related to escape sequences."/>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5_x000d__x000a_      Upgrade to Apache HTTPD version 2.2.25_x000d__x000a__x000d__x000a_      Download and apply the upgrade from:  http://archive.apache.org/dist/httpd/httpd-2.2.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0.html,http://httpd.apache.org/security/vulnerabilities_22.html"/>
    <s v="CVE-2013-1862"/>
    <s v="http://nvd.nist.gov/vuln/detail/CVE-2013-1862"/>
    <m/>
    <m/>
    <m/>
    <m/>
    <m/>
    <n v="10"/>
    <m/>
    <m/>
    <s v="DTP nécessité de l4intervention de l'editeur"/>
    <x v="1"/>
    <m/>
    <m/>
    <x v="6"/>
    <s v="Unix"/>
    <e v="#N/A"/>
    <e v="#N/A"/>
    <m/>
    <s v="Unix"/>
    <s v="22/04/2089"/>
    <e v="#N/A"/>
    <m/>
    <x v="0"/>
    <x v="9"/>
    <x v="0"/>
  </r>
  <r>
    <s v="81.192.11.189/443/apache-httpd-cve-2014-0231"/>
    <s v="81.192.11.189"/>
    <x v="29"/>
    <m/>
    <s v="Not Fixed"/>
    <m/>
    <m/>
    <s v="Linux"/>
    <s v="4.1.12-37.4.1.el6uek.x86_64"/>
    <n v="443"/>
    <s v="HTTPS"/>
    <s v="HTTPD 2.2.15"/>
    <n v="5"/>
    <x v="1"/>
    <s v="apache-httpd-cve-2014-0231"/>
    <s v="Apache HTTPD: mod_cgid denial of service (CVE-2014-0231)"/>
    <s v="The affected asset is vulnerable to this vulnerability ONLY if it is running one of the following modules: mod_cgid. Review your web server configuration for validation. A flaw was found in mod_cgid. If a server using mod_cgid hosted CGI scripts which did not consume standard input, a remote attacker could cause child processes to hang indefinitely, leading to denial of service."/>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0_x000d__x000a_      Upgrade to Apache HTTPD version 2.4.10_x000d__x000a__x000d__x000a_      Download and apply the upgrade from:  http://archive.apache.org/dist/httpd/httpd-2.4.1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4-0231"/>
    <s v="http://nvd.nist.gov/vuln/detail/CVE-2014-0231"/>
    <m/>
    <m/>
    <m/>
    <m/>
    <m/>
    <n v="10"/>
    <m/>
    <m/>
    <s v="DTP nécessité de l4intervention de l'editeur"/>
    <x v="1"/>
    <m/>
    <m/>
    <x v="6"/>
    <s v="Unix"/>
    <e v="#N/A"/>
    <e v="#N/A"/>
    <m/>
    <s v="Unix"/>
    <s v="22/04/2090"/>
    <e v="#N/A"/>
    <m/>
    <x v="0"/>
    <x v="9"/>
    <x v="0"/>
  </r>
  <r>
    <s v="81.192.11.189/80/apache-httpd-cve-2014-0231"/>
    <s v="81.192.11.189"/>
    <x v="29"/>
    <m/>
    <s v="Not Fixed"/>
    <m/>
    <m/>
    <s v="Linux"/>
    <s v="4.1.12-37.4.1.el6uek.x86_64"/>
    <n v="80"/>
    <s v="HTTP"/>
    <s v="HTTPD 2.2.15"/>
    <n v="5"/>
    <x v="1"/>
    <s v="apache-httpd-cve-2014-0231"/>
    <s v="Apache HTTPD: mod_cgid denial of service (CVE-2014-0231)"/>
    <s v="The affected asset is vulnerable to this vulnerability ONLY if it is running one of the following modules: mod_cgid. Review your web server configuration for validation. A flaw was found in mod_cgid. If a server using mod_cgid hosted CGI scripts which did not consume standard input, a remote attacker could cause child processes to hang indefinitely, leading to denial of service."/>
    <s v="* Apache HTTPD &gt;= 2.2 and &lt; 2.2.29_x000d__x000a_      Upgrade to Apache HTTPD version 2.2.29_x000d__x000a__x000d__x000a_      Download and apply the upgrade from:  http://archive.apache.org/dist/httpd/httpd-2.2.2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10_x000d__x000a_      Upgrade to Apache HTTPD version 2.4.10_x000d__x000a__x000d__x000a_      Download and apply the upgrade from:  http://archive.apache.org/dist/httpd/httpd-2.4.10.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4-0231"/>
    <s v="http://nvd.nist.gov/vuln/detail/CVE-2014-0231"/>
    <m/>
    <m/>
    <m/>
    <m/>
    <m/>
    <n v="10"/>
    <m/>
    <m/>
    <s v="DTP nécessité de l4intervention de l'editeur"/>
    <x v="1"/>
    <m/>
    <m/>
    <x v="6"/>
    <s v="Unix"/>
    <e v="#N/A"/>
    <e v="#N/A"/>
    <m/>
    <s v="Unix"/>
    <s v="22/04/2091"/>
    <e v="#N/A"/>
    <m/>
    <x v="0"/>
    <x v="9"/>
    <x v="0"/>
  </r>
  <r>
    <s v="81.192.11.189/443/tls-untrusted-ca"/>
    <s v="81.192.11.189"/>
    <x v="29"/>
    <m/>
    <s v="Not Fixed"/>
    <m/>
    <m/>
    <s v="Linux"/>
    <s v="4.1.12-37.4.1.el6uek.x86_64"/>
    <n v="443"/>
    <s v="HTTPS"/>
    <s v="HTTPD 2.2.15"/>
    <n v="6"/>
    <x v="1"/>
    <s v="tls-untrusted-ca"/>
    <s v="Untrusted TLS/SSL server X.509 certificate"/>
    <s v="The server's TLS/SSL certificate is signed by a Certification Authority (CA) that is not well-known or trusted. This could happen if: the chain/intermediate certificate is missing, expired or has been revoked; the server hostname does not match that configured in the certificate; the time/date is incorrect; or a self-signed certificate is being used. The use of a self-signed certificate is not recommended since it could indicate that a TLS/SSL man-in-the-middle attack is taking place"/>
    <s v="Obtain a new certificate from your CA and ensure the server configuration is correct_x000d__x000a__x000d__x000a__x000d__x000a_ Ensure the common name (CN) reflects the name of the entity presenting the certificate (e.g., the hostname). If the certificate(s) or any of the chain certificate(s) have expired or been revoked, obtain a new certificate from your Certificate Authority (CA) by following their documentation. If a self-signed certificate is being used, consider obtaining a signed certificate from a CA. _x000d__x000a__x000d__x000a_ References:  Mozilla: Connection Untrusted Error (https://support.mozilla.org/en-US/kb/connection-untrusted-error-message)  SSLShopper: SSL Certificate Not Trusted Error (https://www.sslshopper.com/ssl-certificate-not-trusted-error.html)  Windows/IIS certificate chain config (https://support.microsoft.com/en-us/kb/954755)  Apache SSL config (http://httpd.apache.org/docs/2.2/mod/mod_ssl.html)  Nginx SSL config (http://nginx.org/en/docs/http/configuring_https_servers.html)  CertificateChain.io (https://certificatechain.io/)"/>
    <s v="TLS/SSL certificate signed by unknown, untrusted CA: CN=Sectigo RSA Organization Validation Secure Server CA, O=Sectigo Limited, L=Salford, ST=Greater Manchester, C=GB -- [subject/issuer name chaining check failed, Path does not chain with any of the trust anchors]."/>
    <s v="http://httpd.apache.org/docs/2.2/mod/mod_ssl.html,http://nginx.org/en/docs/http/configuring_https_servers.html,https://support.microsoft.com/en-us/kb/954755"/>
    <s v=""/>
    <s v=""/>
    <m/>
    <m/>
    <m/>
    <m/>
    <m/>
    <n v="10"/>
    <m/>
    <m/>
    <s v="DTP nécessité de l4intervention de l'editeur"/>
    <x v="1"/>
    <m/>
    <m/>
    <x v="6"/>
    <s v="Unix"/>
    <e v="#N/A"/>
    <e v="#N/A"/>
    <m/>
    <s v="Unix"/>
    <s v="22/04/2092"/>
    <e v="#N/A"/>
    <m/>
    <x v="0"/>
    <x v="9"/>
    <x v="0"/>
  </r>
  <r>
    <s v="81.192.11.189/443/http-options-method-enabled"/>
    <s v="81.192.11.189"/>
    <x v="29"/>
    <m/>
    <s v="Not Fixed"/>
    <m/>
    <m/>
    <s v="Linux"/>
    <s v="4.1.12-37.4.1.el6uek.x86_64"/>
    <n v="443"/>
    <s v="HTTPS"/>
    <s v="HTTPD 2.2.15"/>
    <n v="3"/>
    <x v="0"/>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s v=""/>
    <s v=""/>
    <m/>
    <m/>
    <m/>
    <m/>
    <m/>
    <n v="10"/>
    <m/>
    <m/>
    <s v="DTP nécessité de l4intervention de l'editeur"/>
    <x v="1"/>
    <m/>
    <m/>
    <x v="6"/>
    <s v="Unix"/>
    <e v="#N/A"/>
    <e v="#N/A"/>
    <m/>
    <s v="Unix"/>
    <s v="22/04/2093"/>
    <e v="#N/A"/>
    <m/>
    <x v="0"/>
    <x v="9"/>
    <x v="0"/>
  </r>
  <r>
    <s v="81.192.11.189/80/http-options-method-enabled"/>
    <s v="81.192.11.189"/>
    <x v="29"/>
    <m/>
    <s v="Not Fixed"/>
    <m/>
    <m/>
    <s v="Linux"/>
    <s v="4.1.12-37.4.1.el6uek.x86_64"/>
    <n v="80"/>
    <s v="HTTP"/>
    <s v="HTTPD 2.2.15"/>
    <n v="3"/>
    <x v="0"/>
    <s v="http-options-method-enabled"/>
    <s v="HTTP OPTIONS Method Enabled"/>
    <s v="Web servers that respond to the OPTIONS HTTP method expose what other methods are supported by the web server, allowing attackers to narrow and intensify their efforts."/>
    <s v="* Disable HTTP OPTIONS method_x000d__x000a_      _x000d__x000a_      Disable HTTP OPTIONS method on your web server. Refer to your web server's instruction manual on how to do this._x000d__x000a__x000d__x000a__x000d__x000a_      _x000d__x000a_      Web servers that respond to the OPTIONS HTTP method expose what other methods are supported by the web server, allowing attackers to narrow and intensify their efforts._x000d__x000a__x000d__x000a__x000d__x000a__x000d__x000a_ * Apache HTTPD_x000d__x000a_      Disable HTTP OPTIONS Method for Apache_x000d__x000a__x000d__x000a_      _x000d__x000a_      Disable the OPTIONS method by including the following in the Apache configuration:_x000d__x000a__x000d__x000a_       &lt;Limit OPTIONS&gt; Order deny,allow Deny from all &lt;/Limit&gt;_x000d__x000a__x000d__x000a__x000d__x000a__x000d__x000a_ * Microsoft IIS_x000d__x000a_      Disable HTTP OPTIONS Method for IIS_x000d__x000a__x000d__x000a_      _x000d__x000a_      Disable the OPTIONS method by doing the following in the IIS manager_x000d__x000a__x000d__x000a_    * Select relevent site_x000d__x000a__x000d__x000a_    * Select Request filtering and change to HTTP verb tab_x000d__x000a__x000d__x000a_    * Select Deny Verb from the actions pane_x000d__x000a__x000d__x000a_    * Type OPTIONS into the provided text box and press OK_x000d__x000a__x000d__x000a__x000d__x000a__x000d__x000a_ * nginx nginx_x000d__x000a_      Disable HTTP OPTIONS Method for nginx_x000d__x000a__x000d__x000a_      _x000d__x000a_      Disable the OPTIONS method by adding the following line to your server block, you can add other HTTP methods to be allowed to run after POST_x000d__x000a__x000d__x000a_      limit_except GET POST { deny all; }"/>
    <s v="OPTIONS method returned values including itself"/>
    <s v="https://www.owasp.org/index.php/Test_HTTP_Methods_(OTG-CONFIG-006)"/>
    <s v=""/>
    <s v=""/>
    <m/>
    <m/>
    <m/>
    <m/>
    <m/>
    <n v="10"/>
    <m/>
    <m/>
    <s v="DTP nécessité de l4intervention de l'editeur"/>
    <x v="1"/>
    <m/>
    <m/>
    <x v="6"/>
    <s v="Unix"/>
    <e v="#N/A"/>
    <e v="#N/A"/>
    <m/>
    <s v="Unix"/>
    <s v="22/04/2094"/>
    <e v="#N/A"/>
    <m/>
    <x v="0"/>
    <x v="9"/>
    <x v="0"/>
  </r>
  <r>
    <s v="81.192.11.189/443/http-generic-browsable-dir"/>
    <s v="81.192.11.189"/>
    <x v="29"/>
    <m/>
    <s v="Not Fixed"/>
    <m/>
    <m/>
    <s v="Linux"/>
    <s v="4.1.12-37.4.1.el6uek.x86_64"/>
    <n v="443"/>
    <s v="HTTPS"/>
    <s v="HTTPD 2.2.15"/>
    <n v="5"/>
    <x v="1"/>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s://81.192.11.189/icons/ _x000d__x000a_HTTP response code was an expected 200_x000d__x000a_4: &lt;title&gt;Index of /icons&lt;/title&gt; 5: &lt;/head&gt; 6: &lt;body&gt; 7: &lt;h1&gt;Index of /icons&lt;/h1&gt; 8: ...CO]&quot;&gt;&lt;/th&gt;&lt;th&gt;&lt;a href=&quot;?C=N;O=D&quot;&gt;Name&lt;/a&gt;&lt;/th&gt;&lt;th&gt;&lt;a href=&quot;?C=M;O=A..."/>
    <s v=""/>
    <s v=""/>
    <s v=""/>
    <m/>
    <m/>
    <m/>
    <m/>
    <m/>
    <n v="10"/>
    <m/>
    <m/>
    <s v="DTP nécessité de l4intervention de l'editeur"/>
    <x v="1"/>
    <m/>
    <m/>
    <x v="6"/>
    <s v="Unix"/>
    <e v="#N/A"/>
    <e v="#N/A"/>
    <m/>
    <s v="Unix"/>
    <s v="22/04/2095"/>
    <e v="#N/A"/>
    <m/>
    <x v="0"/>
    <x v="9"/>
    <x v="0"/>
  </r>
  <r>
    <s v="81.192.11.189/80/http-generic-browsable-dir"/>
    <s v="81.192.11.189"/>
    <x v="29"/>
    <m/>
    <s v="Not Fixed"/>
    <m/>
    <m/>
    <s v="Linux"/>
    <s v="4.1.12-37.4.1.el6uek.x86_64"/>
    <n v="80"/>
    <s v="HTTP"/>
    <s v="HTTPD 2.2.15"/>
    <n v="5"/>
    <x v="1"/>
    <s v="http-generic-browsable-dir"/>
    <s v="Browsable web directory"/>
    <s v="A web directory was found to be browsable, which means that anyone can see the contents of the directory. These directories can be found: _x000d__x000a__x000d__x000a_ * via page spidering (following hyperlinks), or_x000d__x000a__x000d__x000a_ * as part of a parent path (checking each directory along the path and searching for &quot;Directory Listing&quot; or similar strings), or_x000d__x000a__x000d__x000a_ * by brute forcing a list of common directories._x000d__x000a__x000d__x000a_ Browsable directories could allow an attacker to perform a directory traversal attack by viewing &quot;hidden&quot; files in the web root, including CGI scripts, data files, or backup pages."/>
    <s v="* Apache HTTPD_x000d__x000a_      Disable web directory browsing for all directories and subdirectories_x000d__x000a__x000d__x000a_      _x000d__x000a_      In your httpd.conf file, disable the &quot;Indexes&quot; option for the appropriate &lt;Directory&gt; tag by removing it from the Options line.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IIS, PWS, Microsoft-IIS, Internet Information Services, Internet Information Services, Microsoft-PWS_x000d__x000a_      Disable web directory browsing for all directories and subdirectories_x000d__x000a__x000d__x000a_      _x000d__x000a_      In the Internet Information Services control panel or MMC, choose the appropriate virtual directory entry and select Properties. Uncheck the 'Allow Directory Browsing' option.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_x000d__x000a__x000d__x000a__x000d__x000a__x000d__x000a_ * Java System Web Server, iPlanet_x000d__x000a_      Disable web directory indexing for all directories and subdirectories_x000d__x000a__x000d__x000a_      _x000d__x000a_      The iPlanet web server indexes directories by searching the directory for an index file (by default index.html or home.html). If an index file is not found, the Document Preferences settings are checked to see what the Directory Indexing setting contains. This should be set to None to disable directory indexing._x000d__x000a__x000d__x000a_      For older versions of iPlanet that do not support the Directory Indexing setting, create a file called index.html or home.html in each directory. This page will then be served instead of a directory listing._x000d__x000a__x000d__x000a__x000d__x000a__x000d__x000a_ * Apache Tomcat, Tomcat, Tomcat Web Server, Apache Coyote, Apache-Coyote_x000d__x000a_      Disable web directory browsing for all directories and subdirectories_x000d__x000a__x000d__x000a_      _x000d__x000a_      Edit Tomcat's web.xml file. In the &quot;default&quot; servlet, change the &quot;listings&quot; parameter from &quot;true&quot; to &quot;false&quot;. Restart the server._x000d__x000a__x000d__x000a_      In addition, you should always make sure that proper permissions are set on all files and directories within the web root (including CGI scripts and backup files). Do not copy files in the web root unless you want these files to be available over the web. Periodically go through your web directories and clean out any unused, obsolete, or unknown files and directories."/>
    <s v="HTTP request to  http://81.192.11.189/icons/ _x000d__x000a_HTTP response code was an expected 200_x000d__x000a_4: &lt;title&gt;Index of /icons&lt;/title&gt; 5: &lt;/head&gt; 6: &lt;body&gt; 7: &lt;h1&gt;Index of /icons&lt;/h1&gt; 8: ...CO]&quot;&gt;&lt;/th&gt;&lt;th&gt;&lt;a href=&quot;?C=N;O=D&quot;&gt;Name&lt;/a&gt;&lt;/th&gt;&lt;th&gt;&lt;a href=&quot;?C=M;O=A..."/>
    <s v=""/>
    <s v=""/>
    <s v=""/>
    <m/>
    <m/>
    <m/>
    <m/>
    <m/>
    <n v="10"/>
    <m/>
    <m/>
    <s v="DTP nécessité de l4intervention de l'editeur"/>
    <x v="1"/>
    <m/>
    <m/>
    <x v="6"/>
    <s v="Unix"/>
    <e v="#N/A"/>
    <e v="#N/A"/>
    <m/>
    <s v="Unix"/>
    <s v="22/04/2099"/>
    <e v="#N/A"/>
    <m/>
    <x v="0"/>
    <x v="9"/>
    <x v="0"/>
  </r>
  <r>
    <s v="81.192.11.189/443/http-generic-click-jacking"/>
    <s v="81.192.11.189"/>
    <x v="29"/>
    <m/>
    <s v="Not Fixed"/>
    <m/>
    <m/>
    <s v="Linux"/>
    <s v="4.1.12-37.4.1.el6uek.x86_64"/>
    <n v="443"/>
    <s v="HTTPS"/>
    <s v="HTTPD 2.2.15"/>
    <n v="4"/>
    <x v="1"/>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S service_x000d__x000a__x000d__x000a__x000d__x000a__x000d__x000a_HTTP request to  https://81.192.11.189/icons/?P=+ADw-script+AD4-alert(42)+ADw-/script+AD4-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s v=""/>
    <s v=""/>
    <m/>
    <m/>
    <m/>
    <m/>
    <m/>
    <n v="10"/>
    <m/>
    <m/>
    <s v="DTP nécessité de l4intervention de l'editeur"/>
    <x v="1"/>
    <m/>
    <m/>
    <x v="6"/>
    <s v="Unix"/>
    <e v="#N/A"/>
    <e v="#N/A"/>
    <m/>
    <s v="Unix"/>
    <s v="22/04/2103"/>
    <e v="#N/A"/>
    <m/>
    <x v="0"/>
    <x v="9"/>
    <x v="0"/>
  </r>
  <r>
    <s v="81.192.11.189/80/http-generic-click-jacking"/>
    <s v="81.192.11.189"/>
    <x v="29"/>
    <m/>
    <s v="Not Fixed"/>
    <m/>
    <m/>
    <s v="Linux"/>
    <s v="4.1.12-37.4.1.el6uek.x86_64"/>
    <n v="80"/>
    <s v="HTTP"/>
    <s v="HTTPD 2.2.15"/>
    <n v="4"/>
    <x v="1"/>
    <s v="http-generic-click-jacking"/>
    <s v="Click Jacking"/>
    <s v="Clickjacking, also known as a UI redress attack, is a method in which an attacker uses multiple transparent or opaque layers to trick a user into clicking a button or link on a page other than the one they believe they are clicking. Thus, the attacker is &quot;hijacking&quot; clicks meant for one page and routing the user to an illegitimate page."/>
    <s v="Use HTTP X-Frame-Options_x000d__x000a__x000d__x000a__x000d__x000a_ Send the HTTP response headers with X-Frame-Options that instruct the browser to restrict framing where it is not allowed."/>
    <s v="* Running HTTP service_x000d__x000a__x000d__x000a__x000d__x000a__x000d__x000a_HTTP request to  http://81.192.11.189/icons/small/ _x000d__x000a_HTTP response code was an expected 200_x000d__x000a_1: text/html;charset=UTF-8_x000d__x000a__x000d__x000a_HTTP header 'Content-Type' was present and matched expectation_x000d__x000a__x000d__x000a_HTTP header 'Content-Security-Policy' not present_x000d__x000a__x000d__x000a_HTTP header 'X-Frame-Options' not present"/>
    <s v="https://www.owasp.org/index.php/Clickjacking"/>
    <s v=""/>
    <s v=""/>
    <m/>
    <m/>
    <m/>
    <m/>
    <m/>
    <n v="10"/>
    <m/>
    <m/>
    <s v="DTP nécessité de l4intervention de l'editeur"/>
    <x v="1"/>
    <m/>
    <m/>
    <x v="6"/>
    <s v="Unix"/>
    <e v="#N/A"/>
    <e v="#N/A"/>
    <m/>
    <s v="Unix"/>
    <s v="22/04/2106"/>
    <e v="#N/A"/>
    <m/>
    <x v="0"/>
    <x v="9"/>
    <x v="0"/>
  </r>
  <r>
    <s v="81.192.11.189/443/apache-httpd-cve-2010-1452"/>
    <s v="81.192.11.189"/>
    <x v="29"/>
    <m/>
    <s v="Not Fixed"/>
    <m/>
    <m/>
    <s v="Linux"/>
    <s v="4.1.12-37.4.1.el6uek.x86_64"/>
    <n v="443"/>
    <s v="HTTPS"/>
    <s v="HTTPD 2.2.15"/>
    <n v="5"/>
    <x v="1"/>
    <s v="apache-httpd-cve-2010-1452"/>
    <s v="Apache HTTPD: mod_cache and mod_dav DoS (CVE-2010-1452)"/>
    <s v="The affected asset is vulnerable to this vulnerability ONLY if it is running one of the following modules: mod_cache, mod_dav. Review your web server configuration for validation. A flaw was found in the handling of requests by mod_cache (2.2) and mod_dav (2.0 and 2.2). A malicious remote attacker could send a carefully crafted request and cause a httpd child process to crash. This crash would only be a denial of service if using the worker MPM. This issue is further mitigated as mod_dav is only affected by requests that are most likely to be authenticated, and mod_cache is only affected if the uncommon &quot;CacheIgnoreURLSessionIdentifiers&quot; directive, introduced in version 2.2.14, is used."/>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6_x000d__x000a_      Upgrade to Apache HTTPD version 2.2.16_x000d__x000a__x000d__x000a_      Download and apply the upgrade from:  http://archive.apache.org/dist/httpd/httpd-2.2.1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0.html,http://httpd.apache.org/security/vulnerabilities_22.html"/>
    <s v="CVE-2010-1452"/>
    <s v="http://nvd.nist.gov/vuln/detail/CVE-2010-1452"/>
    <m/>
    <m/>
    <m/>
    <m/>
    <m/>
    <n v="10"/>
    <m/>
    <m/>
    <s v="DTP nécessité de l4intervention de l'editeur"/>
    <x v="1"/>
    <m/>
    <m/>
    <x v="6"/>
    <s v="Unix"/>
    <e v="#N/A"/>
    <e v="#N/A"/>
    <m/>
    <s v="Unix"/>
    <s v="22/04/2111"/>
    <e v="#N/A"/>
    <m/>
    <x v="0"/>
    <x v="9"/>
    <x v="0"/>
  </r>
  <r>
    <s v="81.192.11.189/80/apache-httpd-cve-2010-1452"/>
    <s v="81.192.11.189"/>
    <x v="29"/>
    <m/>
    <s v="Not Fixed"/>
    <m/>
    <m/>
    <s v="Linux"/>
    <s v="4.1.12-37.4.1.el6uek.x86_64"/>
    <n v="80"/>
    <s v="HTTP"/>
    <s v="HTTPD 2.2.15"/>
    <n v="5"/>
    <x v="1"/>
    <s v="apache-httpd-cve-2010-1452"/>
    <s v="Apache HTTPD: mod_cache and mod_dav DoS (CVE-2010-1452)"/>
    <s v="The affected asset is vulnerable to this vulnerability ONLY if it is running one of the following modules: mod_cache, mod_dav. Review your web server configuration for validation. A flaw was found in the handling of requests by mod_cache (2.2) and mod_dav (2.0 and 2.2). A malicious remote attacker could send a carefully crafted request and cause a httpd child process to crash. This crash would only be a denial of service if using the worker MPM. This issue is further mitigated as mod_dav is only affected by requests that are most likely to be authenticated, and mod_cache is only affected if the uncommon &quot;CacheIgnoreURLSessionIdentifiers&quot; directive, introduced in version 2.2.14, is used."/>
    <s v="* Apache HTTPD &gt;= 2.0 and &lt; 2.0.64_x000d__x000a_      Upgrade to Apache HTTPD version 2.0.64_x000d__x000a__x000d__x000a_      Download and apply the upgrade from:  http://archive.apache.org/dist/httpd/httpd-2.0.6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6_x000d__x000a_      Upgrade to Apache HTTPD version 2.2.16_x000d__x000a__x000d__x000a_      Download and apply the upgrade from:  http://archive.apache.org/dist/httpd/httpd-2.2.1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0.html,http://httpd.apache.org/security/vulnerabilities_22.html"/>
    <s v="CVE-2010-1452"/>
    <s v="http://nvd.nist.gov/vuln/detail/CVE-2010-1452"/>
    <m/>
    <m/>
    <m/>
    <m/>
    <m/>
    <n v="10"/>
    <m/>
    <m/>
    <s v="DTP nécessité de l4intervention de l'editeur"/>
    <x v="1"/>
    <m/>
    <m/>
    <x v="6"/>
    <s v="Unix"/>
    <e v="#N/A"/>
    <e v="#N/A"/>
    <m/>
    <s v="Unix"/>
    <s v="22/04/2112"/>
    <e v="#N/A"/>
    <m/>
    <x v="0"/>
    <x v="9"/>
    <x v="0"/>
  </r>
  <r>
    <s v="81.192.11.189/443/ssl-cve-2016-2183-sweet32"/>
    <s v="81.192.11.189"/>
    <x v="29"/>
    <m/>
    <s v="Not Fixed"/>
    <m/>
    <m/>
    <s v="Linux"/>
    <s v="4.1.12-37.4.1.el6uek.x86_64"/>
    <n v="443"/>
    <s v="HTTPS"/>
    <s v="HTTPD 2.2.15"/>
    <n v="5"/>
    <x v="1"/>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s v="http://nvd.nist.gov/vuln/detail/CVE-2016-2183"/>
    <m/>
    <m/>
    <m/>
    <m/>
    <m/>
    <n v="10"/>
    <m/>
    <m/>
    <s v="DTP nécessité de l4intervention de l'editeur"/>
    <x v="1"/>
    <m/>
    <m/>
    <x v="6"/>
    <s v="Unix"/>
    <e v="#N/A"/>
    <e v="#N/A"/>
    <m/>
    <s v="Unix"/>
    <s v="22/04/2113"/>
    <e v="#N/A"/>
    <m/>
    <x v="0"/>
    <x v="9"/>
    <x v="0"/>
  </r>
  <r>
    <s v="81.192.11.189/444/ssl-cve-2016-2183-sweet32"/>
    <s v="81.192.11.189"/>
    <x v="29"/>
    <m/>
    <s v="Not Fixed"/>
    <m/>
    <m/>
    <s v="Linux"/>
    <s v="4.1.12-37.4.1.el6uek.x86_64"/>
    <n v="444"/>
    <s v="snpp (Simple Network Paging Protocol)"/>
    <s v=""/>
    <n v="5"/>
    <x v="1"/>
    <s v="ssl-cve-2016-2183-sweet32"/>
    <s v="TLS/SSL Birthday attacks on 64-bit block ciphers (SWEET32)"/>
    <s v="Legacy block ciphers having a block size of 64 bits are vulnerable to a practical collision attack when used in CBC mode. All versions of the SSL/TLS protocols that support cipher suites which use 3DES as the symmetric encryption cipher are affected.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TLS/SSL support for 3DES cipher suite_x000d__x000a__x000d__x000a__x000d__x000a_Configure the server to disable support for 3DES suite._x000d__x000a__x000d__x000a_For Microsoft IIS web servers, see Microsoft Knowledgebase article  245030 (http://support.microsoft.com/kb/245030/)  for instructions on disabling 3DES cipher suite. _x000d__x000a__x000d__x000a_The following recommended configuration provides a higher level of security. This configuration is compatible with Firefox 27, Chrome 22, IE 11, Opera 14 and Safari 7. SSLv2, SSLv3, and TLSv1 protocols are not recommended in this configuration. Instead, use TLSv1.1 and TLSv1.2 protocols._x000d__x000a__x000d__x000a_Refer to your server vendor documentation to apply the recommended cipher configuration:_x000d__x000a__x000d__x000a_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NULL:!eNULL:!EXPORT:!DES:!RC4:!3DES:!MD5:!PSK"/>
    <s v="* _x000d__x000a_      Negotiated with the following insecure cipher suites: _x000d__x000a_    * TLS 1.0 ciphers: _x000d__x000a_       * TLS_RSA_WITH_3DES_EDE_CBC_SHA_x000d__x000a__x000d__x000a__x000d__x000a_    * TLS 1.1 ciphers: _x000d__x000a_       * TLS_RSA_WITH_3DES_EDE_CBC_SHA_x000d__x000a__x000d__x000a__x000d__x000a_    * TLS 1.2 ciphers: _x000d__x000a_       * TLS_RSA_WITH_3DES_EDE_CBC_SHA"/>
    <s v="https://sweet32.info/,https://www.openssl.org/blog/blog/2016/08/24/sweet32,https://access.redhat.com/articles/2548661"/>
    <s v="CVE-2016-2183"/>
    <s v="http://nvd.nist.gov/vuln/detail/CVE-2016-2183"/>
    <m/>
    <m/>
    <m/>
    <m/>
    <m/>
    <n v="10"/>
    <m/>
    <m/>
    <s v="DTP nécessité de l4intervention de l'editeur"/>
    <x v="1"/>
    <m/>
    <m/>
    <x v="6"/>
    <s v="Unix"/>
    <e v="#N/A"/>
    <e v="#N/A"/>
    <m/>
    <s v="Unix"/>
    <s v="22/04/2114"/>
    <e v="#N/A"/>
    <m/>
    <x v="0"/>
    <x v="9"/>
    <x v="0"/>
  </r>
  <r>
    <s v="81.192.11.189/443/apache-httpd-cve-2012-0031"/>
    <s v="81.192.11.189"/>
    <x v="29"/>
    <m/>
    <s v="Not Fixed"/>
    <m/>
    <m/>
    <s v="Linux"/>
    <s v="4.1.12-37.4.1.el6uek.x86_64"/>
    <n v="443"/>
    <s v="HTTPS"/>
    <s v="HTTPD 2.2.15"/>
    <n v="5"/>
    <x v="1"/>
    <s v="apache-httpd-cve-2012-0031"/>
    <s v="Apache HTTPD: scoreboard parent DoS (CVE-2012-0031)"/>
    <s v="A flaw was found in the handling of the scoreboard. An unprivileged child process could cause the parent process to crash at shutdown rather than terminate cleanly."/>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0.html,http://httpd.apache.org/security/vulnerabilities_22.html"/>
    <s v="CVE-2012-0031"/>
    <s v="http://nvd.nist.gov/vuln/detail/CVE-2012-0031"/>
    <m/>
    <m/>
    <m/>
    <m/>
    <m/>
    <n v="10"/>
    <m/>
    <m/>
    <s v="DTP nécessité de l4intervention de l'editeur"/>
    <x v="1"/>
    <m/>
    <m/>
    <x v="6"/>
    <s v="Unix"/>
    <e v="#N/A"/>
    <e v="#N/A"/>
    <m/>
    <s v="Unix"/>
    <s v="22/04/2115"/>
    <e v="#N/A"/>
    <m/>
    <x v="0"/>
    <x v="9"/>
    <x v="0"/>
  </r>
  <r>
    <s v="81.192.11.189/80/apache-httpd-cve-2012-0031"/>
    <s v="81.192.11.189"/>
    <x v="29"/>
    <m/>
    <s v="Not Fixed"/>
    <m/>
    <m/>
    <s v="Linux"/>
    <s v="4.1.12-37.4.1.el6uek.x86_64"/>
    <n v="80"/>
    <s v="HTTP"/>
    <s v="HTTPD 2.2.15"/>
    <n v="5"/>
    <x v="1"/>
    <s v="apache-httpd-cve-2012-0031"/>
    <s v="Apache HTTPD: scoreboard parent DoS (CVE-2012-0031)"/>
    <s v="A flaw was found in the handling of the scoreboard. An unprivileged child process could cause the parent process to crash at shutdown rather than terminate cleanly."/>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0.html,http://httpd.apache.org/security/vulnerabilities_22.html"/>
    <s v="CVE-2012-0031"/>
    <s v="http://nvd.nist.gov/vuln/detail/CVE-2012-0031"/>
    <m/>
    <m/>
    <m/>
    <m/>
    <m/>
    <n v="10"/>
    <m/>
    <m/>
    <s v="DTP nécessité de l4intervention de l'editeur"/>
    <x v="1"/>
    <m/>
    <m/>
    <x v="6"/>
    <s v="Unix"/>
    <e v="#N/A"/>
    <e v="#N/A"/>
    <m/>
    <s v="Unix"/>
    <s v="22/04/2116"/>
    <e v="#N/A"/>
    <m/>
    <x v="0"/>
    <x v="9"/>
    <x v="0"/>
  </r>
  <r>
    <s v="81.192.11.189/80/apache-httpd-cve-2012-0883"/>
    <s v="81.192.11.189"/>
    <x v="29"/>
    <m/>
    <s v="Not Fixed"/>
    <m/>
    <m/>
    <s v="Linux"/>
    <s v="4.1.12-37.4.1.el6uek.x86_64"/>
    <n v="80"/>
    <s v="HTTP"/>
    <s v="HTTPD 2.2.15"/>
    <n v="7"/>
    <x v="2"/>
    <s v="apache-httpd-cve-2012-0883"/>
    <s v="Apache HTTPD: insecure LD_LIBRARY_PATH handling (CVE-2012-0883)"/>
    <s v="Insecure handling of LD_LIBRARY_PATH was found that could lead to the current working directory to be searched for DSOs. This could allow a local user to execute code as root if an administrator runs apachectl from an untrusted directory."/>
    <s v="* Apache HTTPD &gt;= 2.2 and &lt; 2.2.23_x000d__x000a_      Upgrade to Apache HTTPD version 2.2.23_x000d__x000a__x000d__x000a_      Download and apply the upgrade from:  http://archive.apache.org/dist/httpd/httpd-2.2.2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_x000d__x000a_      Upgrade to Apache HTTPD version 2.4.2_x000d__x000a__x000d__x000a_      Download and apply the upgrade from:  http://archive.apache.org/dist/httpd/httpd-2.4.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2-0883"/>
    <s v="http://nvd.nist.gov/vuln/detail/CVE-2012-0883"/>
    <m/>
    <m/>
    <m/>
    <m/>
    <m/>
    <n v="10"/>
    <m/>
    <m/>
    <s v="DTP nécessité de l4intervention de l'editeur"/>
    <x v="1"/>
    <m/>
    <m/>
    <x v="6"/>
    <s v="Unix"/>
    <e v="#N/A"/>
    <e v="#N/A"/>
    <m/>
    <s v="Unix"/>
    <s v="22/04/2117"/>
    <e v="#N/A"/>
    <m/>
    <x v="0"/>
    <x v="9"/>
    <x v="0"/>
  </r>
  <r>
    <s v="81.192.11.189/443/apache-httpd-cve-2012-0883"/>
    <s v="81.192.11.189"/>
    <x v="29"/>
    <m/>
    <s v="Not Fixed"/>
    <m/>
    <m/>
    <s v="Linux"/>
    <s v="4.1.12-37.4.1.el6uek.x86_64"/>
    <n v="443"/>
    <s v="HTTPS"/>
    <s v="HTTPD 2.2.15"/>
    <n v="7"/>
    <x v="2"/>
    <s v="apache-httpd-cve-2012-0883"/>
    <s v="Apache HTTPD: insecure LD_LIBRARY_PATH handling (CVE-2012-0883)"/>
    <s v="Insecure handling of LD_LIBRARY_PATH was found that could lead to the current working directory to be searched for DSOs. This could allow a local user to execute code as root if an administrator runs apachectl from an untrusted directory."/>
    <s v="* Apache HTTPD &gt;= 2.2 and &lt; 2.2.23_x000d__x000a_      Upgrade to Apache HTTPD version 2.2.23_x000d__x000a__x000d__x000a_      Download and apply the upgrade from:  http://archive.apache.org/dist/httpd/httpd-2.2.23.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_x000d__x000a_      Upgrade to Apache HTTPD version 2.4.2_x000d__x000a__x000d__x000a_      Download and apply the upgrade from:  http://archive.apache.org/dist/httpd/httpd-2.4.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2-0883"/>
    <s v="http://nvd.nist.gov/vuln/detail/CVE-2012-0883"/>
    <m/>
    <m/>
    <m/>
    <m/>
    <m/>
    <n v="10"/>
    <m/>
    <m/>
    <s v="DTP nécessité de l4intervention de l'editeur"/>
    <x v="1"/>
    <m/>
    <m/>
    <x v="6"/>
    <s v="Unix"/>
    <e v="#N/A"/>
    <e v="#N/A"/>
    <m/>
    <s v="Unix"/>
    <s v="22/04/2118"/>
    <e v="#N/A"/>
    <m/>
    <x v="0"/>
    <x v="9"/>
    <x v="0"/>
  </r>
  <r>
    <s v="81.192.11.189/443/apache-httpd-cve-2011-3368"/>
    <s v="81.192.11.189"/>
    <x v="29"/>
    <m/>
    <s v="Not Fixed"/>
    <m/>
    <m/>
    <s v="Linux"/>
    <s v="4.1.12-37.4.1.el6uek.x86_64"/>
    <n v="443"/>
    <s v="HTTPS"/>
    <s v="HTTPD 2.2.15"/>
    <n v="5"/>
    <x v="1"/>
    <s v="apache-httpd-cve-2011-3368"/>
    <s v="Apache HTTPD: mod_proxy reverse proxy exposure (CVE-2011-3368)"/>
    <s v="The affected asset is vulnerable to this vulnerability ONLY if it is running one of the following modules: mod_proxy. Review your web server configuration for validation. An exposure was found when using mod_proxy in reverse proxy mode. In certain configurations using RewriteRule with proxy flag or ProxyPassMatch, a remote attacker could cause the reverse proxy to connect to an arbitrary server, possibly disclosing sensitive information from internal web servers not directly accessible to attacker. No update of 1.3 will be released. Patches will be published to https://archive.apache.org/dist/httpd/patches/apply_to_1.3.42/"/>
    <s v="* Apache HTTPD &gt;= 1.3 and &lt; 2_x000d__x000a_      Apply the patch for CVE-2011-3368 to 1.3_x000d__x000a__x000d__x000a_      Download and apply the upgrade from:  http://archive.apache.org/dist/httpd/patches/apply_to_1.3.42/ _x000d__x000a__x000d__x000a_      _x000d__x000a_      No update of 1.3 will be released. Patches will be published to  http://archive.apache.org/dist/httpd/patches/apply_to_1.3.42/ _x000d__x000a__x000d__x000a__x000d__x000a__x000d__x000a_ *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13.html,http://httpd.apache.org/security/vulnerabilities_20.html,http://httpd.apache.org/security/vulnerabilities_22.html"/>
    <s v="CVE-2011-3368"/>
    <s v="http://nvd.nist.gov/vuln/detail/CVE-2011-3368"/>
    <m/>
    <m/>
    <m/>
    <m/>
    <m/>
    <n v="10"/>
    <m/>
    <m/>
    <s v="DTP nécessité de l4intervention de l'editeur"/>
    <x v="1"/>
    <m/>
    <m/>
    <x v="6"/>
    <s v="Unix"/>
    <e v="#N/A"/>
    <e v="#N/A"/>
    <m/>
    <s v="Unix"/>
    <s v="22/04/2119"/>
    <e v="#N/A"/>
    <m/>
    <x v="0"/>
    <x v="9"/>
    <x v="0"/>
  </r>
  <r>
    <s v="81.192.11.189/80/apache-httpd-cve-2011-3368"/>
    <s v="81.192.11.189"/>
    <x v="29"/>
    <m/>
    <s v="Not Fixed"/>
    <m/>
    <m/>
    <s v="Linux"/>
    <s v="4.1.12-37.4.1.el6uek.x86_64"/>
    <n v="80"/>
    <s v="HTTP"/>
    <s v="HTTPD 2.2.15"/>
    <n v="5"/>
    <x v="1"/>
    <s v="apache-httpd-cve-2011-3368"/>
    <s v="Apache HTTPD: mod_proxy reverse proxy exposure (CVE-2011-3368)"/>
    <s v="The affected asset is vulnerable to this vulnerability ONLY if it is running one of the following modules: mod_proxy. Review your web server configuration for validation. An exposure was found when using mod_proxy in reverse proxy mode. In certain configurations using RewriteRule with proxy flag or ProxyPassMatch, a remote attacker could cause the reverse proxy to connect to an arbitrary server, possibly disclosing sensitive information from internal web servers not directly accessible to attacker. No update of 1.3 will be released. Patches will be published to https://archive.apache.org/dist/httpd/patches/apply_to_1.3.42/"/>
    <s v="* Apache HTTPD &gt;= 1.3 and &lt; 2_x000d__x000a_      Apply the patch for CVE-2011-3368 to 1.3_x000d__x000a__x000d__x000a_      Download and apply the upgrade from:  http://archive.apache.org/dist/httpd/patches/apply_to_1.3.42/ _x000d__x000a__x000d__x000a_      _x000d__x000a_      No update of 1.3 will be released. Patches will be published to  http://archive.apache.org/dist/httpd/patches/apply_to_1.3.42/ _x000d__x000a__x000d__x000a__x000d__x000a__x000d__x000a_ *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22_x000d__x000a_      Upgrade to Apache HTTPD version 2.2.22_x000d__x000a__x000d__x000a_      Download and apply the upgrade from:  http://archive.apache.org/dist/httpd/httpd-2.2.2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13.html,http://httpd.apache.org/security/vulnerabilities_20.html,http://httpd.apache.org/security/vulnerabilities_22.html"/>
    <s v="CVE-2011-3368"/>
    <s v="http://nvd.nist.gov/vuln/detail/CVE-2011-3368"/>
    <m/>
    <m/>
    <m/>
    <m/>
    <m/>
    <n v="10"/>
    <m/>
    <m/>
    <s v="DTP nécessité de l4intervention de l'editeur"/>
    <x v="1"/>
    <m/>
    <m/>
    <x v="6"/>
    <s v="Unix"/>
    <e v="#N/A"/>
    <e v="#N/A"/>
    <m/>
    <s v="Unix"/>
    <s v="22/04/2120"/>
    <e v="#N/A"/>
    <m/>
    <x v="0"/>
    <x v="9"/>
    <x v="0"/>
  </r>
  <r>
    <s v="81.192.11.189/123/ntp-monlist-dos-cve-2013-5211"/>
    <s v="81.192.11.189"/>
    <x v="29"/>
    <m/>
    <s v="Not Fixed"/>
    <m/>
    <m/>
    <s v="Linux"/>
    <s v="4.1.12-37.4.1.el6uek.x86_64"/>
    <n v="123"/>
    <s v="NTP"/>
    <s v="NTP 4.2.6p5@1.2349-o"/>
    <n v="5"/>
    <x v="1"/>
    <s v="ntp-monlist-dos-cve-2013-5211"/>
    <s v="NTP: DoS in monlist feature of ntpd (CVE-2013-5211)"/>
    <s v="The monlist feature in ntp_request.c in ntpd in NTP before 4.2.7p26 allows remote attackers to cause a denial of service (traffic amplification) via forged (1) REQ_MON_GETLIST or (2) REQ_MON_GETLIST_1 requests, as exploited in the wild in December 2013."/>
    <s v="* Update ntpd 4.2.7x to ntpd 4.2.7p26 or greater_x000d__x000a_      Download and apply the upgrade from:  http://www.ntp.org/downloads.html _x000d__x000a__x000d__x000a__x000d__x000a_ * Disable NTP queries_x000d__x000a_      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 * Product NTP exists -- NTP 4.2.6p5@1.2349-o_x000d__x000a__x000d__x000a_ * Vulnerable version of product NTP found -- NTP 4.2.6p5@1.2349-o"/>
    <s v=""/>
    <s v="CVE-2013-5211"/>
    <s v="http://nvd.nist.gov/vuln/detail/CVE-2013-5211"/>
    <m/>
    <m/>
    <m/>
    <m/>
    <m/>
    <n v="10"/>
    <m/>
    <m/>
    <s v="DTP nécessité de l4intervention de l'editeur"/>
    <x v="1"/>
    <m/>
    <m/>
    <x v="6"/>
    <s v="Unix"/>
    <e v="#N/A"/>
    <e v="#N/A"/>
    <m/>
    <s v="Unix"/>
    <s v="22/04/2121"/>
    <e v="#N/A"/>
    <m/>
    <x v="0"/>
    <x v="9"/>
    <x v="0"/>
  </r>
  <r>
    <s v="81.192.11.189/80/apache-httpd-cve-2013-1896"/>
    <s v="81.192.11.189"/>
    <x v="29"/>
    <m/>
    <s v="Not Fixed"/>
    <m/>
    <m/>
    <s v="Linux"/>
    <s v="4.1.12-37.4.1.el6uek.x86_64"/>
    <n v="80"/>
    <s v="HTTP"/>
    <s v="HTTPD 2.2.15"/>
    <n v="4"/>
    <x v="1"/>
    <s v="apache-httpd-cve-2013-1896"/>
    <s v="Apache HTTPD: mod_dav crash (CVE-2013-1896)"/>
    <s v="The affected asset is vulnerable to this vulnerability ONLY if it is running one of the following modules: mod_dav. Review your web server configuration for validation. Sending a MERGE request against a URI handled by mod_dav_svn with the source href (sent as part of the request body as XML) pointing to a URI that is not configured for DAV will trigger a segfault."/>
    <s v="* Apache HTTPD &gt;= 2.2 and &lt; 2.2.25_x000d__x000a_      Upgrade to Apache HTTPD version 2.2.25_x000d__x000a__x000d__x000a_      Download and apply the upgrade from:  http://archive.apache.org/dist/httpd/httpd-2.2.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6_x000d__x000a_      Upgrade to Apache HTTPD version 2.4.6_x000d__x000a__x000d__x000a_      Download and apply the upgrade from:  http://archive.apache.org/dist/httpd/httpd-2.4.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3-1896"/>
    <s v="http://nvd.nist.gov/vuln/detail/CVE-2013-1896"/>
    <m/>
    <m/>
    <m/>
    <m/>
    <m/>
    <n v="10"/>
    <m/>
    <m/>
    <s v="DTP nécessité de l4intervention de l'editeur"/>
    <x v="1"/>
    <m/>
    <m/>
    <x v="6"/>
    <s v="Unix"/>
    <e v="#N/A"/>
    <e v="#N/A"/>
    <m/>
    <s v="Unix"/>
    <s v="22/04/2122"/>
    <e v="#N/A"/>
    <m/>
    <x v="0"/>
    <x v="9"/>
    <x v="0"/>
  </r>
  <r>
    <s v="81.192.11.189/443/apache-httpd-cve-2013-1896"/>
    <s v="81.192.11.189"/>
    <x v="29"/>
    <m/>
    <s v="Not Fixed"/>
    <m/>
    <m/>
    <s v="Linux"/>
    <s v="4.1.12-37.4.1.el6uek.x86_64"/>
    <n v="443"/>
    <s v="HTTPS"/>
    <s v="HTTPD 2.2.15"/>
    <n v="4"/>
    <x v="1"/>
    <s v="apache-httpd-cve-2013-1896"/>
    <s v="Apache HTTPD: mod_dav crash (CVE-2013-1896)"/>
    <s v="The affected asset is vulnerable to this vulnerability ONLY if it is running one of the following modules: mod_dav. Review your web server configuration for validation. Sending a MERGE request against a URI handled by mod_dav_svn with the source href (sent as part of the request body as XML) pointing to a URI that is not configured for DAV will trigger a segfault."/>
    <s v="* Apache HTTPD &gt;= 2.2 and &lt; 2.2.25_x000d__x000a_      Upgrade to Apache HTTPD version 2.2.25_x000d__x000a__x000d__x000a_      Download and apply the upgrade from:  http://archive.apache.org/dist/httpd/httpd-2.2.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6_x000d__x000a_      Upgrade to Apache HTTPD version 2.4.6_x000d__x000a__x000d__x000a_      Download and apply the upgrade from:  http://archive.apache.org/dist/httpd/httpd-2.4.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3-1896"/>
    <s v="http://nvd.nist.gov/vuln/detail/CVE-2013-1896"/>
    <m/>
    <m/>
    <m/>
    <m/>
    <m/>
    <n v="10"/>
    <m/>
    <m/>
    <s v="DTP nécessité de l4intervention de l'editeur"/>
    <x v="1"/>
    <m/>
    <m/>
    <x v="6"/>
    <s v="Unix"/>
    <e v="#N/A"/>
    <e v="#N/A"/>
    <m/>
    <s v="Unix"/>
    <s v="22/04/2123"/>
    <e v="#N/A"/>
    <m/>
    <x v="0"/>
    <x v="9"/>
    <x v="0"/>
  </r>
  <r>
    <s v="81.192.11.189/443/apache-httpd-cve-2016-4975"/>
    <s v="81.192.11.189"/>
    <x v="29"/>
    <m/>
    <s v="Not Fixed"/>
    <m/>
    <m/>
    <s v="Linux"/>
    <s v="4.1.12-37.4.1.el6uek.x86_64"/>
    <n v="443"/>
    <s v="HTTPS"/>
    <s v="HTTPD 2.2.15"/>
    <n v="4"/>
    <x v="1"/>
    <s v="apache-httpd-cve-2016-4975"/>
    <s v="Apache HTTPD: mod_userdir CRLF injection (CVE-2016-4975)"/>
    <s v="The affected asset is vulnerable to this vulnerability ONLY if it is running one of the following modules: mod_userdir. Review your web server configuration for validation. Possible CRLF injection allowing HTTP response splitting attacks for sites which use mod_userdir. This issue was mitigated by changes made in 2.4.25 and 2.2.32 which prohibit CR or LF injection into the &quot;Location&quot; or other outbound header key or value."/>
    <s v="* Apache HTTPD &gt;= 2.2 and &lt; 2.2.32_x000d__x000a_      Upgrade to Apache HTTPD version 2.2.32_x000d__x000a__x000d__x000a_      Download and apply the upgrade from:  http://archive.apache.org/dist/httpd/httpd-2.2.3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5_x000d__x000a_      Upgrade to Apache HTTPD version 2.4.25_x000d__x000a__x000d__x000a_      Download and apply the upgrade from:  http://archive.apache.org/dist/httpd/httpd-2.4.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6-4975"/>
    <s v="http://nvd.nist.gov/vuln/detail/CVE-2016-4975"/>
    <m/>
    <m/>
    <m/>
    <m/>
    <m/>
    <n v="10"/>
    <m/>
    <m/>
    <s v="DTP nécessité de l4intervention de l'editeur"/>
    <x v="1"/>
    <m/>
    <m/>
    <x v="6"/>
    <s v="Unix"/>
    <e v="#N/A"/>
    <e v="#N/A"/>
    <m/>
    <s v="Unix"/>
    <s v="22/04/2124"/>
    <e v="#N/A"/>
    <m/>
    <x v="0"/>
    <x v="9"/>
    <x v="0"/>
  </r>
  <r>
    <s v="81.192.11.189/80/apache-httpd-cve-2016-4975"/>
    <s v="81.192.11.189"/>
    <x v="29"/>
    <m/>
    <s v="Not Fixed"/>
    <m/>
    <m/>
    <s v="Linux"/>
    <s v="4.1.12-37.4.1.el6uek.x86_64"/>
    <n v="80"/>
    <s v="HTTP"/>
    <s v="HTTPD 2.2.15"/>
    <n v="4"/>
    <x v="1"/>
    <s v="apache-httpd-cve-2016-4975"/>
    <s v="Apache HTTPD: mod_userdir CRLF injection (CVE-2016-4975)"/>
    <s v="The affected asset is vulnerable to this vulnerability ONLY if it is running one of the following modules: mod_userdir. Review your web server configuration for validation. Possible CRLF injection allowing HTTP response splitting attacks for sites which use mod_userdir. This issue was mitigated by changes made in 2.4.25 and 2.2.32 which prohibit CR or LF injection into the &quot;Location&quot; or other outbound header key or value."/>
    <s v="* Apache HTTPD &gt;= 2.2 and &lt; 2.2.32_x000d__x000a_      Upgrade to Apache HTTPD version 2.2.32_x000d__x000a__x000d__x000a_      Download and apply the upgrade from:  http://archive.apache.org/dist/httpd/httpd-2.2.3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5_x000d__x000a_      Upgrade to Apache HTTPD version 2.4.25_x000d__x000a__x000d__x000a_      Download and apply the upgrade from:  http://archive.apache.org/dist/httpd/httpd-2.4.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6-4975"/>
    <s v="http://nvd.nist.gov/vuln/detail/CVE-2016-4975"/>
    <m/>
    <m/>
    <m/>
    <m/>
    <m/>
    <n v="10"/>
    <m/>
    <m/>
    <s v="DTP nécessité de l4intervention de l'editeur"/>
    <x v="1"/>
    <m/>
    <m/>
    <x v="6"/>
    <s v="Unix"/>
    <e v="#N/A"/>
    <e v="#N/A"/>
    <m/>
    <s v="Unix"/>
    <s v="22/04/2125"/>
    <e v="#N/A"/>
    <m/>
    <x v="0"/>
    <x v="9"/>
    <x v="0"/>
  </r>
  <r>
    <s v="81.192.11.189/22/ssh-cve-2016-2183-sweet32"/>
    <s v="81.192.11.189"/>
    <x v="29"/>
    <m/>
    <s v="Not Fixed"/>
    <m/>
    <m/>
    <s v="Linux"/>
    <s v="4.1.12-37.4.1.el6uek.x86_64"/>
    <n v="22"/>
    <s v="SSH"/>
    <s v="OpenSSH 5.3"/>
    <n v="5"/>
    <x v="1"/>
    <s v="ssh-cve-2016-2183-sweet32"/>
    <s v="SSH Birthday attacks on 64-bit block ciphers (SWEET32)"/>
    <s v="Legacy block ciphers having a block size of 64 bits are vulnerable to a practical collision attack when used in CBC mode. The security of a block cipher is often reduced to the key size k: the best attack should be the exhaustive search of the key, with complexity 2 to the power of k. However, the block size n is also an important security parameter, defining the amount of data that can be encrypted under the same key. This is particularly important when using common modes of operation: we require block ciphers to be secure with up to 2 to the power of n queries, but most modes of operation (e.g. CBC, CTR, GCM, OCB, etc.) are unsafe with more than 2 to the power of half n blocks of message (the birthday bound). With a modern block cipher with 128-bit blocks such as AES, the birthday bound corresponds to 256 exabytes. However, for a block cipher with 64-bit blocks, the birthday bound corresponds to only 32 GB, which is easily reached in practice. Once a collision between two cipher blocks occurs it is possible to use the collision to extract the plain text data."/>
    <s v="Disable SSH support for 3DES cipher suite_x000d__x000a__x000d__x000a__x000d__x000a_Remove all 3DES ciphers from the cipher list specified in sshd_config."/>
    <s v="* Running SSH service_x000d__x000a__x000d__x000a_ * Insecure 3DES ciphers in use: 3des-cbc"/>
    <s v="https://sweet32.info/"/>
    <s v="CVE-2016-2183"/>
    <s v="http://nvd.nist.gov/vuln/detail/CVE-2016-2183"/>
    <m/>
    <m/>
    <m/>
    <m/>
    <m/>
    <n v="10"/>
    <m/>
    <m/>
    <s v="Fixed"/>
    <x v="1"/>
    <s v="22/04"/>
    <m/>
    <x v="6"/>
    <s v="Unix"/>
    <e v="#N/A"/>
    <e v="#N/A"/>
    <m/>
    <s v="Unix"/>
    <s v="22/04/2126"/>
    <e v="#N/A"/>
    <m/>
    <x v="0"/>
    <x v="0"/>
    <x v="0"/>
  </r>
  <r>
    <s v="81.192.11.189/80/apache-httpd-cve-2012-4558"/>
    <s v="81.192.11.189"/>
    <x v="29"/>
    <m/>
    <s v="Not Fixed"/>
    <m/>
    <m/>
    <s v="Linux"/>
    <s v="4.1.12-37.4.1.el6uek.x86_64"/>
    <n v="80"/>
    <s v="HTTP"/>
    <s v="HTTPD 2.2.15"/>
    <n v="4"/>
    <x v="1"/>
    <s v="apache-httpd-cve-2012-4558"/>
    <s v="Apache HTTPD: XSS in mod_proxy_balancer (CVE-2012-4558)"/>
    <s v="The affected asset is vulnerable to this vulnerability ONLY if it is running one of the following modules: mod_proxy_balancer. Review your web server configuration for validation. A XSS flaw affected the mod_proxy_balancer manager interface."/>
    <s v="* Apache HTTPD &gt;= 2.2 and &lt; 2.2.24_x000d__x000a_      Upgrade to Apache HTTPD version 2.2.24_x000d__x000a__x000d__x000a_      Download and apply the upgrade from:  http://archive.apache.org/dist/httpd/httpd-2.2.2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4_x000d__x000a_      Upgrade to Apache HTTPD version 2.4.4_x000d__x000a__x000d__x000a_      Download and apply the upgrade from:  http://archive.apache.org/dist/httpd/httpd-2.4.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2-4558"/>
    <s v="http://nvd.nist.gov/vuln/detail/CVE-2012-4558"/>
    <m/>
    <m/>
    <m/>
    <m/>
    <m/>
    <n v="10"/>
    <m/>
    <m/>
    <s v="DTP nécessité de l4intervention de l'editeur"/>
    <x v="1"/>
    <m/>
    <m/>
    <x v="6"/>
    <s v="Unix"/>
    <e v="#N/A"/>
    <e v="#N/A"/>
    <m/>
    <s v="Unix"/>
    <s v="22/04/2127"/>
    <e v="#N/A"/>
    <m/>
    <x v="0"/>
    <x v="9"/>
    <x v="0"/>
  </r>
  <r>
    <s v="81.192.11.189/443/apache-httpd-cve-2012-4558"/>
    <s v="81.192.11.189"/>
    <x v="29"/>
    <m/>
    <s v="Not Fixed"/>
    <m/>
    <m/>
    <s v="Linux"/>
    <s v="4.1.12-37.4.1.el6uek.x86_64"/>
    <n v="443"/>
    <s v="HTTPS"/>
    <s v="HTTPD 2.2.15"/>
    <n v="4"/>
    <x v="1"/>
    <s v="apache-httpd-cve-2012-4558"/>
    <s v="Apache HTTPD: XSS in mod_proxy_balancer (CVE-2012-4558)"/>
    <s v="The affected asset is vulnerable to this vulnerability ONLY if it is running one of the following modules: mod_proxy_balancer. Review your web server configuration for validation. A XSS flaw affected the mod_proxy_balancer manager interface."/>
    <s v="* Apache HTTPD &gt;= 2.2 and &lt; 2.2.24_x000d__x000a_      Upgrade to Apache HTTPD version 2.2.24_x000d__x000a__x000d__x000a_      Download and apply the upgrade from:  http://archive.apache.org/dist/httpd/httpd-2.2.2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4_x000d__x000a_      Upgrade to Apache HTTPD version 2.4.4_x000d__x000a__x000d__x000a_      Download and apply the upgrade from:  http://archive.apache.org/dist/httpd/httpd-2.4.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2-4558"/>
    <s v="http://nvd.nist.gov/vuln/detail/CVE-2012-4558"/>
    <m/>
    <m/>
    <m/>
    <m/>
    <m/>
    <n v="10"/>
    <m/>
    <m/>
    <s v="DTP nécessité de l4intervention de l'editeur"/>
    <x v="1"/>
    <m/>
    <m/>
    <x v="6"/>
    <s v="Unix"/>
    <e v="#N/A"/>
    <e v="#N/A"/>
    <m/>
    <s v="Unix"/>
    <s v="22/04/2128"/>
    <e v="#N/A"/>
    <m/>
    <x v="0"/>
    <x v="9"/>
    <x v="0"/>
  </r>
  <r>
    <s v="81.192.11.189/443/apache-httpd-cve-2012-4557"/>
    <s v="81.192.11.189"/>
    <x v="29"/>
    <m/>
    <s v="Not Fixed"/>
    <m/>
    <m/>
    <s v="Linux"/>
    <s v="4.1.12-37.4.1.el6uek.x86_64"/>
    <n v="443"/>
    <s v="HTTPS"/>
    <s v="HTTPD 2.2.15"/>
    <n v="5"/>
    <x v="1"/>
    <s v="apache-httpd-cve-2012-4557"/>
    <s v="Apache HTTPD: mod_proxy_ajp remote DoS (CVE-2012-4557)"/>
    <s v="The affected asset is vulnerable to this vulnerability ONLY if it is running one of the following modules: mod_proxy_ajp. Review your web server configuration for validation. A flaw was found when mod_proxy_ajp connects to a backend server that takes too long to respond. Given a specific configuration, a remote attacker could send certain requests, putting a backend server into an error state until the retry timeout expired. This could lead to a temporary denial of service."/>
    <s v="Apache HTTPD &gt;= 2.2 and &lt; 2.2.22_x000d__x000a__x000d__x000a_Upgrade to Apache HTTPD version 2.2.22_x000d__x000a__x000d__x000a_Download and apply the upgrade from:  http://archive.apache.org/dist/httpd/httpd-2.2.22.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
    <s v="CVE-2012-4557"/>
    <s v="http://nvd.nist.gov/vuln/detail/CVE-2012-4557"/>
    <m/>
    <m/>
    <m/>
    <m/>
    <m/>
    <n v="10"/>
    <m/>
    <m/>
    <s v="DTP nécessité de l4intervention de l'editeur"/>
    <x v="1"/>
    <m/>
    <m/>
    <x v="6"/>
    <s v="Unix"/>
    <e v="#N/A"/>
    <e v="#N/A"/>
    <m/>
    <s v="Unix"/>
    <s v="22/04/2129"/>
    <e v="#N/A"/>
    <m/>
    <x v="0"/>
    <x v="9"/>
    <x v="0"/>
  </r>
  <r>
    <s v="81.192.11.189/80/apache-httpd-cve-2012-4557"/>
    <s v="81.192.11.189"/>
    <x v="29"/>
    <m/>
    <s v="Not Fixed"/>
    <m/>
    <m/>
    <s v="Linux"/>
    <s v="4.1.12-37.4.1.el6uek.x86_64"/>
    <n v="80"/>
    <s v="HTTP"/>
    <s v="HTTPD 2.2.15"/>
    <n v="5"/>
    <x v="1"/>
    <s v="apache-httpd-cve-2012-4557"/>
    <s v="Apache HTTPD: mod_proxy_ajp remote DoS (CVE-2012-4557)"/>
    <s v="The affected asset is vulnerable to this vulnerability ONLY if it is running one of the following modules: mod_proxy_ajp. Review your web server configuration for validation. A flaw was found when mod_proxy_ajp connects to a backend server that takes too long to respond. Given a specific configuration, a remote attacker could send certain requests, putting a backend server into an error state until the retry timeout expired. This could lead to a temporary denial of service."/>
    <s v="Apache HTTPD &gt;= 2.2 and &lt; 2.2.22_x000d__x000a__x000d__x000a_Upgrade to Apache HTTPD version 2.2.22_x000d__x000a__x000d__x000a_Download and apply the upgrade from:  http://archive.apache.org/dist/httpd/httpd-2.2.22.tar.gz _x000d__x000a__x000d__x000a__x000d__x000a_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
    <s v="CVE-2012-4557"/>
    <s v="http://nvd.nist.gov/vuln/detail/CVE-2012-4557"/>
    <m/>
    <m/>
    <m/>
    <m/>
    <m/>
    <n v="10"/>
    <m/>
    <m/>
    <s v="DTP nécessité de l4intervention de l'editeur"/>
    <x v="1"/>
    <m/>
    <m/>
    <x v="6"/>
    <s v="Unix"/>
    <e v="#N/A"/>
    <e v="#N/A"/>
    <m/>
    <s v="Unix"/>
    <s v="22/04/2130"/>
    <e v="#N/A"/>
    <m/>
    <x v="0"/>
    <x v="9"/>
    <x v="0"/>
  </r>
  <r>
    <s v="81.192.11.189/0/generic-tcp-timestamp"/>
    <s v="81.192.11.189"/>
    <x v="29"/>
    <m/>
    <s v="Not Fixed"/>
    <m/>
    <m/>
    <s v="Linux"/>
    <s v="4.1.12-37.4.1.el6uek.x86_64"/>
    <n v="0"/>
    <s v="System"/>
    <s v=""/>
    <n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m/>
    <m/>
    <m/>
    <m/>
    <m/>
    <n v="10"/>
    <m/>
    <m/>
    <s v="Fixed"/>
    <x v="1"/>
    <s v="22/04"/>
    <m/>
    <x v="6"/>
    <s v="Unix"/>
    <e v="#N/A"/>
    <e v="#N/A"/>
    <m/>
    <s v="Unix"/>
    <s v="22/04/2131"/>
    <e v="#N/A"/>
    <m/>
    <x v="0"/>
    <x v="0"/>
    <x v="0"/>
  </r>
  <r>
    <s v="81.192.11.189/123/ntp-r7-2014-12-reslist-drdos"/>
    <s v="81.192.11.189"/>
    <x v="29"/>
    <m/>
    <s v="Not Fixed"/>
    <m/>
    <m/>
    <s v="Linux"/>
    <s v="4.1.12-37.4.1.el6uek.x86_64"/>
    <n v="123"/>
    <s v="NTP"/>
    <s v="NTP 4.2.6p5@1.2349-o"/>
    <n v="5"/>
    <x v="1"/>
    <s v="ntp-r7-2014-12-reslist-drdos"/>
    <s v="NTP: Traffic Amplification in reslist feature of ntpd"/>
    <s v="An NTP private (mode 7) message for the XNTPD_OLD (2) and XNTPD (3) implementation with the GET_RESTRICT (16) request code will return the list of hosts/networks that have particular restrictions applied to them, splitting said response over several full-length packets if necessary, allowing a DRDoS attack to be conducted. The more peers in use, the more severe the potential DDRoS can be."/>
    <s v="Disable NTP queries_x000d__x000a__x000d__x000a__x000d__x000a_ Apply a restrict option to all hosts that are not authorized to perform NTP queries. For example, to deny query requests from all clients, put the following in the NTP configuration file, typically /etc/ntp.conf, and restart the NTP service: _x000d__x000a__x000d__x000a_ restrict default nomodify nopeer noquery notrap"/>
    <s v="* Running NTP service_x000d__x000a__x000d__x000a__x000d__x000a_One 8-byte NTP version 2 mode 7 implementation 3 code 16 request with 0-byte payload resulted in no packet amplification and a 336-byte bandwidth amplification:_x000d__x000a_ * 344-byte NTP version 2 mode 7 implementation 3 code 16 response with 336-byte payload_x000d__x000a__x000d__x000a__x000d__x000a_One 8-byte NTP version 2 mode 7 implementation 2 code 16 request with 0-byte payload resulted in no packet amplification and a 48-byte bandwidth amplification:_x000d__x000a_ * 56-byte NTP version 2 mode 7 implementation 2 code 16 response with 48-byte payload_x000d__x000a__x000d__x000a__x000d__x000a_One 8-byte NTP version 3 mode 7 implementation 3 code 16 request with 0-byte payload resulted in no packet amplification and a 336-byte bandwidth amplification:_x000d__x000a_ * 344-byte NTP version 3 mode 7 implementation 3 code 16 response with 336-byte payload_x000d__x000a__x000d__x000a__x000d__x000a_One 8-byte NTP version 3 mode 7 implementation 2 code 16 request with 0-byte payload resulted in no packet amplification and a 48-byte bandwidth amplification:_x000d__x000a_ * 56-byte NTP version 3 mode 7 implementation 2 code 16 response with 48-byte payload_x000d__x000a__x000d__x000a__x000d__x000a_One 8-byte NTP version 4 mode 7 implementation 3 code 16 request with 0-byte payload resulted in no packet amplification and a 336-byte bandwidth amplification:_x000d__x000a_ * 344-byte NTP version 4 mode 7 implementation 3 code 16 response with 336-byte payload_x000d__x000a__x000d__x000a__x000d__x000a_One 8-byte NTP version 4 mode 7 implementation 2 code 16 request with 0-byte payload resulted in no packet amplification and a 48-byte bandwidth amplification:_x000d__x000a_ * 56-byte NTP version 4 mode 7 implementation 2 code 16 response with 48-byte payload"/>
    <s v="https://community.rapid7.com/community/metasploit/blog/2014/08/25/r7-2014-12-more-amplification-vulnerabilities-in-ntp-allow-even-more-drdos-attacks"/>
    <s v=""/>
    <s v=""/>
    <m/>
    <m/>
    <m/>
    <m/>
    <m/>
    <n v="10"/>
    <m/>
    <m/>
    <s v="Fixed"/>
    <x v="1"/>
    <s v="22/04"/>
    <m/>
    <x v="6"/>
    <s v="Unix"/>
    <e v="#N/A"/>
    <e v="#N/A"/>
    <m/>
    <s v="Unix"/>
    <s v="22/04/2132"/>
    <e v="#N/A"/>
    <m/>
    <x v="0"/>
    <x v="0"/>
    <x v="0"/>
  </r>
  <r>
    <s v="81.192.11.189/80/apache-httpd-cve-2016-8743"/>
    <s v="81.192.11.189"/>
    <x v="29"/>
    <m/>
    <s v="Not Fixed"/>
    <m/>
    <m/>
    <s v="Linux"/>
    <s v="4.1.12-37.4.1.el6uek.x86_64"/>
    <n v="80"/>
    <s v="HTTP"/>
    <s v="HTTPD 2.2.15"/>
    <n v="5"/>
    <x v="1"/>
    <s v="apache-httpd-cve-2016-8743"/>
    <s v="Apache HTTPD: Apache HTTP Request Parsing Whitespace Defects (CVE-2016-8743)"/>
    <s v="Apache HTTP Server, prior to release 2.4.25 (2.2.32),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quot;the_request&quo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 RFC7230 Section 3.5 calls out some of these whitespace exceptions, and section 3.2.3 eliminated and clarified the role of implied whitespace in the grammer of this specification. Section 3.1.1 requires exactly one single SP between the method and request-target, and between the request-target and HTTP-version, followed immediately by a CRLF sequence. None of these fields permit any (unencoded) CTL character whatsoever. Section 3.2.4 explicitly disallowed any whitespace from the request header field prior to the ':' character, while Section 3.2 disallows all CTL characters in the request header line other than the HTAB character as whitespace. These defects represent a security concern when httpd is participating in any chain of proxies or interacting with back-end application servers, either through mod_proxy or using conventional CGI mechanisms. In each case where one agent accepts such CTL characters and does not treat them as whitespace, there is the possiblity in a proxy chain of generating two responses from a server behind the uncautious proxy agent. In a sequence of two requests, this results in request A to the first proxy being interpreted as requests A + A' by the backend server, and if requests A and B were submitted to the first proxy in a keepalive connection, the proxy may interpret response A' as the response to request B, polluting the cache or potentially serving the A' content to a different downstream user-agent. These defects are addressed with the release of Apache HTTP Server 2.4.25 and coordinated by a new directive; HttpProtocolOptions Strict which is the default behavior of 2.4.25 and later. By toggling from 'Strict' behavior to 'Unsafe' behavior, some of the restrictions may be relaxed to allow some invalid HTTP/1.1 clients to communicate with the server, but this will reintroduce the possibility of the problems described in this assessment. Note that relaxing the behavior to 'Unsafe' will still not permit raw CTLs other than HTAB (where permitted), but will allow other RFC requirements to not be enforced, such as exactly two SP characters in the request line."/>
    <s v="* Apache HTTPD &gt;= 2.2 and &lt; 2.2.32_x000d__x000a_      Upgrade to Apache HTTPD version 2.2.32_x000d__x000a__x000d__x000a_      Download and apply the upgrade from:  http://archive.apache.org/dist/httpd/httpd-2.2.3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5_x000d__x000a_      Upgrade to Apache HTTPD version 2.4.25_x000d__x000a__x000d__x000a_      Download and apply the upgrade from:  http://archive.apache.org/dist/httpd/httpd-2.4.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6-8743"/>
    <s v="http://nvd.nist.gov/vuln/detail/CVE-2016-8743"/>
    <m/>
    <m/>
    <m/>
    <m/>
    <m/>
    <n v="10"/>
    <m/>
    <m/>
    <s v="DTP nécessité de l4intervention de l'editeur"/>
    <x v="1"/>
    <m/>
    <m/>
    <x v="6"/>
    <s v="Unix"/>
    <e v="#N/A"/>
    <e v="#N/A"/>
    <m/>
    <s v="Unix"/>
    <s v="22/04/2133"/>
    <e v="#N/A"/>
    <m/>
    <x v="0"/>
    <x v="9"/>
    <x v="0"/>
  </r>
  <r>
    <s v="81.192.11.189/443/apache-httpd-cve-2016-8743"/>
    <s v="81.192.11.189"/>
    <x v="29"/>
    <m/>
    <s v="Not Fixed"/>
    <m/>
    <m/>
    <s v="Linux"/>
    <s v="4.1.12-37.4.1.el6uek.x86_64"/>
    <n v="443"/>
    <s v="HTTPS"/>
    <s v="HTTPD 2.2.15"/>
    <n v="5"/>
    <x v="1"/>
    <s v="apache-httpd-cve-2016-8743"/>
    <s v="Apache HTTPD: Apache HTTP Request Parsing Whitespace Defects (CVE-2016-8743)"/>
    <s v="Apache HTTP Server, prior to release 2.4.25 (2.2.32),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quot;the_request&quo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 RFC7230 Section 3.5 calls out some of these whitespace exceptions, and section 3.2.3 eliminated and clarified the role of implied whitespace in the grammer of this specification. Section 3.1.1 requires exactly one single SP between the method and request-target, and between the request-target and HTTP-version, followed immediately by a CRLF sequence. None of these fields permit any (unencoded) CTL character whatsoever. Section 3.2.4 explicitly disallowed any whitespace from the request header field prior to the ':' character, while Section 3.2 disallows all CTL characters in the request header line other than the HTAB character as whitespace. These defects represent a security concern when httpd is participating in any chain of proxies or interacting with back-end application servers, either through mod_proxy or using conventional CGI mechanisms. In each case where one agent accepts such CTL characters and does not treat them as whitespace, there is the possiblity in a proxy chain of generating two responses from a server behind the uncautious proxy agent. In a sequence of two requests, this results in request A to the first proxy being interpreted as requests A + A' by the backend server, and if requests A and B were submitted to the first proxy in a keepalive connection, the proxy may interpret response A' as the response to request B, polluting the cache or potentially serving the A' content to a different downstream user-agent. These defects are addressed with the release of Apache HTTP Server 2.4.25 and coordinated by a new directive; HttpProtocolOptions Strict which is the default behavior of 2.4.25 and later. By toggling from 'Strict' behavior to 'Unsafe' behavior, some of the restrictions may be relaxed to allow some invalid HTTP/1.1 clients to communicate with the server, but this will reintroduce the possibility of the problems described in this assessment. Note that relaxing the behavior to 'Unsafe' will still not permit raw CTLs other than HTAB (where permitted), but will allow other RFC requirements to not be enforced, such as exactly two SP characters in the request line."/>
    <s v="* Apache HTTPD &gt;= 2.2 and &lt; 2.2.32_x000d__x000a_      Upgrade to Apache HTTPD version 2.2.32_x000d__x000a__x000d__x000a_      Download and apply the upgrade from:  http://archive.apache.org/dist/httpd/httpd-2.2.32.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5_x000d__x000a_      Upgrade to Apache HTTPD version 2.4.25_x000d__x000a__x000d__x000a_      Download and apply the upgrade from:  http://archive.apache.org/dist/httpd/httpd-2.4.2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6-8743"/>
    <s v="http://nvd.nist.gov/vuln/detail/CVE-2016-8743"/>
    <m/>
    <m/>
    <m/>
    <m/>
    <m/>
    <n v="10"/>
    <m/>
    <m/>
    <s v="DTP nécessité de l4intervention de l'editeur"/>
    <x v="1"/>
    <m/>
    <m/>
    <x v="6"/>
    <s v="Unix"/>
    <e v="#N/A"/>
    <e v="#N/A"/>
    <m/>
    <s v="Unix"/>
    <s v="22/04/2134"/>
    <e v="#N/A"/>
    <m/>
    <x v="0"/>
    <x v="9"/>
    <x v="0"/>
  </r>
  <r>
    <s v="81.192.11.189/80/apache-httpd-cve-2011-0419"/>
    <s v="81.192.11.189"/>
    <x v="29"/>
    <m/>
    <s v="Not Fixed"/>
    <m/>
    <m/>
    <s v="Linux"/>
    <s v="4.1.12-37.4.1.el6uek.x86_64"/>
    <n v="80"/>
    <s v="HTTP"/>
    <s v="HTTPD 2.2.15"/>
    <n v="4"/>
    <x v="1"/>
    <s v="apache-httpd-cve-2011-0419"/>
    <s v="Apache HTTPD: apr_fnmatch flaw leads to mod_autoindex remote DoS (CVE-2011-0419)"/>
    <s v="The affected asset is vulnerable to this vulnerability ONLY if it is running one of the following modules: mod_autoindex. Review your web server configuration for validation. A flaw was found in the apr_fnmatch() function of the bundled APR library. Where mod_autoindex is enabled, and a directory indexed by mod_autoindex contained files with sufficiently long names, a remote attacker could send a carefully crafted request which would cause excessive CPU usage. This could be used in a denial of service attack. Workaround: Setting the 'IgnoreClient' option to the 'IndexOptions' directive disables processing of the client-supplied request query arguments, preventing this attack. Resolution: Update APR to release 1.4.5 (bundled with httpd 2.2.19) or release 0.9.20 (bundled with httpd 2.0.65)"/>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9_x000d__x000a_      Upgrade to Apache HTTPD version 2.2.19_x000d__x000a__x000d__x000a_      Download and apply the upgrade from:  http://archive.apache.org/dist/httpd/httpd-2.2.1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0.html,http://httpd.apache.org/security/vulnerabilities_22.html"/>
    <s v="CVE-2011-0419"/>
    <s v="http://nvd.nist.gov/vuln/detail/CVE-2011-0419"/>
    <m/>
    <m/>
    <m/>
    <m/>
    <m/>
    <n v="10"/>
    <m/>
    <m/>
    <s v="DTP nécessité de l4intervention de l'editeur"/>
    <x v="1"/>
    <m/>
    <m/>
    <x v="6"/>
    <s v="Unix"/>
    <e v="#N/A"/>
    <e v="#N/A"/>
    <m/>
    <s v="Unix"/>
    <s v="22/04/2135"/>
    <e v="#N/A"/>
    <m/>
    <x v="0"/>
    <x v="9"/>
    <x v="0"/>
  </r>
  <r>
    <s v="81.192.11.189/443/apache-httpd-cve-2011-0419"/>
    <s v="81.192.11.189"/>
    <x v="29"/>
    <m/>
    <s v="Not Fixed"/>
    <m/>
    <m/>
    <s v="Linux"/>
    <s v="4.1.12-37.4.1.el6uek.x86_64"/>
    <n v="443"/>
    <s v="HTTPS"/>
    <s v="HTTPD 2.2.15"/>
    <n v="4"/>
    <x v="1"/>
    <s v="apache-httpd-cve-2011-0419"/>
    <s v="Apache HTTPD: apr_fnmatch flaw leads to mod_autoindex remote DoS (CVE-2011-0419)"/>
    <s v="The affected asset is vulnerable to this vulnerability ONLY if it is running one of the following modules: mod_autoindex. Review your web server configuration for validation. A flaw was found in the apr_fnmatch() function of the bundled APR library. Where mod_autoindex is enabled, and a directory indexed by mod_autoindex contained files with sufficiently long names, a remote attacker could send a carefully crafted request which would cause excessive CPU usage. This could be used in a denial of service attack. Workaround: Setting the 'IgnoreClient' option to the 'IndexOptions' directive disables processing of the client-supplied request query arguments, preventing this attack. Resolution: Update APR to release 1.4.5 (bundled with httpd 2.2.19) or release 0.9.20 (bundled with httpd 2.0.65)"/>
    <s v="* Apache HTTPD &gt;= 2.0 and &lt; 2.0.65_x000d__x000a_      Upgrade to Apache HTTPD version 2.0.65_x000d__x000a__x000d__x000a_      Download and apply the upgrade from:  http://archive.apache.org/dist/httpd/httpd-2.0.65.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2 and &lt; 2.2.19_x000d__x000a_      Upgrade to Apache HTTPD version 2.2.19_x000d__x000a__x000d__x000a_      Download and apply the upgrade from:  http://archive.apache.org/dist/httpd/httpd-2.2.19.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0.html,http://httpd.apache.org/security/vulnerabilities_22.html"/>
    <s v="CVE-2011-0419"/>
    <s v="http://nvd.nist.gov/vuln/detail/CVE-2011-0419"/>
    <m/>
    <m/>
    <m/>
    <m/>
    <m/>
    <n v="10"/>
    <m/>
    <m/>
    <s v="DTP nécessité de l4intervention de l'editeur"/>
    <x v="1"/>
    <m/>
    <m/>
    <x v="6"/>
    <s v="Unix"/>
    <e v="#N/A"/>
    <e v="#N/A"/>
    <m/>
    <s v="Unix"/>
    <s v="22/04/2136"/>
    <e v="#N/A"/>
    <m/>
    <x v="0"/>
    <x v="9"/>
    <x v="0"/>
  </r>
  <r>
    <s v="81.192.11.189/80/apache-httpd-cve-2017-7679"/>
    <s v="81.192.11.189"/>
    <x v="29"/>
    <m/>
    <s v="Not Fixed"/>
    <m/>
    <m/>
    <s v="Linux"/>
    <s v="4.1.12-37.4.1.el6uek.x86_64"/>
    <n v="80"/>
    <s v="HTTP"/>
    <s v="HTTPD 2.2.15"/>
    <n v="8"/>
    <x v="2"/>
    <s v="apache-httpd-cve-2017-7679"/>
    <s v="Apache HTTPD: mod_mime Buffer Overread (CVE-2017-7679)"/>
    <s v="The affected asset is vulnerable to this vulnerability ONLY if it is running one of the following modules: mod_mime. Review your web server configuration for validation. mod_mime can read one byte past the end of a buffer when sending a malicious Content-Type response header."/>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6_x000d__x000a_      Upgrade to Apache HTTPD version 2.4.26_x000d__x000a__x000d__x000a_      Download and apply the upgrade from:  http://archive.apache.org/dist/httpd/httpd-2.4.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 service_x000d__x000a__x000d__x000a_ * Product HTTPD exists -- Apache HTTPD 2.2.15_x000d__x000a__x000d__x000a_ * Vulnerable version of product HTTPD found -- Apache HTTPD 2.2.15"/>
    <s v="http://httpd.apache.org/security/vulnerabilities_22.html,http://httpd.apache.org/security/vulnerabilities_24.html"/>
    <s v="CVE-2017-7679"/>
    <s v="http://nvd.nist.gov/vuln/detail/CVE-2017-7679"/>
    <m/>
    <m/>
    <m/>
    <m/>
    <m/>
    <n v="10"/>
    <m/>
    <m/>
    <s v="DTP nécessité de l4intervention de l'editeur"/>
    <x v="1"/>
    <m/>
    <m/>
    <x v="6"/>
    <s v="Unix"/>
    <e v="#N/A"/>
    <e v="#N/A"/>
    <m/>
    <s v="Unix"/>
    <s v="22/04/2137"/>
    <e v="#N/A"/>
    <m/>
    <x v="0"/>
    <x v="9"/>
    <x v="0"/>
  </r>
  <r>
    <s v="81.192.11.189/443/apache-httpd-cve-2017-7679"/>
    <s v="81.192.11.189"/>
    <x v="29"/>
    <m/>
    <s v="Not Fixed"/>
    <m/>
    <m/>
    <s v="Linux"/>
    <s v="4.1.12-37.4.1.el6uek.x86_64"/>
    <n v="443"/>
    <s v="HTTPS"/>
    <s v="HTTPD 2.2.15"/>
    <n v="8"/>
    <x v="2"/>
    <s v="apache-httpd-cve-2017-7679"/>
    <s v="Apache HTTPD: mod_mime Buffer Overread (CVE-2017-7679)"/>
    <s v="The affected asset is vulnerable to this vulnerability ONLY if it is running one of the following modules: mod_mime. Review your web server configuration for validation. mod_mime can read one byte past the end of a buffer when sending a malicious Content-Type response header."/>
    <s v="* Apache HTTPD &gt;= 2.2 and &lt; 2.2.34_x000d__x000a_      Upgrade to Apache HTTPD version 2.2.34_x000d__x000a__x000d__x000a_      Download and apply the upgrade from:  http://archive.apache.org/dist/httpd/httpd-2.2.34.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_x000d__x000a__x000d__x000a__x000d__x000a__x000d__x000a_ * Apache HTTPD &gt;= 2.4 and &lt; 2.4.26_x000d__x000a_      Upgrade to Apache HTTPD version 2.4.26_x000d__x000a__x000d__x000a_      Download and apply the upgrade from:  http://archive.apache.org/dist/httpd/httpd-2.4.26.tar.gz _x000d__x000a__x000d__x000a_      _x000d__x000a_      Many platforms and distributions provide pre-built binary packages for Apache HTTP server. These pre-built packages are usually customized and optimized for a particular distribution, therefore we recommend that you use the packages if they are available for your operating system."/>
    <s v="* Running HTTPS service_x000d__x000a__x000d__x000a_ * Product HTTPD exists -- Apache HTTPD 2.2.15_x000d__x000a__x000d__x000a_ * Vulnerable version of product HTTPD found -- Apache HTTPD 2.2.15"/>
    <s v="http://httpd.apache.org/security/vulnerabilities_22.html,http://httpd.apache.org/security/vulnerabilities_24.html"/>
    <s v="CVE-2017-7679"/>
    <s v="http://nvd.nist.gov/vuln/detail/CVE-2017-7679"/>
    <m/>
    <m/>
    <m/>
    <m/>
    <m/>
    <n v="10"/>
    <m/>
    <m/>
    <s v="DTP nécessité de l4intervention de l'editeur"/>
    <x v="1"/>
    <m/>
    <m/>
    <x v="6"/>
    <s v="Unix"/>
    <e v="#N/A"/>
    <e v="#N/A"/>
    <m/>
    <s v="Unix"/>
    <s v="22/04/2138"/>
    <e v="#N/A"/>
    <m/>
    <x v="0"/>
    <x v="9"/>
    <x v="0"/>
  </r>
  <r>
    <s v="81.192.11.148/443/adobe-apsb13-03-cve-2013-0631"/>
    <s v="81.192.11.148"/>
    <x v="9"/>
    <s v="172.20.60.251"/>
    <s v="Not Fixed"/>
    <m/>
    <m/>
    <s v="Microsoft Windows"/>
    <s v="3.11"/>
    <s v="443"/>
    <s v="HTTPS"/>
    <m/>
    <s v="5"/>
    <x v="1"/>
    <s v="adobe-apsb13-03-cve-2013-0631"/>
    <s v="APSB13-03: Security updates available for Adobe ColdFusion (CVE-2013-0631)"/>
    <s v="Adobe ColdFusion 9.0, 9.0.1, and 9.0.2 allows attackers to obtain sensitive information via unspecified vectors, as exploited in the wild in January 2013."/>
    <s v="Apply hotfix, remove suspicious files and apply ColdFusion hardening steps_x000d__x000a__x000d__x000a__x000d__x000a_ Adobe recommends ColdFusion customers update their installation using the instructions provided in the technote  APSB13-03 technote (http://helpx.adobe.com/coldfusion/kb/coldfusion-security-hotfix-apsb13-03.html) . _x000d__x000a__x000d__x000a_ Customers should also inspect files and scheduled tasks of unknown origin located in the CFIDE, CFIDE/adminapi or webroot directories, and remove any suspicious files (some examples of malicious file names include h.cfm, i.cfm, h9.cfm, r.cfm, adss.cfm or fusebox.cfm). _x000d__x000a__x000d__x000a_ Additionally, Adobe recommends that customers follow security best practices, which include the following steps to harden their ColdFusion server: _x000d__x000a_ *  Configure a username and password for Remote Development Services (RDS) that is different from the Administrator account. After configuring the RDS account, users should disable RDS if not needed. _x000d__x000a__x000d__x000a_ *  Disable external access to the following directories for all hosted sites: _x000d__x000a_    * /CFIDE/administrator_x000d__x000a__x000d__x000a_    * /CFIDE/adminapi_x000d__x000a__x000d__x000a_    * /CFIDE/componentutils_x000d__x000a__x000d__x000a__x000d__x000a_ *  Implement access control restrictions for the Administrator interface and internal applications via the Administrator Console (in ColdFusion version 10) or within your web server's access control mechanisms for versions 9.0.2 and below. _x000d__x000a__x000d__x000a_ *  Ensure your ColdFusion product has the latest hotfix applied. _x000d__x000a__x000d__x000a_ *  Refer to the ColdFusion 9 Lockdown Guide and ColdFusion 10 Lockdown Guide for security best practices and further information on these hardening techniques."/>
    <s v="* Running HTTPS service_x000d__x000a__x000d__x000a_Based on the following 2 results:_x000d__x000a_ * _x000d__x000a_      _x000d__x000a_      _x000d__x000a__x000d__x000a__x000d__x000a_ * _x000d__x000a_      _x000d__x000a_      _x000d__x000a_      _x000d__x000a_      HTTP GET request to  https://81.192.11.148/CFIDE/adminapi/customtags/fusebox.cfm _x000d__x000a_HTTP response code was an expected 200"/>
    <s v="http://www.adobe.com/support/security/bulletins/apsb13-03.html"/>
    <s v="CVE-2013-0631"/>
    <s v="http://nvd.nist.gov/vuln/detail/CVE-2013-0631"/>
    <s v="2013-01-15"/>
    <m/>
    <m/>
    <m/>
    <m/>
    <m/>
    <m/>
    <m/>
    <s v="Point escaladé à La CDG pour intervention de l'éditeur (HFM)"/>
    <x v="1"/>
    <m/>
    <m/>
    <x v="6"/>
    <s v="Unix"/>
    <e v="#N/A"/>
    <e v="#N/A"/>
    <m/>
    <s v="Unix"/>
    <m/>
    <m/>
    <m/>
    <x v="1"/>
    <x v="6"/>
    <x v="0"/>
  </r>
  <r>
    <s v="81.192.11.171/0/generic-tcp-timestamp"/>
    <s v="81.192.11.171"/>
    <x v="30"/>
    <m/>
    <s v="Not Fixed"/>
    <m/>
    <m/>
    <s v="Linux"/>
    <s v="3.11"/>
    <s v="0"/>
    <s v="System"/>
    <m/>
    <s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s v="1997-08-01"/>
    <m/>
    <m/>
    <m/>
    <m/>
    <m/>
    <m/>
    <m/>
    <s v="Not Fixed 'Encours d'investigation) "/>
    <x v="1"/>
    <m/>
    <m/>
    <x v="6"/>
    <s v="Unix"/>
    <e v="#N/A"/>
    <e v="#N/A"/>
    <m/>
    <s v="Unix"/>
    <m/>
    <m/>
    <m/>
    <x v="1"/>
    <x v="3"/>
    <x v="0"/>
  </r>
  <r>
    <s v="81.192.11.171/443/certificate-common-name-mismatch"/>
    <s v="81.192.11.171"/>
    <x v="30"/>
    <m/>
    <s v="Not Fixed"/>
    <m/>
    <m/>
    <s v="Linux"/>
    <s v="3.11"/>
    <s v="443"/>
    <s v="HTTPS"/>
    <m/>
    <s v="7"/>
    <x v="2"/>
    <s v="certificate-common-name-mismatch"/>
    <s v="X.509 Certificate Subject CN Does Not Match the Entity Name"/>
    <s v="The subject common name (CN) field in the X.509 certificate does not match the name of the entity presenting the certificate._x000d__x000a__x000d__x000a_Before issuing a certificate, a Certification Authority (CA) must check the identity of the entity requesting the certificate, as specified in the CA's Certification Practice Statement (CPS). Thus, standard certificate validation procedures require the subject CN field of a certificate to match the actual name of the entity presenting the certificate. For example, in a certificate presented by &quot;https://www.example.com/&quot;, the CN should be &quot;www.example.com&quot;. _x000d__x000a__x000d__x000a_In order to detect and prevent active eavesdropping attacks, the validity of a certificate must be verified, or else an attacker could then launch a man-in-the-middle attack and gain full control of the data stream. Of particular importance is the validity of the subject's CN, that should match the name of the entity (hostname)._x000d__x000a__x000d__x000a_A CN mismatch most often occurs due to a configuration error, though it can also indicate that a man-in-the-middle attack is being conducted. _x000d__x000a__x000d__x000a_Please note that this check may flag a false positive against servers that are properly configured using SNI."/>
    <s v="Fix the subject's Common Name (CN) field in the certificate_x000d__x000a__x000d__x000a_ The subject's common name (CN) field in the X.509 certificate should be fixed to reflect the name of the entity presenting the certificate (e.g., the hostname). This is done by generating a new certificate usually signed by a Certification Authority (CA) trusted by both the client and server."/>
    <s v="The subject common name found in the X.509 certificate does not seem to match the scan target:_x000d__x000a_ * Subject CN *.cdgdev.ma does not match target name specified in the site._x000d__x000a__x000d__x000a_ * Subject CN *.cdgdev.ma does not match DNS name specified in the site._x000d__x000a__x000d__x000a_ * Subject CN *.cdgdev.ma could not be resolved to an IP address via DNS lookup_x000d__x000a__x000d__x000a_ * Subject Alternative Name *.cdgdev.ma does not match target name specified in the site._x000d__x000a__x000d__x000a_ * Subject Alternative Name cdgdev.ma does not match target name specified in the site._x000d__x000a__x000d__x000a_ * Subject Alternative Name *.cdgdev.ma does not match DNS name specified in the site._x000d__x000a__x000d__x000a_ * Subject Alternative Name cdgdev.ma does not match DNS name specified in the site."/>
    <s v=""/>
    <s v=""/>
    <s v=""/>
    <s v="2007-08-03"/>
    <m/>
    <m/>
    <m/>
    <m/>
    <m/>
    <m/>
    <m/>
    <s v="Fixed"/>
    <x v="1"/>
    <m/>
    <m/>
    <x v="6"/>
    <s v="Unix"/>
    <e v="#N/A"/>
    <e v="#N/A"/>
    <m/>
    <s v="Unix"/>
    <m/>
    <m/>
    <m/>
    <x v="1"/>
    <x v="0"/>
    <x v="0"/>
  </r>
  <r>
    <s v="81.192.11.171/443/http-cookie-secure-flag"/>
    <s v="81.192.11.171"/>
    <x v="30"/>
    <m/>
    <s v="Not Fixed"/>
    <m/>
    <m/>
    <s v="Linux"/>
    <s v="3.11"/>
    <s v="443"/>
    <s v="HTTPS"/>
    <m/>
    <s v="5"/>
    <x v="1"/>
    <s v="http-cookie-secure-flag"/>
    <s v="Missing Secure Flag From SSL Cookie"/>
    <s v="The Secure attribute tells the browser to only send the cookie if the request is being sent over a secure channel such as HTTPS. This will help protect the cookie from being passed over unencrypted requests. If the application can be accessed over both HTTP and HTTPS, then there is the potential that the cookie can be sent in clear text."/>
    <s v="Add the Secure flag to cookies sent over SSL_x000d__x000a__x000d__x000a__x000d__x000a_For each cookie sent over SSL in your web-site, add the &quot;Secure&quot; flag to the cookie. For example:_x000d__x000a__x000d__x000a__x000d__x000a_Set-Cookie: &lt;name&gt;=&lt;value&gt;[; &lt;Max-Age&gt;=&lt;age&gt;] [; expires=&lt;date&gt;][; domain=&lt;domain_name&gt;] [; path=&lt;some_path&gt;][; secure][; HttpOnly]"/>
    <s v="Cookie is not marked as secure: 'atexoDemande=56aqavdjkf5b4787n8rdrotnjl; path=/; httponly; domain=81.192.11.171'_x000d__x000a__x000d__x000a_URL:  https://81.192.11.171/"/>
    <s v="http://www.ietf.org/rfc/rfc2965.txt,https://www.owasp.org/index.php/Testing_for_cookies_attributes_%28OWASP-SM-002%29"/>
    <s v=""/>
    <s v=""/>
    <s v="2011-05-31"/>
    <m/>
    <m/>
    <m/>
    <m/>
    <m/>
    <m/>
    <m/>
    <s v="Not Fixed 'Encours d'investigation) "/>
    <x v="1"/>
    <m/>
    <m/>
    <x v="6"/>
    <s v="Unix"/>
    <e v="#N/A"/>
    <e v="#N/A"/>
    <m/>
    <s v="Unix"/>
    <m/>
    <m/>
    <m/>
    <x v="1"/>
    <x v="3"/>
    <x v="0"/>
  </r>
  <r>
    <s v="81.192.11.171/443/jquery-cve-2014-6071"/>
    <s v="81.192.11.171"/>
    <x v="30"/>
    <m/>
    <s v="Not Fixed"/>
    <m/>
    <m/>
    <s v="Linux"/>
    <s v="3.11"/>
    <s v="443"/>
    <s v="HTTPS"/>
    <m/>
    <s v="4"/>
    <x v="1"/>
    <s v="jquery-cve-2014-6071"/>
    <s v="jQuery Vulnerability: CVE-2014-6071"/>
    <s v="jQuery 1.4.2 allows remote attackers to conduct cross-site scripting (XSS) attacks via vectors related to use of the text method inside after."/>
    <s v="&lt; 1.11.1_x000d__x000a__x000d__x000a_Upgrade to jQuery version 1.11.1_x000d__x000a__x000d__x000a_Download and apply the upgrade from:  https://jquery.com/download/"/>
    <s v="* Running HTTPS service_x000d__x000a__x000d__x000a_ * Vulnerable version of component jQuery found -- jQuery 1.9.1"/>
    <s v=""/>
    <s v="CVE-2014-6071"/>
    <s v="http://nvd.nist.gov/vuln/detail/CVE-2014-6071"/>
    <s v="2018-01-16"/>
    <m/>
    <m/>
    <m/>
    <m/>
    <m/>
    <m/>
    <m/>
    <s v="Not Fixed 'Encours d'investigation) "/>
    <x v="1"/>
    <m/>
    <m/>
    <x v="6"/>
    <s v="Unix"/>
    <e v="#N/A"/>
    <e v="#N/A"/>
    <m/>
    <s v="Unix"/>
    <m/>
    <m/>
    <m/>
    <x v="1"/>
    <x v="3"/>
    <x v="0"/>
  </r>
  <r>
    <s v="81.192.11.172/0/generic-tcp-timestamp"/>
    <s v="81.192.11.172"/>
    <x v="20"/>
    <s v="10.8.0.22"/>
    <s v="Not Fixed"/>
    <m/>
    <m/>
    <s v="Tandberg Linux"/>
    <s v="X12.7.1"/>
    <s v="0"/>
    <s v="System"/>
    <m/>
    <s v="1"/>
    <x v="0"/>
    <s v="generic-tcp-timestamp"/>
    <s v="TCP timestamp response"/>
    <s v="The remote host responded with a TCP timestamp. The TCP timestamp response can be used to approximate the remote host's uptime, potentially aiding in further attacks. Additionally, some operating systems can be fingerprinted based on the behavior of their TCP timestamps."/>
    <s v="* Cisco_x000d__x000a_      Disable TCP timestamp responses on Cisco_x000d__x000a__x000d__x000a_      _x000d__x000a_       Run the following command to disable TCP timestamps: _x000d__x000a__x000d__x000a_       no ip tcp timestamp _x000d__x000a__x000d__x000a__x000d__x000a__x000d__x000a_ * FreeBSD_x000d__x000a_      Disable TCP timestamp responses on Free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Linux_x000d__x000a_      Disable TCP timestamp responses on Linux_x000d__x000a__x000d__x000a_      _x000d__x000a_       Set the value of net.ipv4.tcp_timestamps to 0 by running the following command: _x000d__x000a__x000d__x000a_       sysctl -w net.ipv4.tcp_timestamps=0 _x000d__x000a__x000d__x000a_       Additionally, put the following value in the default sysctl configuration file, generally sysctl.conf: _x000d__x000a__x000d__x000a_       net.ipv4.tcp_timestamps=0 _x000d__x000a__x000d__x000a__x000d__x000a__x000d__x000a_ * OpenBSD_x000d__x000a_      Disable TCP timestamp responses on OpenBSD_x000d__x000a__x000d__x000a_      _x000d__x000a_       Set the value of net.inet.tcp.rfc1323 to 0 by running the following command: _x000d__x000a__x000d__x000a_       sysctl -w net.inet.tcp.rfc1323=0 _x000d__x000a__x000d__x000a_       Additionally, put the following value in the default sysctl configuration file, generally sysctl.conf: _x000d__x000a__x000d__x000a_       net.inet.tcp.rfc1323=0 _x000d__x000a__x000d__x000a__x000d__x000a__x000d__x000a_ * Microsoft Windows NT, Microsoft Windows NT Workstation, Microsoft Windows NT Server, Microsoft Windows NT Advanced Server, Microsoft Windows NT Server, Enterprise Edition, Microsoft Windows NT Server, Terminal Server Edition, Microsoft Windows 95, Microsoft Windows 98, Microsoft Windows 98SE, Microsoft Windows ME, Microsoft Windows 2000, Microsoft Windows 2000 Professional, Microsoft Windows 2000 Server, Microsoft Windows 2000 Advanced Server, Microsoft Windows 2000 Datacenter Server, Microsoft Windows XP, Microsoft Windows XP Home, Microsoft Windows XP Professional, Microsoft Windows XP Tablet PC Edition, Microsoft Windows CE, Microsoft Windows Server 2003, Microsoft Windows Server 2003, Standard Edition, Microsoft Windows Server 2003, Enterprise Edition, Microsoft Windows Server 2003, Datacenter Edition, Microsoft Windows Server 2003, Web Edition, Microsoft Windows Small Business Server 2003, Microsoft Windows Server 2003 R2, Microsoft Windows Server 2003 R2, Standard Edition, Microsoft Windows Server 2003 R2, Enterprise Edition, Microsoft Windows Server 2003 R2, Datacenter Edition, Microsoft Windows Server 2003 R2, Web Edition, Microsoft Windows Small Business Server 2003 R2, Microsoft Windows Server 2003 R2, Express Edition, Microsoft Windows Server 2003 R2, Workgroup Edition_x000d__x000a_      Disable TCP timestamp responses on Windows versions before Vista_x000d__x000a__x000d__x000a_      _x000d__x000a_       Set the Tcp1323Opts value in the following key to 1: _x000d__x000a__x000d__x000a_       HKEY_LOCAL_MACHINE\System\CurrentControlSet\Services\Tcpip\Parameters _x000d__x000a__x000d__x000a__x000d__x000a__x000d__x000a_ * Microsoft Windows Server 2008, Microsoft Windows Server 2008 Standard Edition, Microsoft Windows Server 2008 Enterprise Edition, Microsoft Windows Server 2008 Datacenter Edition, Microsoft Windows Server 2008 HPC Edition, Microsoft Windows Server 2008 Web Edition, Microsoft Windows Server 2008 Storage Edition, Microsoft Windows Small Business Server 2008, Microsoft Windows Essential Business Server 2008, Microsoft Windows Server 2008 R2, Microsoft Windows Server 2008 R2, Standard Edition, Microsoft Windows Server 2008 R2, Enterprise Edition, Microsoft Windows Server 2008 R2, Datacenter Edition, Microsoft Windows Server 2008 R2, Web Edition, Microsoft Windows Server 2012, Microsoft Windows Server 2012 Standard Edition, Microsoft Windows Server 2012 Foundation Edition, Microsoft Windows Server 2012 Essentials Edition, Microsoft Windows Server 2012 Datacenter Edition, Microsoft Windows Storage Server 2012, Microsoft Windows Vista, Microsoft Windows Vista Home, Basic Edition, Microsoft Windows Vista Home, Basic N Edition, Microsoft Windows Vista Home, Premium Edition, Microsoft Windows Vista Ultimate Edition, Microsoft Windows Vista Enterprise Edition, Microsoft Windows Vista Business Edition, Microsoft Windows Vista Business N Edition, Microsoft Windows Vista Starter Edition, Microsoft Windows 7, Microsoft Windows 7 Home, Basic Edition, Microsoft Windows 7 Home, Basic N Edition, Microsoft Windows 7 Home, Premium Edition, Microsoft Windows 7 Home, Premium N Edition, Microsoft Windows 7 Ultimate Edition, Microsoft Windows 7 Ultimate N Edition, Microsoft Windows 7 Enterprise Edition, Microsoft Windows 7 Enterprise N Edition, Microsoft Windows 7 Professional Edition, Microsoft Windows 7 Starter Edition, Microsoft Windows 7 Starter N Edition, Microsoft Windows 8, Microsoft Windows 8 Enterprise Edition, Microsoft Windows 8 Professional Edition, Microsoft Windows 8 RT, Microsoft Windows Longhorn Server Beta_x000d__x000a_      Disable TCP timestamp responses on Windows versions since Vista_x000d__x000a__x000d__x000a_      _x000d__x000a_       TCP timestamps cannot be reliably disabled on this OS. If TCP timestamps present enough of a risk, put a firewall capable of blocking TCP timestamp packets in front of the affected assets."/>
    <s v="Able to determine system boot time."/>
    <s v="http://uptime.netcraft.com,http://www.forensicswiki.org/wiki/TCP_timestamps,http://www.ietf.org/rfc/rfc1323.txt"/>
    <s v=""/>
    <s v=""/>
    <s v="1997-08-01"/>
    <m/>
    <m/>
    <m/>
    <m/>
    <m/>
    <m/>
    <m/>
    <s v="Point escaladé à la CDG pour intervention de l'éditeur (ExpressWay)"/>
    <x v="1"/>
    <m/>
    <m/>
    <x v="6"/>
    <s v="Unix"/>
    <s v="Fixed"/>
    <s v="Network"/>
    <m/>
    <s v="Unix"/>
    <m/>
    <m/>
    <m/>
    <x v="1"/>
    <x v="7"/>
    <x v="0"/>
  </r>
  <r>
    <m/>
    <m/>
    <x v="31"/>
    <m/>
    <m/>
    <m/>
    <m/>
    <m/>
    <m/>
    <m/>
    <m/>
    <m/>
    <m/>
    <x v="4"/>
    <m/>
    <m/>
    <m/>
    <m/>
    <m/>
    <m/>
    <m/>
    <m/>
    <m/>
    <m/>
    <m/>
    <m/>
    <m/>
    <m/>
    <m/>
    <m/>
    <m/>
    <x v="1"/>
    <m/>
    <m/>
    <x v="7"/>
    <m/>
    <m/>
    <m/>
    <m/>
    <m/>
    <m/>
    <m/>
    <m/>
    <x v="1"/>
    <x v="1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204EDD-BCB7-452F-AAE5-AA96DF18083C}"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06:I215" firstHeaderRow="1" firstDataRow="2" firstDataCol="1" rowPageCount="1" colPageCount="1"/>
  <pivotFields count="4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3"/>
        <item x="2"/>
        <item x="1"/>
        <item x="0"/>
        <item h="1" x="4"/>
        <item h="1" m="1"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pivotField showAll="0"/>
    <pivotField axis="axisCol" numFmtId="16" multipleItemSelectionAllowed="1" showAll="0">
      <items count="114">
        <item x="0"/>
        <item x="1"/>
        <item h="1" x="7"/>
        <item x="2"/>
        <item x="3"/>
        <item x="4"/>
        <item x="5"/>
        <item h="1" x="6"/>
        <item h="1" m="1" x="104"/>
        <item h="1" m="1" x="9"/>
        <item h="1" m="1" x="17"/>
        <item h="1" m="1" x="25"/>
        <item h="1" m="1" x="35"/>
        <item h="1" m="1" x="44"/>
        <item h="1" m="1" x="52"/>
        <item h="1" m="1" x="61"/>
        <item h="1" m="1" x="54"/>
        <item h="1" m="1" x="63"/>
        <item h="1" m="1" x="73"/>
        <item h="1" m="1" x="83"/>
        <item h="1" m="1" x="90"/>
        <item h="1" m="1" x="98"/>
        <item h="1" m="1" x="108"/>
        <item h="1" m="1" x="12"/>
        <item h="1" m="1" x="19"/>
        <item h="1" m="1" x="27"/>
        <item h="1" m="1" x="21"/>
        <item h="1" m="1" x="30"/>
        <item h="1" m="1" x="39"/>
        <item h="1" m="1" x="48"/>
        <item h="1" m="1" x="57"/>
        <item h="1" m="1" x="66"/>
        <item h="1" m="1" x="76"/>
        <item h="1" m="1" x="85"/>
        <item h="1" m="1" x="92"/>
        <item h="1" m="1" x="100"/>
        <item h="1" m="1" x="94"/>
        <item h="1" m="1" x="103"/>
        <item h="1" m="1" x="8"/>
        <item h="1" m="1" x="16"/>
        <item h="1" m="1" x="24"/>
        <item h="1" m="1" x="33"/>
        <item h="1" m="1" x="42"/>
        <item h="1" m="1" x="50"/>
        <item h="1" m="1" x="59"/>
        <item h="1" m="1" x="69"/>
        <item h="1" m="1" x="62"/>
        <item h="1" m="1" x="72"/>
        <item h="1" m="1" x="81"/>
        <item h="1" m="1" x="89"/>
        <item h="1" m="1" x="97"/>
        <item h="1" m="1" x="107"/>
        <item h="1" m="1" x="11"/>
        <item h="1" m="1" x="18"/>
        <item h="1" m="1" x="26"/>
        <item h="1" m="1" x="36"/>
        <item h="1" m="1" x="28"/>
        <item h="1" m="1" x="37"/>
        <item h="1" m="1" x="46"/>
        <item h="1" m="1" x="55"/>
        <item h="1" m="1" x="64"/>
        <item h="1" m="1" x="74"/>
        <item h="1" m="1" x="84"/>
        <item h="1" m="1" x="91"/>
        <item h="1" m="1" x="99"/>
        <item h="1" m="1" x="110"/>
        <item h="1" m="1" x="101"/>
        <item h="1" m="1" x="111"/>
        <item h="1" m="1" x="14"/>
        <item h="1" m="1" x="22"/>
        <item h="1" m="1" x="31"/>
        <item h="1" m="1" x="40"/>
        <item h="1" m="1" x="49"/>
        <item h="1" m="1" x="58"/>
        <item h="1" m="1" x="68"/>
        <item h="1" m="1" x="78"/>
        <item h="1" m="1" x="70"/>
        <item h="1" m="1" x="79"/>
        <item h="1" m="1" x="87"/>
        <item h="1" m="1" x="95"/>
        <item h="1" m="1" x="105"/>
        <item h="1" m="1" x="10"/>
        <item h="1" m="1" x="45"/>
        <item h="1" m="1" x="53"/>
        <item h="1" m="1" x="82"/>
        <item h="1" m="1" x="109"/>
        <item h="1" m="1" x="13"/>
        <item h="1" m="1" x="20"/>
        <item h="1" m="1" x="29"/>
        <item h="1" m="1" x="38"/>
        <item h="1" m="1" x="47"/>
        <item h="1" m="1" x="56"/>
        <item h="1" m="1" x="65"/>
        <item h="1" m="1" x="75"/>
        <item h="1" m="1" x="67"/>
        <item h="1" m="1" x="77"/>
        <item h="1" m="1" x="86"/>
        <item h="1" m="1" x="93"/>
        <item h="1" m="1" x="102"/>
        <item h="1" m="1" x="112"/>
        <item h="1" m="1" x="15"/>
        <item h="1" m="1" x="23"/>
        <item h="1" m="1" x="32"/>
        <item h="1" m="1" x="41"/>
        <item h="1" m="1" x="34"/>
        <item h="1" m="1" x="43"/>
        <item h="1" m="1" x="51"/>
        <item h="1" m="1" x="60"/>
        <item h="1" m="1" x="71"/>
        <item h="1" m="1" x="80"/>
        <item h="1" m="1" x="88"/>
        <item h="1" m="1" x="96"/>
        <item h="1" m="1" x="106"/>
        <item t="default"/>
      </items>
    </pivotField>
    <pivotField showAll="0"/>
    <pivotField showAll="0"/>
    <pivotField showAll="0"/>
    <pivotField showAll="0"/>
    <pivotField showAll="0"/>
    <pivotField showAll="0"/>
    <pivotField showAll="0"/>
    <pivotField showAll="0"/>
    <pivotField showAll="0"/>
    <pivotField axis="axisRow" showAll="0" sortType="descending">
      <items count="45">
        <item m="1" x="24"/>
        <item h="1" x="1"/>
        <item x="0"/>
        <item m="1" x="34"/>
        <item m="1" x="17"/>
        <item m="1" x="25"/>
        <item m="1" x="42"/>
        <item m="1" x="32"/>
        <item m="1" x="20"/>
        <item m="1" x="38"/>
        <item m="1" x="23"/>
        <item m="1" x="27"/>
        <item m="1" x="19"/>
        <item m="1" x="12"/>
        <item m="1" x="29"/>
        <item m="1" x="14"/>
        <item x="10"/>
        <item m="1" x="28"/>
        <item m="1" x="11"/>
        <item m="1" x="41"/>
        <item m="1" x="15"/>
        <item m="1" x="40"/>
        <item m="1" x="35"/>
        <item m="1" x="33"/>
        <item m="1" x="22"/>
        <item m="1" x="31"/>
        <item m="1" x="37"/>
        <item m="1" x="30"/>
        <item m="1" x="13"/>
        <item m="1" x="26"/>
        <item x="7"/>
        <item m="1" x="16"/>
        <item m="1" x="18"/>
        <item m="1" x="21"/>
        <item m="1" x="39"/>
        <item m="1" x="43"/>
        <item x="2"/>
        <item x="4"/>
        <item m="1" x="36"/>
        <item x="6"/>
        <item x="3"/>
        <item x="8"/>
        <item h="1" x="9"/>
        <item h="1" x="5"/>
        <item t="default"/>
      </items>
      <autoSortScope>
        <pivotArea dataOnly="0" outline="0" fieldPosition="0">
          <references count="1">
            <reference field="4294967294" count="1" selected="0">
              <x v="0"/>
            </reference>
          </references>
        </pivotArea>
      </autoSortScope>
    </pivotField>
    <pivotField axis="axisPage" multipleItemSelectionAllowed="1" showAll="0">
      <items count="4">
        <item x="1"/>
        <item x="0"/>
        <item x="2"/>
        <item t="default"/>
      </items>
    </pivotField>
    <pivotField showAll="0">
      <items count="7">
        <item x="1"/>
        <item x="2"/>
        <item x="3"/>
        <item x="4"/>
        <item x="0"/>
        <item x="5"/>
        <item t="default"/>
      </items>
    </pivotField>
    <pivotField showAll="0">
      <items count="5">
        <item x="1"/>
        <item x="2"/>
        <item x="0"/>
        <item x="3"/>
        <item t="default"/>
      </items>
    </pivotField>
  </pivotFields>
  <rowFields count="1">
    <field x="44"/>
  </rowFields>
  <rowItems count="8">
    <i>
      <x v="2"/>
    </i>
    <i>
      <x v="30"/>
    </i>
    <i>
      <x v="40"/>
    </i>
    <i>
      <x v="36"/>
    </i>
    <i>
      <x v="41"/>
    </i>
    <i>
      <x v="39"/>
    </i>
    <i>
      <x v="37"/>
    </i>
    <i t="grand">
      <x/>
    </i>
  </rowItems>
  <colFields count="1">
    <field x="34"/>
  </colFields>
  <colItems count="7">
    <i>
      <x/>
    </i>
    <i>
      <x v="1"/>
    </i>
    <i>
      <x v="3"/>
    </i>
    <i>
      <x v="4"/>
    </i>
    <i>
      <x v="5"/>
    </i>
    <i>
      <x v="6"/>
    </i>
    <i t="grand">
      <x/>
    </i>
  </colItems>
  <pageFields count="1">
    <pageField fld="45" hier="-1"/>
  </pageFields>
  <dataFields count="1">
    <dataField name="Count of Vulnerability ID" fld="14" subtotal="count" baseField="0" baseItem="0"/>
  </dataFields>
  <formats count="8">
    <format dxfId="12">
      <pivotArea outline="0" collapsedLevelsAreSubtotals="1" fieldPosition="0"/>
    </format>
    <format dxfId="11">
      <pivotArea field="13" type="button" dataOnly="0" labelOnly="1" outline="0"/>
    </format>
    <format dxfId="10">
      <pivotArea type="topRight" dataOnly="0" labelOnly="1" outline="0" fieldPosition="0"/>
    </format>
    <format dxfId="9">
      <pivotArea dataOnly="0" labelOnly="1" grandCol="1" outline="0" fieldPosition="0"/>
    </format>
    <format dxfId="8">
      <pivotArea outline="0" collapsedLevelsAreSubtotals="1" fieldPosition="0"/>
    </format>
    <format dxfId="7">
      <pivotArea field="13" type="button" dataOnly="0" labelOnly="1" outline="0"/>
    </format>
    <format dxfId="6">
      <pivotArea type="topRight" dataOnly="0" labelOnly="1" outline="0" fieldPosition="0"/>
    </format>
    <format dxfId="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B610A8-36FF-4C16-8845-CF4CF84E3F30}"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69:J80" firstHeaderRow="1" firstDataRow="2" firstDataCol="1" rowPageCount="2" colPageCount="1"/>
  <pivotFields count="4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3"/>
        <item x="2"/>
        <item x="1"/>
        <item x="0"/>
        <item h="1" x="4"/>
        <item h="1" m="1"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pivotField showAll="0"/>
    <pivotField axis="axisCol" numFmtId="16" multipleItemSelectionAllowed="1" showAll="0">
      <items count="114">
        <item x="0"/>
        <item x="1"/>
        <item x="7"/>
        <item x="3"/>
        <item x="2"/>
        <item x="4"/>
        <item x="5"/>
        <item x="6"/>
        <item m="1" x="104"/>
        <item m="1" x="9"/>
        <item m="1" x="17"/>
        <item m="1" x="25"/>
        <item m="1" x="35"/>
        <item m="1" x="44"/>
        <item m="1" x="52"/>
        <item m="1" x="61"/>
        <item m="1" x="54"/>
        <item m="1" x="63"/>
        <item m="1" x="73"/>
        <item m="1" x="83"/>
        <item m="1" x="90"/>
        <item m="1" x="98"/>
        <item m="1" x="108"/>
        <item m="1" x="12"/>
        <item m="1" x="19"/>
        <item m="1" x="27"/>
        <item m="1" x="21"/>
        <item m="1" x="30"/>
        <item m="1" x="39"/>
        <item m="1" x="48"/>
        <item m="1" x="57"/>
        <item m="1" x="66"/>
        <item m="1" x="76"/>
        <item m="1" x="85"/>
        <item m="1" x="92"/>
        <item m="1" x="100"/>
        <item m="1" x="94"/>
        <item m="1" x="103"/>
        <item m="1" x="8"/>
        <item m="1" x="16"/>
        <item m="1" x="24"/>
        <item m="1" x="33"/>
        <item m="1" x="42"/>
        <item m="1" x="50"/>
        <item m="1" x="59"/>
        <item m="1" x="69"/>
        <item m="1" x="62"/>
        <item m="1" x="72"/>
        <item m="1" x="81"/>
        <item m="1" x="89"/>
        <item m="1" x="97"/>
        <item m="1" x="107"/>
        <item m="1" x="11"/>
        <item m="1" x="18"/>
        <item m="1" x="26"/>
        <item m="1" x="36"/>
        <item m="1" x="28"/>
        <item m="1" x="37"/>
        <item m="1" x="46"/>
        <item m="1" x="55"/>
        <item m="1" x="64"/>
        <item m="1" x="74"/>
        <item m="1" x="84"/>
        <item m="1" x="91"/>
        <item m="1" x="99"/>
        <item m="1" x="110"/>
        <item m="1" x="101"/>
        <item m="1" x="111"/>
        <item m="1" x="14"/>
        <item m="1" x="22"/>
        <item m="1" x="31"/>
        <item m="1" x="40"/>
        <item m="1" x="49"/>
        <item m="1" x="58"/>
        <item m="1" x="68"/>
        <item m="1" x="78"/>
        <item m="1" x="70"/>
        <item m="1" x="79"/>
        <item m="1" x="87"/>
        <item m="1" x="95"/>
        <item m="1" x="105"/>
        <item m="1" x="10"/>
        <item m="1" x="45"/>
        <item m="1" x="53"/>
        <item m="1" x="82"/>
        <item m="1" x="109"/>
        <item m="1" x="13"/>
        <item m="1" x="20"/>
        <item m="1" x="29"/>
        <item m="1" x="38"/>
        <item m="1" x="47"/>
        <item m="1" x="56"/>
        <item m="1" x="65"/>
        <item m="1" x="75"/>
        <item m="1" x="67"/>
        <item m="1" x="77"/>
        <item m="1" x="86"/>
        <item m="1" x="93"/>
        <item m="1" x="102"/>
        <item m="1" x="112"/>
        <item m="1" x="15"/>
        <item m="1" x="23"/>
        <item m="1" x="32"/>
        <item m="1" x="41"/>
        <item m="1" x="34"/>
        <item m="1" x="43"/>
        <item m="1" x="51"/>
        <item m="1" x="60"/>
        <item m="1" x="71"/>
        <item m="1" x="80"/>
        <item m="1" x="88"/>
        <item m="1" x="96"/>
        <item m="1" x="106"/>
        <item t="default"/>
      </items>
    </pivotField>
    <pivotField showAll="0"/>
    <pivotField showAll="0"/>
    <pivotField showAll="0"/>
    <pivotField showAll="0"/>
    <pivotField showAll="0"/>
    <pivotField showAll="0"/>
    <pivotField showAll="0"/>
    <pivotField showAll="0"/>
    <pivotField axis="axisPage" showAll="0">
      <items count="3">
        <item x="1"/>
        <item x="0"/>
        <item t="default"/>
      </items>
    </pivotField>
    <pivotField axis="axisRow" showAll="0" sortType="descending">
      <items count="45">
        <item sd="0" m="1" x="24"/>
        <item h="1" sd="0" x="1"/>
        <item sd="0" x="0"/>
        <item sd="0" m="1" x="34"/>
        <item sd="0" m="1" x="17"/>
        <item sd="0" m="1" x="25"/>
        <item sd="0" m="1" x="42"/>
        <item sd="0" m="1" x="32"/>
        <item sd="0" m="1" x="20"/>
        <item sd="0" m="1" x="38"/>
        <item sd="0" m="1" x="23"/>
        <item sd="0" m="1" x="27"/>
        <item sd="0" m="1" x="19"/>
        <item sd="0" m="1" x="12"/>
        <item sd="0" m="1" x="29"/>
        <item sd="0" m="1" x="14"/>
        <item sd="0" x="10"/>
        <item sd="0" m="1" x="28"/>
        <item sd="0" m="1" x="11"/>
        <item sd="0" m="1" x="41"/>
        <item sd="0" m="1" x="15"/>
        <item sd="0" m="1" x="40"/>
        <item sd="0" m="1" x="35"/>
        <item sd="0" m="1" x="33"/>
        <item sd="0" m="1" x="22"/>
        <item sd="0" m="1" x="31"/>
        <item sd="0" m="1" x="37"/>
        <item sd="0" m="1" x="30"/>
        <item sd="0" m="1" x="13"/>
        <item sd="0" m="1" x="26"/>
        <item sd="0" x="7"/>
        <item sd="0" m="1" x="16"/>
        <item sd="0" m="1" x="18"/>
        <item sd="0" m="1" x="21"/>
        <item sd="0" m="1" x="39"/>
        <item sd="0" m="1" x="43"/>
        <item sd="0" x="2"/>
        <item x="4"/>
        <item sd="0" m="1" x="36"/>
        <item sd="0" x="6"/>
        <item sd="0" x="3"/>
        <item sd="0" x="8"/>
        <item sd="0" x="9"/>
        <item sd="0" x="5"/>
        <item t="default" sd="0"/>
      </items>
      <autoSortScope>
        <pivotArea dataOnly="0" outline="0" fieldPosition="0">
          <references count="1">
            <reference field="4294967294" count="1" selected="0">
              <x v="0"/>
            </reference>
          </references>
        </pivotArea>
      </autoSortScope>
    </pivotField>
    <pivotField axis="axisPage" multipleItemSelectionAllowed="1" showAll="0">
      <items count="4">
        <item x="1"/>
        <item x="0"/>
        <item h="1" x="2"/>
        <item t="default"/>
      </items>
    </pivotField>
    <pivotField showAll="0">
      <items count="7">
        <item x="1"/>
        <item x="2"/>
        <item x="3"/>
        <item x="4"/>
        <item x="0"/>
        <item x="5"/>
        <item t="default"/>
      </items>
    </pivotField>
    <pivotField showAll="0">
      <items count="5">
        <item x="1"/>
        <item x="2"/>
        <item x="0"/>
        <item x="3"/>
        <item t="default"/>
      </items>
    </pivotField>
  </pivotFields>
  <rowFields count="1">
    <field x="44"/>
  </rowFields>
  <rowItems count="10">
    <i>
      <x v="2"/>
    </i>
    <i>
      <x v="42"/>
    </i>
    <i>
      <x v="30"/>
    </i>
    <i>
      <x v="40"/>
    </i>
    <i>
      <x v="36"/>
    </i>
    <i>
      <x v="43"/>
    </i>
    <i>
      <x v="39"/>
    </i>
    <i>
      <x v="41"/>
    </i>
    <i>
      <x v="37"/>
    </i>
    <i t="grand">
      <x/>
    </i>
  </rowItems>
  <colFields count="1">
    <field x="34"/>
  </colFields>
  <colItems count="8">
    <i>
      <x/>
    </i>
    <i>
      <x v="1"/>
    </i>
    <i>
      <x v="3"/>
    </i>
    <i>
      <x v="4"/>
    </i>
    <i>
      <x v="5"/>
    </i>
    <i>
      <x v="6"/>
    </i>
    <i>
      <x v="7"/>
    </i>
    <i t="grand">
      <x/>
    </i>
  </colItems>
  <pageFields count="2">
    <pageField fld="45" hier="-1"/>
    <pageField fld="43" hier="-1"/>
  </pageFields>
  <dataFields count="1">
    <dataField name="Count of Vulnerability ID" fld="14" subtotal="count" baseField="0" baseItem="0"/>
  </dataFields>
  <formats count="10">
    <format dxfId="22">
      <pivotArea outline="0" collapsedLevelsAreSubtotals="1" fieldPosition="0"/>
    </format>
    <format dxfId="21">
      <pivotArea field="13" type="button" dataOnly="0" labelOnly="1" outline="0"/>
    </format>
    <format dxfId="20">
      <pivotArea type="topRight" dataOnly="0" labelOnly="1" outline="0" fieldPosition="0"/>
    </format>
    <format dxfId="19">
      <pivotArea dataOnly="0" labelOnly="1" grandCol="1" outline="0" fieldPosition="0"/>
    </format>
    <format dxfId="18">
      <pivotArea outline="0" collapsedLevelsAreSubtotals="1" fieldPosition="0"/>
    </format>
    <format dxfId="17">
      <pivotArea field="13" type="button" dataOnly="0" labelOnly="1" outline="0"/>
    </format>
    <format dxfId="16">
      <pivotArea type="topRight" dataOnly="0" labelOnly="1" outline="0" fieldPosition="0"/>
    </format>
    <format dxfId="15">
      <pivotArea dataOnly="0" labelOnly="1" grandCol="1" outline="0" fieldPosition="0"/>
    </format>
    <format dxfId="14">
      <pivotArea dataOnly="0" labelOnly="1" fieldPosition="0">
        <references count="1">
          <reference field="44" count="8">
            <x v="20"/>
            <x v="21"/>
            <x v="22"/>
            <x v="23"/>
            <x v="27"/>
            <x v="28"/>
            <x v="30"/>
            <x v="31"/>
          </reference>
        </references>
      </pivotArea>
    </format>
    <format dxfId="13">
      <pivotArea dataOnly="0" labelOnly="1" fieldPosition="0">
        <references count="1">
          <reference field="44" count="4">
            <x v="7"/>
            <x v="15"/>
            <x v="30"/>
            <x v="3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A967B2-6E2C-4980-95A4-80772AC23B90}"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69:T80" firstHeaderRow="1" firstDataRow="2" firstDataCol="1" rowPageCount="2" colPageCount="1"/>
  <pivotFields count="48">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7">
        <item x="3"/>
        <item x="2"/>
        <item x="1"/>
        <item x="0"/>
        <item x="4"/>
        <item m="1"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pivotField showAll="0"/>
    <pivotField numFmtId="16" multipleItemSelectionAllowed="1" showAll="0"/>
    <pivotField showAll="0"/>
    <pivotField showAll="0"/>
    <pivotField showAll="0"/>
    <pivotField showAll="0"/>
    <pivotField showAll="0"/>
    <pivotField showAll="0"/>
    <pivotField showAll="0"/>
    <pivotField showAll="0"/>
    <pivotField axis="axisPage" showAll="0">
      <items count="3">
        <item x="1"/>
        <item x="0"/>
        <item t="default"/>
      </items>
    </pivotField>
    <pivotField axis="axisRow" showAll="0" sortType="descending">
      <items count="45">
        <item m="1" x="24"/>
        <item h="1" x="1"/>
        <item x="0"/>
        <item m="1" x="34"/>
        <item m="1" x="17"/>
        <item m="1" x="25"/>
        <item m="1" x="42"/>
        <item m="1" x="32"/>
        <item m="1" x="20"/>
        <item m="1" x="38"/>
        <item m="1" x="23"/>
        <item m="1" x="27"/>
        <item m="1" x="19"/>
        <item m="1" x="12"/>
        <item m="1" x="29"/>
        <item m="1" x="14"/>
        <item x="10"/>
        <item m="1" x="28"/>
        <item m="1" x="11"/>
        <item m="1" x="41"/>
        <item m="1" x="15"/>
        <item m="1" x="40"/>
        <item m="1" x="35"/>
        <item m="1" x="33"/>
        <item m="1" x="22"/>
        <item m="1" x="31"/>
        <item m="1" x="37"/>
        <item m="1" x="30"/>
        <item m="1" x="13"/>
        <item m="1" x="26"/>
        <item x="7"/>
        <item m="1" x="16"/>
        <item m="1" x="18"/>
        <item m="1" x="21"/>
        <item m="1" x="39"/>
        <item m="1" x="43"/>
        <item x="2"/>
        <item x="4"/>
        <item m="1" x="36"/>
        <item x="6"/>
        <item x="3"/>
        <item x="8"/>
        <item x="9"/>
        <item x="5"/>
        <item t="default"/>
      </items>
      <autoSortScope>
        <pivotArea dataOnly="0" outline="0" fieldPosition="0">
          <references count="1">
            <reference field="4294967294" count="1" selected="0">
              <x v="0"/>
            </reference>
          </references>
        </pivotArea>
      </autoSortScope>
    </pivotField>
    <pivotField axis="axisPage" multipleItemSelectionAllowed="1" showAll="0">
      <items count="4">
        <item x="1"/>
        <item x="0"/>
        <item h="1" x="2"/>
        <item t="default"/>
      </items>
    </pivotField>
    <pivotField showAll="0">
      <items count="7">
        <item x="1"/>
        <item x="2"/>
        <item x="3"/>
        <item x="4"/>
        <item x="0"/>
        <item x="5"/>
        <item t="default"/>
      </items>
    </pivotField>
    <pivotField showAll="0">
      <items count="5">
        <item x="1"/>
        <item x="2"/>
        <item x="0"/>
        <item x="3"/>
        <item t="default"/>
      </items>
    </pivotField>
  </pivotFields>
  <rowFields count="1">
    <field x="44"/>
  </rowFields>
  <rowItems count="10">
    <i>
      <x v="2"/>
    </i>
    <i>
      <x v="42"/>
    </i>
    <i>
      <x v="30"/>
    </i>
    <i>
      <x v="40"/>
    </i>
    <i>
      <x v="36"/>
    </i>
    <i>
      <x v="43"/>
    </i>
    <i>
      <x v="39"/>
    </i>
    <i>
      <x v="41"/>
    </i>
    <i>
      <x v="37"/>
    </i>
    <i t="grand">
      <x/>
    </i>
  </rowItems>
  <colFields count="1">
    <field x="13"/>
  </colFields>
  <colItems count="5">
    <i>
      <x/>
    </i>
    <i>
      <x v="1"/>
    </i>
    <i>
      <x v="2"/>
    </i>
    <i>
      <x v="3"/>
    </i>
    <i t="grand">
      <x/>
    </i>
  </colItems>
  <pageFields count="2">
    <pageField fld="45" hier="-1"/>
    <pageField fld="43" hier="-1"/>
  </pageFields>
  <dataFields count="1">
    <dataField name="Count of Vulnerability ID" fld="14" subtotal="count" baseField="0" baseItem="0"/>
  </dataFields>
  <formats count="10">
    <format dxfId="32">
      <pivotArea outline="0" collapsedLevelsAreSubtotals="1" fieldPosition="0"/>
    </format>
    <format dxfId="31">
      <pivotArea field="13" type="button" dataOnly="0" labelOnly="1" outline="0" axis="axisCol" fieldPosition="0"/>
    </format>
    <format dxfId="30">
      <pivotArea type="topRight" dataOnly="0" labelOnly="1" outline="0" fieldPosition="0"/>
    </format>
    <format dxfId="29">
      <pivotArea dataOnly="0" labelOnly="1" grandCol="1" outline="0" fieldPosition="0"/>
    </format>
    <format dxfId="28">
      <pivotArea outline="0" collapsedLevelsAreSubtotals="1" fieldPosition="0"/>
    </format>
    <format dxfId="27">
      <pivotArea field="13" type="button" dataOnly="0" labelOnly="1" outline="0" axis="axisCol" fieldPosition="0"/>
    </format>
    <format dxfId="26">
      <pivotArea type="topRight" dataOnly="0" labelOnly="1" outline="0" fieldPosition="0"/>
    </format>
    <format dxfId="25">
      <pivotArea dataOnly="0" labelOnly="1" grandCol="1" outline="0" fieldPosition="0"/>
    </format>
    <format dxfId="24">
      <pivotArea dataOnly="0" labelOnly="1" fieldPosition="0">
        <references count="1">
          <reference field="44" count="8">
            <x v="20"/>
            <x v="21"/>
            <x v="22"/>
            <x v="23"/>
            <x v="27"/>
            <x v="28"/>
            <x v="30"/>
            <x v="31"/>
          </reference>
        </references>
      </pivotArea>
    </format>
    <format dxfId="23">
      <pivotArea dataOnly="0" labelOnly="1" fieldPosition="0">
        <references count="1">
          <reference field="44" count="4">
            <x v="7"/>
            <x v="15"/>
            <x v="30"/>
            <x v="3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7956A1-6E67-4087-9775-F101F0320375}"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03:J112" firstHeaderRow="1" firstDataRow="2" firstDataCol="1" rowPageCount="2" colPageCount="1"/>
  <pivotFields count="4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3"/>
        <item x="2"/>
        <item x="1"/>
        <item x="0"/>
        <item h="1" x="4"/>
        <item h="1" m="1"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pivotField showAll="0"/>
    <pivotField axis="axisCol" numFmtId="16" multipleItemSelectionAllowed="1" showAll="0">
      <items count="114">
        <item x="0"/>
        <item x="1"/>
        <item x="7"/>
        <item x="3"/>
        <item x="2"/>
        <item x="4"/>
        <item x="5"/>
        <item x="6"/>
        <item m="1" x="104"/>
        <item m="1" x="9"/>
        <item m="1" x="17"/>
        <item m="1" x="25"/>
        <item m="1" x="35"/>
        <item m="1" x="44"/>
        <item m="1" x="52"/>
        <item m="1" x="61"/>
        <item m="1" x="54"/>
        <item m="1" x="63"/>
        <item m="1" x="73"/>
        <item m="1" x="83"/>
        <item m="1" x="90"/>
        <item m="1" x="98"/>
        <item m="1" x="108"/>
        <item m="1" x="12"/>
        <item m="1" x="19"/>
        <item m="1" x="27"/>
        <item m="1" x="21"/>
        <item m="1" x="30"/>
        <item m="1" x="39"/>
        <item m="1" x="48"/>
        <item m="1" x="57"/>
        <item m="1" x="66"/>
        <item m="1" x="76"/>
        <item m="1" x="85"/>
        <item m="1" x="92"/>
        <item m="1" x="100"/>
        <item m="1" x="94"/>
        <item m="1" x="103"/>
        <item m="1" x="8"/>
        <item m="1" x="16"/>
        <item m="1" x="24"/>
        <item m="1" x="33"/>
        <item m="1" x="42"/>
        <item m="1" x="50"/>
        <item m="1" x="59"/>
        <item m="1" x="69"/>
        <item m="1" x="62"/>
        <item m="1" x="72"/>
        <item m="1" x="81"/>
        <item m="1" x="89"/>
        <item m="1" x="97"/>
        <item m="1" x="107"/>
        <item m="1" x="11"/>
        <item m="1" x="18"/>
        <item m="1" x="26"/>
        <item m="1" x="36"/>
        <item m="1" x="28"/>
        <item m="1" x="37"/>
        <item m="1" x="46"/>
        <item m="1" x="55"/>
        <item m="1" x="64"/>
        <item m="1" x="74"/>
        <item m="1" x="84"/>
        <item m="1" x="91"/>
        <item m="1" x="99"/>
        <item m="1" x="110"/>
        <item m="1" x="101"/>
        <item m="1" x="111"/>
        <item m="1" x="14"/>
        <item m="1" x="22"/>
        <item m="1" x="31"/>
        <item m="1" x="40"/>
        <item m="1" x="49"/>
        <item m="1" x="58"/>
        <item m="1" x="68"/>
        <item m="1" x="78"/>
        <item m="1" x="70"/>
        <item m="1" x="79"/>
        <item m="1" x="87"/>
        <item m="1" x="95"/>
        <item m="1" x="105"/>
        <item m="1" x="10"/>
        <item m="1" x="45"/>
        <item m="1" x="53"/>
        <item m="1" x="82"/>
        <item m="1" x="109"/>
        <item m="1" x="13"/>
        <item m="1" x="20"/>
        <item m="1" x="29"/>
        <item m="1" x="38"/>
        <item m="1" x="47"/>
        <item m="1" x="56"/>
        <item m="1" x="65"/>
        <item m="1" x="75"/>
        <item m="1" x="67"/>
        <item m="1" x="77"/>
        <item m="1" x="86"/>
        <item m="1" x="93"/>
        <item m="1" x="102"/>
        <item m="1" x="112"/>
        <item m="1" x="15"/>
        <item m="1" x="23"/>
        <item m="1" x="32"/>
        <item m="1" x="41"/>
        <item m="1" x="34"/>
        <item m="1" x="43"/>
        <item m="1" x="51"/>
        <item m="1" x="60"/>
        <item m="1" x="71"/>
        <item m="1" x="80"/>
        <item m="1" x="88"/>
        <item m="1" x="96"/>
        <item m="1" x="106"/>
        <item t="default"/>
      </items>
    </pivotField>
    <pivotField showAll="0"/>
    <pivotField showAll="0"/>
    <pivotField showAll="0"/>
    <pivotField showAll="0"/>
    <pivotField showAll="0"/>
    <pivotField showAll="0"/>
    <pivotField showAll="0"/>
    <pivotField showAll="0"/>
    <pivotField axis="axisPage" multipleItemSelectionAllowed="1" showAll="0">
      <items count="3">
        <item x="1"/>
        <item h="1" x="0"/>
        <item t="default"/>
      </items>
    </pivotField>
    <pivotField axis="axisRow" showAll="0" sortType="descending">
      <items count="45">
        <item sd="0" m="1" x="24"/>
        <item h="1" sd="0" x="1"/>
        <item sd="0" x="0"/>
        <item sd="0" m="1" x="34"/>
        <item sd="0" m="1" x="17"/>
        <item sd="0" m="1" x="25"/>
        <item sd="0" m="1" x="42"/>
        <item sd="0" m="1" x="32"/>
        <item sd="0" m="1" x="20"/>
        <item sd="0" m="1" x="38"/>
        <item sd="0" m="1" x="23"/>
        <item sd="0" m="1" x="27"/>
        <item sd="0" m="1" x="19"/>
        <item sd="0" m="1" x="12"/>
        <item sd="0" m="1" x="29"/>
        <item sd="0" m="1" x="14"/>
        <item sd="0" x="10"/>
        <item sd="0" m="1" x="28"/>
        <item sd="0" m="1" x="11"/>
        <item sd="0" m="1" x="41"/>
        <item sd="0" m="1" x="15"/>
        <item sd="0" m="1" x="40"/>
        <item sd="0" m="1" x="35"/>
        <item sd="0" m="1" x="33"/>
        <item sd="0" m="1" x="22"/>
        <item sd="0" m="1" x="31"/>
        <item sd="0" m="1" x="37"/>
        <item sd="0" m="1" x="30"/>
        <item sd="0" m="1" x="13"/>
        <item sd="0" m="1" x="26"/>
        <item sd="0" x="7"/>
        <item sd="0" m="1" x="16"/>
        <item sd="0" m="1" x="18"/>
        <item sd="0" m="1" x="21"/>
        <item sd="0" m="1" x="39"/>
        <item sd="0" m="1" x="43"/>
        <item sd="0" x="2"/>
        <item sd="0" x="4"/>
        <item sd="0" m="1" x="36"/>
        <item x="6"/>
        <item sd="0" x="3"/>
        <item sd="0" x="8"/>
        <item sd="0" x="9"/>
        <item sd="0" x="5"/>
        <item t="default" sd="0"/>
      </items>
      <autoSortScope>
        <pivotArea dataOnly="0" outline="0" fieldPosition="0">
          <references count="1">
            <reference field="4294967294" count="1" selected="0">
              <x v="0"/>
            </reference>
          </references>
        </pivotArea>
      </autoSortScope>
    </pivotField>
    <pivotField axis="axisPage" multipleItemSelectionAllowed="1" showAll="0">
      <items count="4">
        <item x="1"/>
        <item x="0"/>
        <item h="1" x="2"/>
        <item t="default"/>
      </items>
    </pivotField>
    <pivotField showAll="0">
      <items count="7">
        <item x="1"/>
        <item x="2"/>
        <item x="3"/>
        <item x="4"/>
        <item x="0"/>
        <item x="5"/>
        <item t="default"/>
      </items>
    </pivotField>
    <pivotField showAll="0">
      <items count="5">
        <item x="1"/>
        <item x="2"/>
        <item x="0"/>
        <item x="3"/>
        <item t="default"/>
      </items>
    </pivotField>
  </pivotFields>
  <rowFields count="1">
    <field x="44"/>
  </rowFields>
  <rowItems count="8">
    <i>
      <x v="2"/>
    </i>
    <i>
      <x v="30"/>
    </i>
    <i>
      <x v="40"/>
    </i>
    <i>
      <x v="43"/>
    </i>
    <i>
      <x v="41"/>
    </i>
    <i>
      <x v="37"/>
    </i>
    <i>
      <x v="39"/>
    </i>
    <i t="grand">
      <x/>
    </i>
  </rowItems>
  <colFields count="1">
    <field x="34"/>
  </colFields>
  <colItems count="8">
    <i>
      <x/>
    </i>
    <i>
      <x v="1"/>
    </i>
    <i>
      <x v="3"/>
    </i>
    <i>
      <x v="4"/>
    </i>
    <i>
      <x v="5"/>
    </i>
    <i>
      <x v="6"/>
    </i>
    <i>
      <x v="7"/>
    </i>
    <i t="grand">
      <x/>
    </i>
  </colItems>
  <pageFields count="2">
    <pageField fld="45" hier="-1"/>
    <pageField fld="43" hier="-1"/>
  </pageFields>
  <dataFields count="1">
    <dataField name="Count of Vulnerability ID" fld="14" subtotal="count" baseField="0" baseItem="0"/>
  </dataFields>
  <formats count="10">
    <format dxfId="42">
      <pivotArea outline="0" collapsedLevelsAreSubtotals="1" fieldPosition="0"/>
    </format>
    <format dxfId="41">
      <pivotArea field="13" type="button" dataOnly="0" labelOnly="1" outline="0"/>
    </format>
    <format dxfId="40">
      <pivotArea type="topRight" dataOnly="0" labelOnly="1" outline="0" fieldPosition="0"/>
    </format>
    <format dxfId="39">
      <pivotArea dataOnly="0" labelOnly="1" grandCol="1" outline="0" fieldPosition="0"/>
    </format>
    <format dxfId="38">
      <pivotArea outline="0" collapsedLevelsAreSubtotals="1" fieldPosition="0"/>
    </format>
    <format dxfId="37">
      <pivotArea field="13" type="button" dataOnly="0" labelOnly="1" outline="0"/>
    </format>
    <format dxfId="36">
      <pivotArea type="topRight" dataOnly="0" labelOnly="1" outline="0" fieldPosition="0"/>
    </format>
    <format dxfId="35">
      <pivotArea dataOnly="0" labelOnly="1" grandCol="1" outline="0" fieldPosition="0"/>
    </format>
    <format dxfId="34">
      <pivotArea dataOnly="0" labelOnly="1" fieldPosition="0">
        <references count="1">
          <reference field="44" count="8">
            <x v="20"/>
            <x v="21"/>
            <x v="22"/>
            <x v="23"/>
            <x v="27"/>
            <x v="28"/>
            <x v="30"/>
            <x v="31"/>
          </reference>
        </references>
      </pivotArea>
    </format>
    <format dxfId="33">
      <pivotArea dataOnly="0" labelOnly="1" fieldPosition="0">
        <references count="1">
          <reference field="44" count="4">
            <x v="7"/>
            <x v="15"/>
            <x v="30"/>
            <x v="3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CD43A0-BF6A-4A94-A889-B5A779A26553}" name="PivotTable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121:R130" firstHeaderRow="1" firstDataRow="2" firstDataCol="1" rowPageCount="2" colPageCount="1"/>
  <pivotFields count="48">
    <pivotField showAll="0"/>
    <pivotField showAll="0"/>
    <pivotField axis="axisRow" showAll="0">
      <items count="33">
        <item x="0"/>
        <item x="12"/>
        <item x="1"/>
        <item x="2"/>
        <item x="3"/>
        <item x="4"/>
        <item x="5"/>
        <item x="6"/>
        <item x="7"/>
        <item x="8"/>
        <item x="9"/>
        <item x="10"/>
        <item x="11"/>
        <item x="13"/>
        <item x="14"/>
        <item x="15"/>
        <item x="16"/>
        <item x="17"/>
        <item x="18"/>
        <item x="19"/>
        <item x="20"/>
        <item x="21"/>
        <item x="22"/>
        <item x="23"/>
        <item x="24"/>
        <item x="25"/>
        <item x="27"/>
        <item x="28"/>
        <item x="29"/>
        <item x="26"/>
        <item x="31"/>
        <item x="30"/>
        <item t="default"/>
      </items>
    </pivotField>
    <pivotField showAll="0"/>
    <pivotField showAll="0"/>
    <pivotField showAll="0"/>
    <pivotField showAll="0"/>
    <pivotField showAll="0"/>
    <pivotField showAll="0"/>
    <pivotField showAll="0"/>
    <pivotField showAll="0"/>
    <pivotField showAll="0"/>
    <pivotField showAll="0"/>
    <pivotField axis="axisCol" showAll="0">
      <items count="7">
        <item x="3"/>
        <item x="2"/>
        <item m="1" x="5"/>
        <item x="1"/>
        <item x="0"/>
        <item h="1"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pivotField showAll="0"/>
    <pivotField numFmtId="16" multipleItemSelectionAllowed="1" showAll="0"/>
    <pivotField showAll="0"/>
    <pivotField showAll="0"/>
    <pivotField showAll="0"/>
    <pivotField showAll="0"/>
    <pivotField showAll="0"/>
    <pivotField showAll="0"/>
    <pivotField showAll="0"/>
    <pivotField showAll="0"/>
    <pivotField axis="axisPage" multipleItemSelectionAllowed="1" showAll="0">
      <items count="3">
        <item x="1"/>
        <item h="1" x="0"/>
        <item t="default"/>
      </items>
    </pivotField>
    <pivotField axis="axisRow" showAll="0" sortType="descending">
      <items count="45">
        <item h="1" sd="0" m="1" x="24"/>
        <item h="1" sd="0" x="1"/>
        <item h="1" sd="0" x="0"/>
        <item h="1" sd="0" m="1" x="34"/>
        <item h="1" sd="0" m="1" x="17"/>
        <item sd="0" m="1" x="25"/>
        <item h="1" sd="0" m="1" x="42"/>
        <item h="1" sd="0" m="1" x="32"/>
        <item h="1" sd="0" m="1" x="20"/>
        <item h="1" sd="0" m="1" x="38"/>
        <item h="1" sd="0" m="1" x="23"/>
        <item h="1" sd="0" m="1" x="27"/>
        <item h="1" sd="0" m="1" x="19"/>
        <item h="1" sd="0" m="1" x="12"/>
        <item h="1" sd="0" m="1" x="29"/>
        <item h="1" sd="0" m="1" x="14"/>
        <item h="1" sd="0" x="10"/>
        <item h="1" sd="0" m="1" x="28"/>
        <item h="1" sd="0" m="1" x="11"/>
        <item h="1" sd="0" m="1" x="41"/>
        <item h="1" sd="0" m="1" x="15"/>
        <item h="1" sd="0" m="1" x="40"/>
        <item h="1" sd="0" m="1" x="35"/>
        <item h="1" sd="0" m="1" x="33"/>
        <item h="1" sd="0" m="1" x="22"/>
        <item h="1" sd="0" m="1" x="31"/>
        <item sd="0" m="1" x="37"/>
        <item h="1" sd="0" m="1" x="30"/>
        <item h="1" sd="0" m="1" x="13"/>
        <item h="1" sd="0" m="1" x="26"/>
        <item h="1" sd="0" x="7"/>
        <item h="1" sd="0" m="1" x="16"/>
        <item sd="0" m="1" x="18"/>
        <item sd="0" m="1" x="21"/>
        <item h="1" sd="0" m="1" x="39"/>
        <item h="1" sd="0" m="1" x="43"/>
        <item h="1" sd="0" x="2"/>
        <item h="1" sd="0" x="4"/>
        <item h="1" sd="0" m="1" x="36"/>
        <item h="1" sd="0" x="6"/>
        <item x="3"/>
        <item h="1" sd="0" x="8"/>
        <item h="1" sd="0" x="9"/>
        <item h="1" sd="0" x="5"/>
        <item t="default" sd="0"/>
      </items>
      <autoSortScope>
        <pivotArea dataOnly="0" outline="0" fieldPosition="0">
          <references count="1">
            <reference field="4294967294" count="1" selected="0">
              <x v="0"/>
            </reference>
          </references>
        </pivotArea>
      </autoSortScope>
    </pivotField>
    <pivotField axis="axisPage" multipleItemSelectionAllowed="1" showAll="0">
      <items count="4">
        <item x="1"/>
        <item x="0"/>
        <item h="1" x="2"/>
        <item t="default"/>
      </items>
    </pivotField>
    <pivotField showAll="0">
      <items count="7">
        <item x="1"/>
        <item x="2"/>
        <item x="3"/>
        <item x="4"/>
        <item x="0"/>
        <item x="5"/>
        <item t="default"/>
      </items>
    </pivotField>
    <pivotField showAll="0">
      <items count="5">
        <item x="1"/>
        <item x="2"/>
        <item x="0"/>
        <item x="3"/>
        <item t="default"/>
      </items>
    </pivotField>
  </pivotFields>
  <rowFields count="2">
    <field x="44"/>
    <field x="2"/>
  </rowFields>
  <rowItems count="8">
    <i>
      <x v="40"/>
    </i>
    <i r="1">
      <x v="1"/>
    </i>
    <i r="1">
      <x v="5"/>
    </i>
    <i r="1">
      <x v="11"/>
    </i>
    <i r="1">
      <x v="17"/>
    </i>
    <i r="1">
      <x v="24"/>
    </i>
    <i r="1">
      <x v="31"/>
    </i>
    <i t="grand">
      <x/>
    </i>
  </rowItems>
  <colFields count="1">
    <field x="13"/>
  </colFields>
  <colItems count="3">
    <i>
      <x v="3"/>
    </i>
    <i>
      <x v="4"/>
    </i>
    <i t="grand">
      <x/>
    </i>
  </colItems>
  <pageFields count="2">
    <pageField fld="45" hier="-1"/>
    <pageField fld="43" hier="-1"/>
  </pageFields>
  <dataFields count="1">
    <dataField name="Count of Vulnerability ID" fld="14" subtotal="count" baseField="0" baseItem="0"/>
  </dataFields>
  <formats count="10">
    <format dxfId="52">
      <pivotArea outline="0" collapsedLevelsAreSubtotals="1" fieldPosition="0"/>
    </format>
    <format dxfId="51">
      <pivotArea field="13" type="button" dataOnly="0" labelOnly="1" outline="0" axis="axisCol" fieldPosition="0"/>
    </format>
    <format dxfId="50">
      <pivotArea type="topRight" dataOnly="0" labelOnly="1" outline="0" fieldPosition="0"/>
    </format>
    <format dxfId="49">
      <pivotArea dataOnly="0" labelOnly="1" grandCol="1" outline="0" fieldPosition="0"/>
    </format>
    <format dxfId="48">
      <pivotArea outline="0" collapsedLevelsAreSubtotals="1" fieldPosition="0"/>
    </format>
    <format dxfId="47">
      <pivotArea field="13" type="button" dataOnly="0" labelOnly="1" outline="0" axis="axisCol" fieldPosition="0"/>
    </format>
    <format dxfId="46">
      <pivotArea type="topRight" dataOnly="0" labelOnly="1" outline="0" fieldPosition="0"/>
    </format>
    <format dxfId="45">
      <pivotArea dataOnly="0" labelOnly="1" grandCol="1" outline="0" fieldPosition="0"/>
    </format>
    <format dxfId="44">
      <pivotArea dataOnly="0" labelOnly="1" fieldPosition="0">
        <references count="1">
          <reference field="44" count="8">
            <x v="20"/>
            <x v="21"/>
            <x v="22"/>
            <x v="23"/>
            <x v="27"/>
            <x v="28"/>
            <x v="30"/>
            <x v="31"/>
          </reference>
        </references>
      </pivotArea>
    </format>
    <format dxfId="43">
      <pivotArea dataOnly="0" labelOnly="1" fieldPosition="0">
        <references count="1">
          <reference field="44" count="4">
            <x v="7"/>
            <x v="15"/>
            <x v="30"/>
            <x v="3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C548BB-4E9B-41E8-A64A-760975123153}"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103:T112" firstHeaderRow="1" firstDataRow="2" firstDataCol="1" rowPageCount="2" colPageCount="1"/>
  <pivotFields count="48">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7">
        <item x="3"/>
        <item x="2"/>
        <item x="1"/>
        <item x="0"/>
        <item h="1" x="4"/>
        <item m="1"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pivotField showAll="0"/>
    <pivotField numFmtId="16" multipleItemSelectionAllowed="1" showAll="0"/>
    <pivotField showAll="0"/>
    <pivotField showAll="0"/>
    <pivotField showAll="0"/>
    <pivotField showAll="0"/>
    <pivotField showAll="0"/>
    <pivotField showAll="0"/>
    <pivotField showAll="0"/>
    <pivotField showAll="0"/>
    <pivotField axis="axisPage" multipleItemSelectionAllowed="1" showAll="0">
      <items count="3">
        <item x="1"/>
        <item h="1" x="0"/>
        <item t="default"/>
      </items>
    </pivotField>
    <pivotField axis="axisRow" showAll="0" sortType="descending">
      <items count="45">
        <item m="1" x="24"/>
        <item h="1" x="1"/>
        <item x="0"/>
        <item m="1" x="34"/>
        <item m="1" x="17"/>
        <item m="1" x="25"/>
        <item m="1" x="42"/>
        <item m="1" x="32"/>
        <item m="1" x="20"/>
        <item m="1" x="38"/>
        <item m="1" x="23"/>
        <item m="1" x="27"/>
        <item m="1" x="19"/>
        <item m="1" x="12"/>
        <item m="1" x="29"/>
        <item m="1" x="14"/>
        <item x="10"/>
        <item m="1" x="28"/>
        <item m="1" x="11"/>
        <item m="1" x="41"/>
        <item m="1" x="15"/>
        <item m="1" x="40"/>
        <item m="1" x="35"/>
        <item m="1" x="33"/>
        <item m="1" x="22"/>
        <item m="1" x="31"/>
        <item m="1" x="37"/>
        <item m="1" x="30"/>
        <item m="1" x="13"/>
        <item m="1" x="26"/>
        <item x="7"/>
        <item m="1" x="16"/>
        <item m="1" x="18"/>
        <item m="1" x="21"/>
        <item m="1" x="39"/>
        <item m="1" x="43"/>
        <item x="2"/>
        <item x="4"/>
        <item m="1" x="36"/>
        <item x="6"/>
        <item x="3"/>
        <item x="8"/>
        <item x="9"/>
        <item x="5"/>
        <item t="default"/>
      </items>
      <autoSortScope>
        <pivotArea dataOnly="0" outline="0" fieldPosition="0">
          <references count="1">
            <reference field="4294967294" count="1" selected="0">
              <x v="0"/>
            </reference>
          </references>
        </pivotArea>
      </autoSortScope>
    </pivotField>
    <pivotField axis="axisPage" multipleItemSelectionAllowed="1" showAll="0">
      <items count="4">
        <item x="1"/>
        <item x="0"/>
        <item h="1" x="2"/>
        <item t="default"/>
      </items>
    </pivotField>
    <pivotField showAll="0">
      <items count="7">
        <item x="1"/>
        <item x="2"/>
        <item x="3"/>
        <item x="4"/>
        <item x="0"/>
        <item x="5"/>
        <item t="default"/>
      </items>
    </pivotField>
    <pivotField showAll="0">
      <items count="5">
        <item x="1"/>
        <item x="2"/>
        <item x="0"/>
        <item x="3"/>
        <item t="default"/>
      </items>
    </pivotField>
  </pivotFields>
  <rowFields count="1">
    <field x="44"/>
  </rowFields>
  <rowItems count="8">
    <i>
      <x v="2"/>
    </i>
    <i>
      <x v="30"/>
    </i>
    <i>
      <x v="40"/>
    </i>
    <i>
      <x v="43"/>
    </i>
    <i>
      <x v="41"/>
    </i>
    <i>
      <x v="37"/>
    </i>
    <i>
      <x v="39"/>
    </i>
    <i t="grand">
      <x/>
    </i>
  </rowItems>
  <colFields count="1">
    <field x="13"/>
  </colFields>
  <colItems count="5">
    <i>
      <x/>
    </i>
    <i>
      <x v="1"/>
    </i>
    <i>
      <x v="2"/>
    </i>
    <i>
      <x v="3"/>
    </i>
    <i t="grand">
      <x/>
    </i>
  </colItems>
  <pageFields count="2">
    <pageField fld="45" hier="-1"/>
    <pageField fld="43" hier="-1"/>
  </pageFields>
  <dataFields count="1">
    <dataField name="Count of Vulnerability ID" fld="14" subtotal="count" baseField="0" baseItem="0"/>
  </dataFields>
  <formats count="10">
    <format dxfId="62">
      <pivotArea outline="0" collapsedLevelsAreSubtotals="1" fieldPosition="0"/>
    </format>
    <format dxfId="61">
      <pivotArea field="13" type="button" dataOnly="0" labelOnly="1" outline="0" axis="axisCol" fieldPosition="0"/>
    </format>
    <format dxfId="60">
      <pivotArea type="topRight" dataOnly="0" labelOnly="1" outline="0" fieldPosition="0"/>
    </format>
    <format dxfId="59">
      <pivotArea dataOnly="0" labelOnly="1" grandCol="1" outline="0" fieldPosition="0"/>
    </format>
    <format dxfId="58">
      <pivotArea outline="0" collapsedLevelsAreSubtotals="1" fieldPosition="0"/>
    </format>
    <format dxfId="57">
      <pivotArea field="13" type="button" dataOnly="0" labelOnly="1" outline="0" axis="axisCol" fieldPosition="0"/>
    </format>
    <format dxfId="56">
      <pivotArea type="topRight" dataOnly="0" labelOnly="1" outline="0" fieldPosition="0"/>
    </format>
    <format dxfId="55">
      <pivotArea dataOnly="0" labelOnly="1" grandCol="1" outline="0" fieldPosition="0"/>
    </format>
    <format dxfId="54">
      <pivotArea dataOnly="0" labelOnly="1" fieldPosition="0">
        <references count="1">
          <reference field="44" count="8">
            <x v="20"/>
            <x v="21"/>
            <x v="22"/>
            <x v="23"/>
            <x v="27"/>
            <x v="28"/>
            <x v="30"/>
            <x v="31"/>
          </reference>
        </references>
      </pivotArea>
    </format>
    <format dxfId="53">
      <pivotArea dataOnly="0" labelOnly="1" fieldPosition="0">
        <references count="1">
          <reference field="44" count="4">
            <x v="7"/>
            <x v="15"/>
            <x v="30"/>
            <x v="3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CBAC80-B6AA-4D5A-8727-C8E8284F8A69}"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21:I130" firstHeaderRow="1" firstDataRow="2" firstDataCol="1" rowPageCount="2" colPageCount="1"/>
  <pivotFields count="48">
    <pivotField showAll="0"/>
    <pivotField showAll="0"/>
    <pivotField axis="axisRow" showAll="0">
      <items count="33">
        <item x="0"/>
        <item x="12"/>
        <item x="1"/>
        <item x="2"/>
        <item x="3"/>
        <item x="4"/>
        <item x="5"/>
        <item x="6"/>
        <item x="7"/>
        <item x="8"/>
        <item x="9"/>
        <item x="10"/>
        <item x="11"/>
        <item x="13"/>
        <item x="14"/>
        <item x="15"/>
        <item x="16"/>
        <item x="17"/>
        <item x="18"/>
        <item x="19"/>
        <item x="20"/>
        <item x="21"/>
        <item x="22"/>
        <item x="23"/>
        <item x="24"/>
        <item x="25"/>
        <item x="27"/>
        <item x="28"/>
        <item x="29"/>
        <item x="26"/>
        <item x="31"/>
        <item x="30"/>
        <item t="default"/>
      </items>
    </pivotField>
    <pivotField showAll="0"/>
    <pivotField showAll="0"/>
    <pivotField showAll="0"/>
    <pivotField showAll="0"/>
    <pivotField showAll="0"/>
    <pivotField showAll="0"/>
    <pivotField showAll="0"/>
    <pivotField showAll="0"/>
    <pivotField showAll="0"/>
    <pivotField showAll="0"/>
    <pivotField showAll="0">
      <items count="7">
        <item x="3"/>
        <item x="2"/>
        <item x="1"/>
        <item x="0"/>
        <item h="1" x="4"/>
        <item h="1" m="1"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pivotField showAll="0"/>
    <pivotField axis="axisCol" numFmtId="16" multipleItemSelectionAllowed="1" showAll="0">
      <items count="114">
        <item x="0"/>
        <item x="1"/>
        <item x="7"/>
        <item x="3"/>
        <item x="2"/>
        <item x="4"/>
        <item x="5"/>
        <item x="6"/>
        <item m="1" x="104"/>
        <item m="1" x="9"/>
        <item m="1" x="17"/>
        <item m="1" x="25"/>
        <item m="1" x="35"/>
        <item m="1" x="44"/>
        <item m="1" x="52"/>
        <item m="1" x="61"/>
        <item m="1" x="54"/>
        <item m="1" x="63"/>
        <item m="1" x="73"/>
        <item m="1" x="83"/>
        <item m="1" x="90"/>
        <item m="1" x="98"/>
        <item m="1" x="108"/>
        <item m="1" x="12"/>
        <item m="1" x="19"/>
        <item m="1" x="27"/>
        <item m="1" x="21"/>
        <item m="1" x="30"/>
        <item m="1" x="39"/>
        <item m="1" x="48"/>
        <item m="1" x="57"/>
        <item m="1" x="66"/>
        <item m="1" x="76"/>
        <item m="1" x="85"/>
        <item m="1" x="92"/>
        <item m="1" x="100"/>
        <item m="1" x="94"/>
        <item m="1" x="103"/>
        <item m="1" x="8"/>
        <item m="1" x="16"/>
        <item m="1" x="24"/>
        <item m="1" x="33"/>
        <item m="1" x="42"/>
        <item m="1" x="50"/>
        <item m="1" x="59"/>
        <item m="1" x="69"/>
        <item m="1" x="62"/>
        <item m="1" x="72"/>
        <item m="1" x="81"/>
        <item m="1" x="89"/>
        <item m="1" x="97"/>
        <item m="1" x="107"/>
        <item m="1" x="11"/>
        <item m="1" x="18"/>
        <item m="1" x="26"/>
        <item m="1" x="36"/>
        <item m="1" x="28"/>
        <item m="1" x="37"/>
        <item m="1" x="46"/>
        <item m="1" x="55"/>
        <item m="1" x="64"/>
        <item m="1" x="74"/>
        <item m="1" x="84"/>
        <item m="1" x="91"/>
        <item m="1" x="99"/>
        <item m="1" x="110"/>
        <item m="1" x="101"/>
        <item m="1" x="111"/>
        <item m="1" x="14"/>
        <item m="1" x="22"/>
        <item m="1" x="31"/>
        <item m="1" x="40"/>
        <item m="1" x="49"/>
        <item m="1" x="58"/>
        <item m="1" x="68"/>
        <item m="1" x="78"/>
        <item m="1" x="70"/>
        <item m="1" x="79"/>
        <item m="1" x="87"/>
        <item m="1" x="95"/>
        <item m="1" x="105"/>
        <item m="1" x="10"/>
        <item m="1" x="45"/>
        <item m="1" x="53"/>
        <item m="1" x="82"/>
        <item m="1" x="109"/>
        <item m="1" x="13"/>
        <item m="1" x="20"/>
        <item m="1" x="29"/>
        <item m="1" x="38"/>
        <item m="1" x="47"/>
        <item m="1" x="56"/>
        <item m="1" x="65"/>
        <item m="1" x="75"/>
        <item m="1" x="67"/>
        <item m="1" x="77"/>
        <item m="1" x="86"/>
        <item m="1" x="93"/>
        <item m="1" x="102"/>
        <item m="1" x="112"/>
        <item m="1" x="15"/>
        <item m="1" x="23"/>
        <item m="1" x="32"/>
        <item m="1" x="41"/>
        <item m="1" x="34"/>
        <item m="1" x="43"/>
        <item m="1" x="51"/>
        <item m="1" x="60"/>
        <item m="1" x="71"/>
        <item m="1" x="80"/>
        <item m="1" x="88"/>
        <item m="1" x="96"/>
        <item m="1" x="106"/>
        <item t="default"/>
      </items>
    </pivotField>
    <pivotField showAll="0"/>
    <pivotField showAll="0"/>
    <pivotField showAll="0"/>
    <pivotField showAll="0"/>
    <pivotField showAll="0"/>
    <pivotField showAll="0"/>
    <pivotField showAll="0"/>
    <pivotField showAll="0"/>
    <pivotField axis="axisPage" multipleItemSelectionAllowed="1" showAll="0">
      <items count="3">
        <item x="1"/>
        <item h="1" x="0"/>
        <item t="default"/>
      </items>
    </pivotField>
    <pivotField axis="axisRow" showAll="0" sortType="descending">
      <items count="45">
        <item h="1" sd="0" m="1" x="24"/>
        <item h="1" sd="0" x="1"/>
        <item h="1" sd="0" x="0"/>
        <item h="1" sd="0" m="1" x="34"/>
        <item h="1" sd="0" m="1" x="17"/>
        <item sd="0" m="1" x="25"/>
        <item h="1" sd="0" m="1" x="42"/>
        <item h="1" sd="0" m="1" x="32"/>
        <item h="1" sd="0" m="1" x="20"/>
        <item h="1" sd="0" m="1" x="38"/>
        <item h="1" sd="0" m="1" x="23"/>
        <item h="1" sd="0" m="1" x="27"/>
        <item h="1" sd="0" m="1" x="19"/>
        <item h="1" sd="0" m="1" x="12"/>
        <item h="1" sd="0" m="1" x="29"/>
        <item h="1" sd="0" m="1" x="14"/>
        <item h="1" sd="0" x="10"/>
        <item h="1" sd="0" m="1" x="28"/>
        <item h="1" sd="0" m="1" x="11"/>
        <item h="1" sd="0" m="1" x="41"/>
        <item h="1" sd="0" m="1" x="15"/>
        <item h="1" sd="0" m="1" x="40"/>
        <item h="1" sd="0" m="1" x="35"/>
        <item h="1" sd="0" m="1" x="33"/>
        <item h="1" sd="0" m="1" x="22"/>
        <item h="1" sd="0" m="1" x="31"/>
        <item sd="0" m="1" x="37"/>
        <item h="1" sd="0" m="1" x="30"/>
        <item h="1" sd="0" m="1" x="13"/>
        <item h="1" sd="0" m="1" x="26"/>
        <item h="1" sd="0" x="7"/>
        <item h="1" sd="0" m="1" x="16"/>
        <item sd="0" m="1" x="18"/>
        <item sd="0" m="1" x="21"/>
        <item h="1" sd="0" m="1" x="39"/>
        <item h="1" sd="0" m="1" x="43"/>
        <item h="1" sd="0" x="2"/>
        <item h="1" sd="0" x="4"/>
        <item h="1" sd="0" m="1" x="36"/>
        <item h="1" sd="0" x="6"/>
        <item x="3"/>
        <item h="1" sd="0" x="8"/>
        <item h="1" sd="0" x="9"/>
        <item h="1" sd="0" x="5"/>
        <item t="default" sd="0"/>
      </items>
      <autoSortScope>
        <pivotArea dataOnly="0" outline="0" fieldPosition="0">
          <references count="1">
            <reference field="4294967294" count="1" selected="0">
              <x v="0"/>
            </reference>
          </references>
        </pivotArea>
      </autoSortScope>
    </pivotField>
    <pivotField axis="axisPage" multipleItemSelectionAllowed="1" showAll="0">
      <items count="4">
        <item x="1"/>
        <item x="0"/>
        <item h="1" x="2"/>
        <item t="default"/>
      </items>
    </pivotField>
    <pivotField showAll="0">
      <items count="7">
        <item x="1"/>
        <item x="2"/>
        <item x="3"/>
        <item x="4"/>
        <item x="0"/>
        <item x="5"/>
        <item t="default"/>
      </items>
    </pivotField>
    <pivotField showAll="0">
      <items count="5">
        <item x="1"/>
        <item x="2"/>
        <item x="0"/>
        <item x="3"/>
        <item t="default"/>
      </items>
    </pivotField>
  </pivotFields>
  <rowFields count="2">
    <field x="44"/>
    <field x="2"/>
  </rowFields>
  <rowItems count="8">
    <i>
      <x v="40"/>
    </i>
    <i r="1">
      <x v="1"/>
    </i>
    <i r="1">
      <x v="5"/>
    </i>
    <i r="1">
      <x v="11"/>
    </i>
    <i r="1">
      <x v="17"/>
    </i>
    <i r="1">
      <x v="24"/>
    </i>
    <i r="1">
      <x v="31"/>
    </i>
    <i t="grand">
      <x/>
    </i>
  </rowItems>
  <colFields count="1">
    <field x="34"/>
  </colFields>
  <colItems count="7">
    <i>
      <x/>
    </i>
    <i>
      <x v="3"/>
    </i>
    <i>
      <x v="4"/>
    </i>
    <i>
      <x v="5"/>
    </i>
    <i>
      <x v="6"/>
    </i>
    <i>
      <x v="7"/>
    </i>
    <i t="grand">
      <x/>
    </i>
  </colItems>
  <pageFields count="2">
    <pageField fld="45" hier="-1"/>
    <pageField fld="43" hier="-1"/>
  </pageFields>
  <dataFields count="1">
    <dataField name="Count of Vulnerability ID" fld="14" subtotal="count" baseField="0" baseItem="0"/>
  </dataFields>
  <formats count="10">
    <format dxfId="72">
      <pivotArea outline="0" collapsedLevelsAreSubtotals="1" fieldPosition="0"/>
    </format>
    <format dxfId="71">
      <pivotArea field="13" type="button" dataOnly="0" labelOnly="1" outline="0"/>
    </format>
    <format dxfId="70">
      <pivotArea type="topRight" dataOnly="0" labelOnly="1" outline="0" fieldPosition="0"/>
    </format>
    <format dxfId="69">
      <pivotArea dataOnly="0" labelOnly="1" grandCol="1" outline="0" fieldPosition="0"/>
    </format>
    <format dxfId="68">
      <pivotArea outline="0" collapsedLevelsAreSubtotals="1" fieldPosition="0"/>
    </format>
    <format dxfId="67">
      <pivotArea field="13" type="button" dataOnly="0" labelOnly="1" outline="0"/>
    </format>
    <format dxfId="66">
      <pivotArea type="topRight" dataOnly="0" labelOnly="1" outline="0" fieldPosition="0"/>
    </format>
    <format dxfId="65">
      <pivotArea dataOnly="0" labelOnly="1" grandCol="1" outline="0" fieldPosition="0"/>
    </format>
    <format dxfId="64">
      <pivotArea dataOnly="0" labelOnly="1" fieldPosition="0">
        <references count="1">
          <reference field="44" count="8">
            <x v="20"/>
            <x v="21"/>
            <x v="22"/>
            <x v="23"/>
            <x v="27"/>
            <x v="28"/>
            <x v="30"/>
            <x v="31"/>
          </reference>
        </references>
      </pivotArea>
    </format>
    <format dxfId="63">
      <pivotArea dataOnly="0" labelOnly="1" fieldPosition="0">
        <references count="1">
          <reference field="44" count="4">
            <x v="7"/>
            <x v="15"/>
            <x v="30"/>
            <x v="3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4E8E6C-D82C-4205-AFF9-5D067EEA3FFB}"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79:C383" firstHeaderRow="1" firstDataRow="1" firstDataCol="1" rowPageCount="2" colPageCount="1"/>
  <pivotFields count="4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3"/>
        <item x="2"/>
        <item x="1"/>
        <item x="0"/>
        <item h="1" x="4"/>
        <item h="1" m="1"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pivotField showAll="0"/>
    <pivotField axis="axisPage" numFmtId="16" multipleItemSelectionAllowed="1" showAll="0">
      <items count="114">
        <item x="0"/>
        <item x="1"/>
        <item x="7"/>
        <item x="2"/>
        <item x="3"/>
        <item x="4"/>
        <item x="5"/>
        <item x="6"/>
        <item m="1" x="104"/>
        <item m="1" x="9"/>
        <item m="1" x="17"/>
        <item m="1" x="25"/>
        <item m="1" x="35"/>
        <item m="1" x="44"/>
        <item m="1" x="52"/>
        <item m="1" x="61"/>
        <item m="1" x="54"/>
        <item m="1" x="63"/>
        <item m="1" x="73"/>
        <item m="1" x="83"/>
        <item m="1" x="90"/>
        <item m="1" x="98"/>
        <item m="1" x="108"/>
        <item m="1" x="12"/>
        <item m="1" x="19"/>
        <item m="1" x="27"/>
        <item m="1" x="21"/>
        <item m="1" x="30"/>
        <item m="1" x="39"/>
        <item m="1" x="48"/>
        <item m="1" x="57"/>
        <item m="1" x="66"/>
        <item m="1" x="76"/>
        <item m="1" x="85"/>
        <item m="1" x="92"/>
        <item m="1" x="100"/>
        <item m="1" x="94"/>
        <item m="1" x="103"/>
        <item m="1" x="8"/>
        <item m="1" x="16"/>
        <item m="1" x="24"/>
        <item m="1" x="33"/>
        <item m="1" x="42"/>
        <item m="1" x="50"/>
        <item m="1" x="59"/>
        <item m="1" x="69"/>
        <item m="1" x="62"/>
        <item m="1" x="72"/>
        <item m="1" x="81"/>
        <item m="1" x="89"/>
        <item m="1" x="97"/>
        <item m="1" x="107"/>
        <item m="1" x="11"/>
        <item m="1" x="18"/>
        <item m="1" x="26"/>
        <item m="1" x="36"/>
        <item m="1" x="28"/>
        <item m="1" x="37"/>
        <item m="1" x="46"/>
        <item m="1" x="55"/>
        <item m="1" x="64"/>
        <item m="1" x="74"/>
        <item m="1" x="84"/>
        <item m="1" x="91"/>
        <item m="1" x="99"/>
        <item m="1" x="110"/>
        <item m="1" x="101"/>
        <item m="1" x="111"/>
        <item m="1" x="14"/>
        <item m="1" x="22"/>
        <item m="1" x="31"/>
        <item m="1" x="40"/>
        <item m="1" x="49"/>
        <item m="1" x="58"/>
        <item m="1" x="68"/>
        <item m="1" x="78"/>
        <item m="1" x="70"/>
        <item m="1" x="79"/>
        <item m="1" x="87"/>
        <item m="1" x="95"/>
        <item m="1" x="105"/>
        <item m="1" x="10"/>
        <item m="1" x="45"/>
        <item m="1" x="53"/>
        <item m="1" x="82"/>
        <item m="1" x="109"/>
        <item m="1" x="13"/>
        <item m="1" x="20"/>
        <item m="1" x="29"/>
        <item m="1" x="38"/>
        <item m="1" x="47"/>
        <item m="1" x="56"/>
        <item m="1" x="65"/>
        <item m="1" x="75"/>
        <item m="1" x="67"/>
        <item m="1" x="77"/>
        <item m="1" x="86"/>
        <item m="1" x="93"/>
        <item m="1" x="102"/>
        <item m="1" x="112"/>
        <item m="1" x="15"/>
        <item m="1" x="23"/>
        <item m="1" x="32"/>
        <item m="1" x="41"/>
        <item m="1" x="34"/>
        <item m="1" x="43"/>
        <item m="1" x="51"/>
        <item m="1" x="60"/>
        <item m="1" x="71"/>
        <item m="1" x="80"/>
        <item m="1" x="88"/>
        <item m="1" x="96"/>
        <item m="1" x="106"/>
        <item t="default"/>
      </items>
    </pivotField>
    <pivotField showAll="0"/>
    <pivotField showAll="0"/>
    <pivotField showAll="0"/>
    <pivotField showAll="0"/>
    <pivotField showAll="0"/>
    <pivotField showAll="0"/>
    <pivotField showAll="0"/>
    <pivotField showAll="0"/>
    <pivotField showAll="0"/>
    <pivotField axis="axisRow" showAll="0" sortType="descending">
      <items count="45">
        <item m="1" x="24"/>
        <item h="1" x="1"/>
        <item x="0"/>
        <item m="1" x="34"/>
        <item m="1" x="17"/>
        <item m="1" x="25"/>
        <item m="1" x="42"/>
        <item m="1" x="32"/>
        <item m="1" x="20"/>
        <item m="1" x="38"/>
        <item m="1" x="23"/>
        <item m="1" x="27"/>
        <item m="1" x="19"/>
        <item m="1" x="12"/>
        <item m="1" x="29"/>
        <item m="1" x="14"/>
        <item x="10"/>
        <item m="1" x="28"/>
        <item m="1" x="11"/>
        <item m="1" x="41"/>
        <item m="1" x="15"/>
        <item m="1" x="40"/>
        <item m="1" x="35"/>
        <item m="1" x="33"/>
        <item m="1" x="22"/>
        <item m="1" x="31"/>
        <item m="1" x="37"/>
        <item m="1" x="30"/>
        <item m="1" x="13"/>
        <item m="1" x="26"/>
        <item x="7"/>
        <item m="1" x="16"/>
        <item m="1" x="18"/>
        <item m="1" x="21"/>
        <item m="1" x="39"/>
        <item h="1" m="1" x="43"/>
        <item h="1" x="2"/>
        <item h="1" x="4"/>
        <item h="1" m="1" x="36"/>
        <item h="1" x="6"/>
        <item h="1" x="3"/>
        <item h="1" x="8"/>
        <item h="1" x="9"/>
        <item h="1" x="5"/>
        <item t="default"/>
      </items>
      <autoSortScope>
        <pivotArea dataOnly="0" outline="0" fieldPosition="0">
          <references count="1">
            <reference field="4294967294" count="1" selected="0">
              <x v="0"/>
            </reference>
          </references>
        </pivotArea>
      </autoSortScope>
    </pivotField>
    <pivotField axis="axisPage" multipleItemSelectionAllowed="1" showAll="0">
      <items count="4">
        <item x="1"/>
        <item x="0"/>
        <item x="2"/>
        <item t="default"/>
      </items>
    </pivotField>
    <pivotField showAll="0">
      <items count="7">
        <item x="1"/>
        <item x="2"/>
        <item x="3"/>
        <item x="4"/>
        <item x="0"/>
        <item x="5"/>
        <item t="default"/>
      </items>
    </pivotField>
    <pivotField showAll="0">
      <items count="5">
        <item x="1"/>
        <item x="2"/>
        <item x="0"/>
        <item x="3"/>
        <item t="default"/>
      </items>
    </pivotField>
  </pivotFields>
  <rowFields count="1">
    <field x="44"/>
  </rowFields>
  <rowItems count="4">
    <i>
      <x v="2"/>
    </i>
    <i>
      <x v="30"/>
    </i>
    <i>
      <x v="16"/>
    </i>
    <i t="grand">
      <x/>
    </i>
  </rowItems>
  <colItems count="1">
    <i/>
  </colItems>
  <pageFields count="2">
    <pageField fld="45" hier="-1"/>
    <pageField fld="34" hier="-1"/>
  </pageFields>
  <dataFields count="1">
    <dataField name="Count of Vulnerability ID" fld="14" subtotal="count" baseField="0" baseItem="0"/>
  </dataFields>
  <formats count="8">
    <format dxfId="80">
      <pivotArea outline="0" collapsedLevelsAreSubtotals="1" fieldPosition="0"/>
    </format>
    <format dxfId="79">
      <pivotArea field="13" type="button" dataOnly="0" labelOnly="1" outline="0"/>
    </format>
    <format dxfId="78">
      <pivotArea type="topRight" dataOnly="0" labelOnly="1" outline="0" fieldPosition="0"/>
    </format>
    <format dxfId="77">
      <pivotArea dataOnly="0" labelOnly="1" grandCol="1" outline="0" fieldPosition="0"/>
    </format>
    <format dxfId="76">
      <pivotArea outline="0" collapsedLevelsAreSubtotals="1" fieldPosition="0"/>
    </format>
    <format dxfId="75">
      <pivotArea field="13" type="button" dataOnly="0" labelOnly="1" outline="0"/>
    </format>
    <format dxfId="74">
      <pivotArea type="topRight" dataOnly="0" labelOnly="1" outline="0" fieldPosition="0"/>
    </format>
    <format dxfId="7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nist.gov/manuscript-publication-search.cfm?pub_id=915295,http://www.ecrypt.eu.org/ecrypt2/documents/D.SPA.20.pdf,http://nvlpubs.nist.gov/nistpubs/SpecialPublications/NIST.SP.800-52r1.pdf,https://wiki.mozilla.org/Security/Server_Side_TLS,https://www.owasp.org/index.php/Transport_Layer_Protection_Cheat_Sheet" TargetMode="Externa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727EB-D3FF-4A6E-A660-B6874706F29D}">
  <dimension ref="A25:B516"/>
  <sheetViews>
    <sheetView zoomScale="115" zoomScaleNormal="115" workbookViewId="0">
      <selection activeCell="A18" sqref="A18"/>
    </sheetView>
  </sheetViews>
  <sheetFormatPr defaultColWidth="8.88671875" defaultRowHeight="15.05" x14ac:dyDescent="0.3"/>
  <cols>
    <col min="1" max="1" width="44" style="1" customWidth="1"/>
    <col min="2" max="2" width="41.88671875" style="1" bestFit="1" customWidth="1"/>
    <col min="3" max="3" width="27" style="1" customWidth="1"/>
    <col min="4" max="4" width="8.88671875" style="1"/>
    <col min="5" max="5" width="22.21875" style="1" bestFit="1" customWidth="1"/>
    <col min="6" max="16384" width="8.88671875" style="1"/>
  </cols>
  <sheetData>
    <row r="25" spans="1:1" x14ac:dyDescent="0.3">
      <c r="A25" s="16"/>
    </row>
    <row r="37" spans="1:1" x14ac:dyDescent="0.3">
      <c r="A37" s="17"/>
    </row>
    <row r="38" spans="1:1" x14ac:dyDescent="0.3">
      <c r="A38" s="16"/>
    </row>
    <row r="41" spans="1:1" x14ac:dyDescent="0.3">
      <c r="A41" s="16"/>
    </row>
    <row r="56" spans="1:1" x14ac:dyDescent="0.3">
      <c r="A56" s="17"/>
    </row>
    <row r="57" spans="1:1" x14ac:dyDescent="0.3">
      <c r="A57" s="17"/>
    </row>
    <row r="58" spans="1:1" x14ac:dyDescent="0.3">
      <c r="A58" s="17"/>
    </row>
    <row r="74" spans="1:1" x14ac:dyDescent="0.3">
      <c r="A74" s="17"/>
    </row>
    <row r="75" spans="1:1" x14ac:dyDescent="0.3">
      <c r="A75" s="16"/>
    </row>
    <row r="86" spans="1:1" x14ac:dyDescent="0.3">
      <c r="A86" s="17"/>
    </row>
    <row r="87" spans="1:1" x14ac:dyDescent="0.3">
      <c r="A87" s="17"/>
    </row>
    <row r="88" spans="1:1" x14ac:dyDescent="0.3">
      <c r="A88" s="17"/>
    </row>
    <row r="89" spans="1:1" x14ac:dyDescent="0.3">
      <c r="A89" s="17"/>
    </row>
    <row r="90" spans="1:1" x14ac:dyDescent="0.3">
      <c r="A90" s="17"/>
    </row>
    <row r="91" spans="1:1" x14ac:dyDescent="0.3">
      <c r="A91" s="17"/>
    </row>
    <row r="92" spans="1:1" x14ac:dyDescent="0.3">
      <c r="A92" s="17"/>
    </row>
    <row r="93" spans="1:1" x14ac:dyDescent="0.3">
      <c r="A93" s="17"/>
    </row>
    <row r="97" spans="1:1" x14ac:dyDescent="0.3">
      <c r="A97" s="16"/>
    </row>
    <row r="103" spans="1:1" x14ac:dyDescent="0.3">
      <c r="A103" s="16"/>
    </row>
    <row r="104" spans="1:1" x14ac:dyDescent="0.3">
      <c r="A104" s="17"/>
    </row>
    <row r="105" spans="1:1" x14ac:dyDescent="0.3">
      <c r="A105" s="16"/>
    </row>
    <row r="108" spans="1:1" x14ac:dyDescent="0.3">
      <c r="A108" s="16"/>
    </row>
    <row r="112" spans="1:1" x14ac:dyDescent="0.3">
      <c r="A112" s="16"/>
    </row>
    <row r="113" spans="1:1" x14ac:dyDescent="0.3">
      <c r="A113" s="16"/>
    </row>
    <row r="115" spans="1:1" x14ac:dyDescent="0.3">
      <c r="A115" s="16"/>
    </row>
    <row r="122" spans="1:1" x14ac:dyDescent="0.3">
      <c r="A122" s="16"/>
    </row>
    <row r="124" spans="1:1" x14ac:dyDescent="0.3">
      <c r="A124" s="16"/>
    </row>
    <row r="125" spans="1:1" x14ac:dyDescent="0.3">
      <c r="A125" s="16"/>
    </row>
    <row r="126" spans="1:1" x14ac:dyDescent="0.3">
      <c r="A126" s="16"/>
    </row>
    <row r="132" spans="1:1" x14ac:dyDescent="0.3">
      <c r="A132" s="17"/>
    </row>
    <row r="135" spans="1:1" x14ac:dyDescent="0.3">
      <c r="A135" s="16"/>
    </row>
    <row r="136" spans="1:1" x14ac:dyDescent="0.3">
      <c r="A136" s="16"/>
    </row>
    <row r="155" spans="1:1" x14ac:dyDescent="0.3">
      <c r="A155" s="16"/>
    </row>
    <row r="156" spans="1:1" x14ac:dyDescent="0.3">
      <c r="A156" s="16"/>
    </row>
    <row r="158" spans="1:1" x14ac:dyDescent="0.3">
      <c r="A158" s="16"/>
    </row>
    <row r="159" spans="1:1" x14ac:dyDescent="0.3">
      <c r="A159" s="16"/>
    </row>
    <row r="162" spans="1:1" x14ac:dyDescent="0.3">
      <c r="A162" s="16"/>
    </row>
    <row r="163" spans="1:1" x14ac:dyDescent="0.3">
      <c r="A163" s="16"/>
    </row>
    <row r="164" spans="1:1" x14ac:dyDescent="0.3">
      <c r="A164" s="16"/>
    </row>
    <row r="165" spans="1:1" x14ac:dyDescent="0.3">
      <c r="A165" s="17"/>
    </row>
    <row r="166" spans="1:1" x14ac:dyDescent="0.3">
      <c r="A166" s="16"/>
    </row>
    <row r="167" spans="1:1" x14ac:dyDescent="0.3">
      <c r="A167" s="16"/>
    </row>
    <row r="168" spans="1:1" x14ac:dyDescent="0.3">
      <c r="A168" s="16"/>
    </row>
    <row r="169" spans="1:1" x14ac:dyDescent="0.3">
      <c r="A169" s="16"/>
    </row>
    <row r="170" spans="1:1" x14ac:dyDescent="0.3">
      <c r="A170" s="16"/>
    </row>
    <row r="171" spans="1:1" x14ac:dyDescent="0.3">
      <c r="A171" s="16"/>
    </row>
    <row r="172" spans="1:1" x14ac:dyDescent="0.3">
      <c r="A172" s="16"/>
    </row>
    <row r="173" spans="1:1" x14ac:dyDescent="0.3">
      <c r="A173" s="16"/>
    </row>
    <row r="174" spans="1:1" x14ac:dyDescent="0.3">
      <c r="A174" s="16"/>
    </row>
    <row r="175" spans="1:1" x14ac:dyDescent="0.3">
      <c r="A175" s="16"/>
    </row>
    <row r="176" spans="1:1" x14ac:dyDescent="0.3">
      <c r="A176" s="16"/>
    </row>
    <row r="177" spans="1:1" x14ac:dyDescent="0.3">
      <c r="A177" s="16"/>
    </row>
    <row r="178" spans="1:1" x14ac:dyDescent="0.3">
      <c r="A178" s="16"/>
    </row>
    <row r="194" spans="1:1" x14ac:dyDescent="0.3">
      <c r="A194" s="17"/>
    </row>
    <row r="195" spans="1:1" x14ac:dyDescent="0.3">
      <c r="A195" s="17"/>
    </row>
    <row r="196" spans="1:1" x14ac:dyDescent="0.3">
      <c r="A196" s="17"/>
    </row>
    <row r="197" spans="1:1" x14ac:dyDescent="0.3">
      <c r="A197" s="17"/>
    </row>
    <row r="198" spans="1:1" x14ac:dyDescent="0.3">
      <c r="A198" s="16"/>
    </row>
    <row r="199" spans="1:1" x14ac:dyDescent="0.3">
      <c r="A199" s="17"/>
    </row>
    <row r="200" spans="1:1" x14ac:dyDescent="0.3">
      <c r="A200" s="17"/>
    </row>
    <row r="201" spans="1:1" x14ac:dyDescent="0.3">
      <c r="A201" s="17"/>
    </row>
    <row r="202" spans="1:1" x14ac:dyDescent="0.3">
      <c r="A202" s="17"/>
    </row>
    <row r="203" spans="1:1" x14ac:dyDescent="0.3">
      <c r="A203" s="17"/>
    </row>
    <row r="204" spans="1:1" x14ac:dyDescent="0.3">
      <c r="A204" s="17"/>
    </row>
    <row r="205" spans="1:1" x14ac:dyDescent="0.3">
      <c r="A205" s="17"/>
    </row>
    <row r="206" spans="1:1" x14ac:dyDescent="0.3">
      <c r="A206" s="17"/>
    </row>
    <row r="207" spans="1:1" x14ac:dyDescent="0.3">
      <c r="A207" s="17"/>
    </row>
    <row r="208" spans="1:1" x14ac:dyDescent="0.3">
      <c r="A208" s="17"/>
    </row>
    <row r="209" spans="1:1" x14ac:dyDescent="0.3">
      <c r="A209" s="17"/>
    </row>
    <row r="212" spans="1:1" x14ac:dyDescent="0.3">
      <c r="A212" s="17"/>
    </row>
    <row r="213" spans="1:1" x14ac:dyDescent="0.3">
      <c r="A213" s="17"/>
    </row>
    <row r="214" spans="1:1" x14ac:dyDescent="0.3">
      <c r="A214" s="17"/>
    </row>
    <row r="215" spans="1:1" x14ac:dyDescent="0.3">
      <c r="A215" s="17"/>
    </row>
    <row r="217" spans="1:1" x14ac:dyDescent="0.3">
      <c r="A217" s="16"/>
    </row>
    <row r="229" spans="1:1" x14ac:dyDescent="0.3">
      <c r="A229" s="155"/>
    </row>
    <row r="231" spans="1:1" x14ac:dyDescent="0.3">
      <c r="A231" s="155"/>
    </row>
    <row r="232" spans="1:1" x14ac:dyDescent="0.3">
      <c r="A232" s="155"/>
    </row>
    <row r="233" spans="1:1" x14ac:dyDescent="0.3">
      <c r="A233" s="155"/>
    </row>
    <row r="234" spans="1:1" x14ac:dyDescent="0.3">
      <c r="A234" s="17"/>
    </row>
    <row r="235" spans="1:1" x14ac:dyDescent="0.3">
      <c r="A235" s="17"/>
    </row>
    <row r="236" spans="1:1" x14ac:dyDescent="0.3">
      <c r="A236" s="17"/>
    </row>
    <row r="238" spans="1:1" x14ac:dyDescent="0.3">
      <c r="A238" s="17"/>
    </row>
    <row r="239" spans="1:1" x14ac:dyDescent="0.3">
      <c r="A239" s="17"/>
    </row>
    <row r="240" spans="1:1" x14ac:dyDescent="0.3">
      <c r="A240" s="17"/>
    </row>
    <row r="241" spans="1:1" x14ac:dyDescent="0.3">
      <c r="A241" s="17"/>
    </row>
    <row r="242" spans="1:1" x14ac:dyDescent="0.3">
      <c r="A242" s="16"/>
    </row>
    <row r="247" spans="1:1" x14ac:dyDescent="0.3">
      <c r="A247" s="16"/>
    </row>
    <row r="248" spans="1:1" x14ac:dyDescent="0.3">
      <c r="A248" s="16"/>
    </row>
    <row r="253" spans="1:1" x14ac:dyDescent="0.3">
      <c r="A253" s="17"/>
    </row>
    <row r="254" spans="1:1" x14ac:dyDescent="0.3">
      <c r="A254" s="16"/>
    </row>
    <row r="255" spans="1:1" x14ac:dyDescent="0.3">
      <c r="A255" s="16"/>
    </row>
    <row r="259" spans="1:1" x14ac:dyDescent="0.3">
      <c r="A259" s="17"/>
    </row>
    <row r="260" spans="1:1" x14ac:dyDescent="0.3">
      <c r="A260" s="17"/>
    </row>
    <row r="261" spans="1:1" x14ac:dyDescent="0.3">
      <c r="A261" s="17"/>
    </row>
    <row r="262" spans="1:1" x14ac:dyDescent="0.3">
      <c r="A262" s="17"/>
    </row>
    <row r="263" spans="1:1" x14ac:dyDescent="0.3">
      <c r="A263" s="17"/>
    </row>
    <row r="265" spans="1:1" x14ac:dyDescent="0.3">
      <c r="A265" s="17"/>
    </row>
    <row r="266" spans="1:1" x14ac:dyDescent="0.3">
      <c r="A266" s="17"/>
    </row>
    <row r="274" spans="1:1" x14ac:dyDescent="0.3">
      <c r="A274" s="17"/>
    </row>
    <row r="275" spans="1:1" x14ac:dyDescent="0.3">
      <c r="A275" s="16"/>
    </row>
    <row r="291" spans="1:1" x14ac:dyDescent="0.3">
      <c r="A291" s="17"/>
    </row>
    <row r="292" spans="1:1" x14ac:dyDescent="0.3">
      <c r="A292" s="16"/>
    </row>
    <row r="293" spans="1:1" x14ac:dyDescent="0.3">
      <c r="A293" s="16"/>
    </row>
    <row r="299" spans="1:1" x14ac:dyDescent="0.3">
      <c r="A299" s="17"/>
    </row>
    <row r="300" spans="1:1" x14ac:dyDescent="0.3">
      <c r="A300" s="16"/>
    </row>
    <row r="308" spans="1:1" ht="20.45" customHeight="1" x14ac:dyDescent="0.3"/>
    <row r="316" spans="1:1" x14ac:dyDescent="0.3">
      <c r="A316" s="17"/>
    </row>
    <row r="317" spans="1:1" x14ac:dyDescent="0.3">
      <c r="A317" s="16"/>
    </row>
    <row r="327" spans="1:1" x14ac:dyDescent="0.3">
      <c r="A327" s="17"/>
    </row>
    <row r="328" spans="1:1" x14ac:dyDescent="0.3">
      <c r="A328" s="17"/>
    </row>
    <row r="329" spans="1:1" x14ac:dyDescent="0.3">
      <c r="A329" s="17"/>
    </row>
    <row r="330" spans="1:1" x14ac:dyDescent="0.3">
      <c r="A330" s="16"/>
    </row>
    <row r="331" spans="1:1" x14ac:dyDescent="0.3">
      <c r="A331" s="16"/>
    </row>
    <row r="332" spans="1:1" x14ac:dyDescent="0.3">
      <c r="A332" s="16"/>
    </row>
    <row r="341" spans="1:1" x14ac:dyDescent="0.3">
      <c r="A341" s="17"/>
    </row>
    <row r="342" spans="1:1" x14ac:dyDescent="0.3">
      <c r="A342" s="16"/>
    </row>
    <row r="354" spans="1:1" x14ac:dyDescent="0.3">
      <c r="A354" s="17"/>
    </row>
    <row r="355" spans="1:1" x14ac:dyDescent="0.3">
      <c r="A355" s="17"/>
    </row>
    <row r="356" spans="1:1" x14ac:dyDescent="0.3">
      <c r="A356" s="17"/>
    </row>
    <row r="357" spans="1:1" ht="56.45" customHeight="1" x14ac:dyDescent="0.3">
      <c r="A357" s="17"/>
    </row>
    <row r="358" spans="1:1" x14ac:dyDescent="0.3">
      <c r="A358" s="17"/>
    </row>
    <row r="359" spans="1:1" x14ac:dyDescent="0.3">
      <c r="A359" s="16"/>
    </row>
    <row r="360" spans="1:1" x14ac:dyDescent="0.3">
      <c r="A360" s="16"/>
    </row>
    <row r="367" spans="1:1" x14ac:dyDescent="0.3">
      <c r="A367" s="17"/>
    </row>
    <row r="368" spans="1:1" x14ac:dyDescent="0.3">
      <c r="A368" s="16"/>
    </row>
    <row r="369" spans="1:1" x14ac:dyDescent="0.3">
      <c r="A369" s="16"/>
    </row>
    <row r="370" spans="1:1" x14ac:dyDescent="0.3">
      <c r="A370" s="16"/>
    </row>
    <row r="371" spans="1:1" x14ac:dyDescent="0.3">
      <c r="A371" s="16"/>
    </row>
    <row r="373" spans="1:1" x14ac:dyDescent="0.3">
      <c r="A373" s="17"/>
    </row>
    <row r="374" spans="1:1" x14ac:dyDescent="0.3">
      <c r="A374" s="16"/>
    </row>
    <row r="375" spans="1:1" x14ac:dyDescent="0.3">
      <c r="A375" s="16"/>
    </row>
    <row r="376" spans="1:1" x14ac:dyDescent="0.3">
      <c r="A376" s="16"/>
    </row>
    <row r="377" spans="1:1" x14ac:dyDescent="0.3">
      <c r="A377" s="16"/>
    </row>
    <row r="404" spans="1:1" x14ac:dyDescent="0.3">
      <c r="A404" s="17"/>
    </row>
    <row r="405" spans="1:1" x14ac:dyDescent="0.3">
      <c r="A405" s="16"/>
    </row>
    <row r="453" spans="1:1" x14ac:dyDescent="0.3">
      <c r="A453" s="16"/>
    </row>
    <row r="454" spans="1:1" x14ac:dyDescent="0.3">
      <c r="A454" s="16"/>
    </row>
    <row r="455" spans="1:1" x14ac:dyDescent="0.3">
      <c r="A455" s="17"/>
    </row>
    <row r="468" spans="1:1" x14ac:dyDescent="0.3">
      <c r="A468" s="17"/>
    </row>
    <row r="478" spans="1:1" x14ac:dyDescent="0.3">
      <c r="A478" s="16"/>
    </row>
    <row r="480" spans="1:1" x14ac:dyDescent="0.3">
      <c r="A480" s="16"/>
    </row>
    <row r="482" spans="1:1" x14ac:dyDescent="0.3">
      <c r="A482" s="16"/>
    </row>
    <row r="484" spans="1:1" x14ac:dyDescent="0.3">
      <c r="A484" s="2"/>
    </row>
    <row r="485" spans="1:1" x14ac:dyDescent="0.3">
      <c r="A485" s="3"/>
    </row>
    <row r="486" spans="1:1" x14ac:dyDescent="0.3">
      <c r="A486" s="2"/>
    </row>
    <row r="487" spans="1:1" x14ac:dyDescent="0.3">
      <c r="A487" s="3"/>
    </row>
    <row r="488" spans="1:1" x14ac:dyDescent="0.3">
      <c r="A488" s="2"/>
    </row>
    <row r="489" spans="1:1" x14ac:dyDescent="0.3">
      <c r="A489" s="3"/>
    </row>
    <row r="490" spans="1:1" x14ac:dyDescent="0.3">
      <c r="A490" s="2"/>
    </row>
    <row r="491" spans="1:1" x14ac:dyDescent="0.3">
      <c r="A491" s="3"/>
    </row>
    <row r="492" spans="1:1" x14ac:dyDescent="0.3">
      <c r="A492" s="2"/>
    </row>
    <row r="493" spans="1:1" x14ac:dyDescent="0.3">
      <c r="A493" s="3"/>
    </row>
    <row r="494" spans="1:1" x14ac:dyDescent="0.3">
      <c r="A494" s="2"/>
    </row>
    <row r="495" spans="1:1" x14ac:dyDescent="0.3">
      <c r="A495" s="3"/>
    </row>
    <row r="496" spans="1:1" x14ac:dyDescent="0.3">
      <c r="A496" s="2"/>
    </row>
    <row r="497" spans="1:1" x14ac:dyDescent="0.3">
      <c r="A497" s="3"/>
    </row>
    <row r="498" spans="1:1" x14ac:dyDescent="0.3">
      <c r="A498" s="2"/>
    </row>
    <row r="499" spans="1:1" x14ac:dyDescent="0.3">
      <c r="A499" s="3"/>
    </row>
    <row r="500" spans="1:1" x14ac:dyDescent="0.3">
      <c r="A500" s="2"/>
    </row>
    <row r="501" spans="1:1" x14ac:dyDescent="0.3">
      <c r="A501" s="3"/>
    </row>
    <row r="502" spans="1:1" x14ac:dyDescent="0.3">
      <c r="A502" s="2"/>
    </row>
    <row r="503" spans="1:1" x14ac:dyDescent="0.3">
      <c r="A503" s="3"/>
    </row>
    <row r="504" spans="1:1" x14ac:dyDescent="0.3">
      <c r="A504" s="2"/>
    </row>
    <row r="505" spans="1:1" x14ac:dyDescent="0.3">
      <c r="A505" s="3"/>
    </row>
    <row r="506" spans="1:1" x14ac:dyDescent="0.3">
      <c r="A506" s="2"/>
    </row>
    <row r="507" spans="1:1" x14ac:dyDescent="0.3">
      <c r="A507" s="3"/>
    </row>
    <row r="508" spans="1:1" x14ac:dyDescent="0.3">
      <c r="A508" s="2"/>
    </row>
    <row r="509" spans="1:1" x14ac:dyDescent="0.3">
      <c r="A509" s="3"/>
    </row>
    <row r="510" spans="1:1" x14ac:dyDescent="0.3">
      <c r="A510" s="2"/>
    </row>
    <row r="511" spans="1:1" x14ac:dyDescent="0.3">
      <c r="A511" s="3"/>
    </row>
    <row r="512" spans="1:1" x14ac:dyDescent="0.3">
      <c r="A512" s="2"/>
    </row>
    <row r="513" spans="1:2" x14ac:dyDescent="0.3">
      <c r="A513" s="3"/>
    </row>
    <row r="514" spans="1:2" x14ac:dyDescent="0.3">
      <c r="A514" s="2"/>
      <c r="B514" s="4"/>
    </row>
    <row r="515" spans="1:2" x14ac:dyDescent="0.3">
      <c r="A515" s="2"/>
      <c r="B515" s="4"/>
    </row>
    <row r="516" spans="1:2" x14ac:dyDescent="0.3">
      <c r="A516" s="2"/>
      <c r="B516" s="4"/>
    </row>
  </sheetData>
  <phoneticPr fontId="2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8C6B4-C2B3-4E0C-86D0-6326B6E8444A}">
  <sheetPr>
    <tabColor theme="1" tint="4.9989318521683403E-2"/>
  </sheetPr>
  <dimension ref="A1:AV700"/>
  <sheetViews>
    <sheetView topLeftCell="AC1" zoomScale="70" zoomScaleNormal="70" workbookViewId="0">
      <selection activeCell="AS10" sqref="AS10"/>
    </sheetView>
  </sheetViews>
  <sheetFormatPr defaultColWidth="8.77734375" defaultRowHeight="15.75" outlineLevelCol="2" x14ac:dyDescent="0.3"/>
  <cols>
    <col min="1" max="1" width="59.44140625" style="41" bestFit="1" customWidth="1"/>
    <col min="2" max="2" width="12.88671875" style="41" bestFit="1" customWidth="1"/>
    <col min="3" max="3" width="41.44140625" style="41" bestFit="1" customWidth="1"/>
    <col min="4" max="4" width="23.5546875" style="39" bestFit="1" customWidth="1"/>
    <col min="5" max="5" width="11.88671875" style="39" bestFit="1" customWidth="1"/>
    <col min="6" max="6" width="42.44140625" style="43" customWidth="1"/>
    <col min="7" max="7" width="36.33203125" style="41" customWidth="1"/>
    <col min="8" max="8" width="16.5546875" style="43" bestFit="1" customWidth="1"/>
    <col min="9" max="9" width="14.21875" style="39" bestFit="1" customWidth="1"/>
    <col min="10" max="10" width="10.21875" style="39" bestFit="1" customWidth="1"/>
    <col min="11" max="11" width="38.33203125" style="41" bestFit="1" customWidth="1"/>
    <col min="12" max="12" width="19.88671875" style="41" bestFit="1" customWidth="1"/>
    <col min="13" max="13" width="25.77734375" style="9" bestFit="1" customWidth="1"/>
    <col min="14" max="14" width="9" style="42" bestFit="1" customWidth="1"/>
    <col min="15" max="15" width="43.88671875" style="41" customWidth="1" outlineLevel="1"/>
    <col min="16" max="16" width="98.109375" style="43" customWidth="1" outlineLevel="1"/>
    <col min="17" max="18" width="50.77734375" style="43" customWidth="1" outlineLevel="1"/>
    <col min="19" max="19" width="25.77734375" style="43" customWidth="1" outlineLevel="1"/>
    <col min="20" max="20" width="25.77734375" style="43" customWidth="1" outlineLevel="2"/>
    <col min="21" max="22" width="25.77734375" style="43" customWidth="1"/>
    <col min="23" max="23" width="17.109375" style="43" customWidth="1"/>
    <col min="24" max="24" width="24.44140625" style="39" bestFit="1" customWidth="1"/>
    <col min="25" max="25" width="4.5546875" style="39" customWidth="1"/>
    <col min="26" max="26" width="18.109375" style="39" bestFit="1" customWidth="1"/>
    <col min="27" max="27" width="25.77734375" style="39" customWidth="1"/>
    <col min="28" max="28" width="14.33203125" style="39" bestFit="1" customWidth="1"/>
    <col min="29" max="29" width="4.21875" style="41" customWidth="1"/>
    <col min="30" max="30" width="25.77734375" style="43" customWidth="1"/>
    <col min="31" max="31" width="40.109375" style="92" customWidth="1"/>
    <col min="32" max="32" width="4.33203125" style="65" customWidth="1"/>
    <col min="33" max="33" width="7.6640625" style="65" customWidth="1"/>
    <col min="34" max="34" width="4.33203125" style="41" customWidth="1"/>
    <col min="35" max="35" width="6.77734375" style="73" customWidth="1"/>
    <col min="36" max="36" width="8.6640625" style="42" bestFit="1" customWidth="1"/>
    <col min="37" max="37" width="11.88671875" style="39" bestFit="1" customWidth="1"/>
    <col min="38" max="38" width="6.5546875" style="39" bestFit="1" customWidth="1"/>
    <col min="39" max="39" width="11.88671875" style="39" bestFit="1" customWidth="1"/>
    <col min="40" max="40" width="6.109375" style="39" bestFit="1" customWidth="1"/>
    <col min="41" max="41" width="7.5546875" style="58" customWidth="1"/>
    <col min="42" max="42" width="8.33203125" style="8" hidden="1" customWidth="1"/>
    <col min="43" max="43" width="17.33203125" style="8" hidden="1" customWidth="1"/>
    <col min="44" max="44" width="19.5546875" style="108" customWidth="1"/>
    <col min="45" max="45" width="40.21875" style="29" customWidth="1"/>
    <col min="46" max="46" width="6" style="8" bestFit="1" customWidth="1"/>
    <col min="47" max="47" width="25" style="29" customWidth="1"/>
    <col min="48" max="16384" width="8.77734375" style="29"/>
  </cols>
  <sheetData>
    <row r="1" spans="1:48" s="134" customFormat="1" ht="30.8" customHeight="1" x14ac:dyDescent="0.25">
      <c r="A1" s="133" t="s">
        <v>492</v>
      </c>
      <c r="B1" s="133" t="s">
        <v>438</v>
      </c>
      <c r="C1" s="133" t="s">
        <v>1</v>
      </c>
      <c r="D1" s="45" t="s">
        <v>246</v>
      </c>
      <c r="E1" s="45" t="s">
        <v>3</v>
      </c>
      <c r="F1" s="134" t="s">
        <v>247</v>
      </c>
      <c r="G1" s="133" t="s">
        <v>4</v>
      </c>
      <c r="H1" s="134" t="s">
        <v>5</v>
      </c>
      <c r="I1" s="45" t="s">
        <v>6</v>
      </c>
      <c r="J1" s="45" t="s">
        <v>7</v>
      </c>
      <c r="K1" s="133" t="s">
        <v>8</v>
      </c>
      <c r="L1" s="133" t="s">
        <v>9</v>
      </c>
      <c r="M1" s="135" t="s">
        <v>10</v>
      </c>
      <c r="N1" s="47" t="s">
        <v>2539</v>
      </c>
      <c r="O1" s="133" t="s">
        <v>11</v>
      </c>
      <c r="P1" s="134" t="s">
        <v>12</v>
      </c>
      <c r="Q1" s="134" t="s">
        <v>13</v>
      </c>
      <c r="R1" s="134" t="s">
        <v>14</v>
      </c>
      <c r="S1" s="134" t="s">
        <v>15</v>
      </c>
      <c r="T1" s="134" t="s">
        <v>16</v>
      </c>
      <c r="U1" s="134" t="s">
        <v>17</v>
      </c>
      <c r="V1" s="134" t="s">
        <v>18</v>
      </c>
      <c r="W1" s="136" t="s">
        <v>19</v>
      </c>
      <c r="X1" s="45" t="s">
        <v>20</v>
      </c>
      <c r="Y1" s="45" t="s">
        <v>21</v>
      </c>
      <c r="Z1" s="45" t="s">
        <v>22</v>
      </c>
      <c r="AA1" s="45" t="s">
        <v>23</v>
      </c>
      <c r="AB1" s="45" t="s">
        <v>26</v>
      </c>
      <c r="AC1" s="133" t="s">
        <v>24</v>
      </c>
      <c r="AD1" s="134" t="s">
        <v>248</v>
      </c>
      <c r="AE1" s="137" t="s">
        <v>25</v>
      </c>
      <c r="AF1" s="138" t="s">
        <v>249</v>
      </c>
      <c r="AG1" s="138" t="s">
        <v>250</v>
      </c>
      <c r="AH1" s="139" t="s">
        <v>251</v>
      </c>
      <c r="AI1" s="71" t="s">
        <v>527</v>
      </c>
      <c r="AJ1" s="45" t="s">
        <v>252</v>
      </c>
      <c r="AK1" s="45" t="s">
        <v>489</v>
      </c>
      <c r="AL1" s="45" t="s">
        <v>2</v>
      </c>
      <c r="AM1" s="45" t="s">
        <v>489</v>
      </c>
      <c r="AN1" s="45" t="s">
        <v>2</v>
      </c>
      <c r="AO1" s="140" t="s">
        <v>527</v>
      </c>
      <c r="AP1" s="45" t="s">
        <v>2490</v>
      </c>
      <c r="AQ1" s="45" t="s">
        <v>2537</v>
      </c>
      <c r="AR1" s="141" t="s">
        <v>2930</v>
      </c>
      <c r="AS1" s="142" t="s">
        <v>2551</v>
      </c>
      <c r="AT1" s="45" t="s">
        <v>2547</v>
      </c>
      <c r="AU1" s="134" t="s">
        <v>2928</v>
      </c>
      <c r="AV1" s="134" t="s">
        <v>2935</v>
      </c>
    </row>
    <row r="2" spans="1:48" x14ac:dyDescent="0.3">
      <c r="A2" s="29" t="str">
        <f t="shared" ref="A2:A65" si="0">B2&amp;"/"&amp;J2&amp;"/"&amp;O2</f>
        <v>96.692.66.629/0/generic-tcp-timestamp</v>
      </c>
      <c r="B2" s="29" t="s">
        <v>2991</v>
      </c>
      <c r="C2" s="29" t="s">
        <v>2528</v>
      </c>
      <c r="D2" s="148" t="s">
        <v>2984</v>
      </c>
      <c r="E2" s="8" t="s">
        <v>265</v>
      </c>
      <c r="F2" s="29" t="s">
        <v>266</v>
      </c>
      <c r="G2" s="21" t="s">
        <v>267</v>
      </c>
      <c r="H2" s="29" t="s">
        <v>256</v>
      </c>
      <c r="I2" s="8" t="s">
        <v>257</v>
      </c>
      <c r="J2" s="8">
        <v>0</v>
      </c>
      <c r="K2" s="29" t="s">
        <v>258</v>
      </c>
      <c r="L2" s="29" t="s">
        <v>31</v>
      </c>
      <c r="M2" s="9">
        <v>1</v>
      </c>
      <c r="N2" s="9" t="s">
        <v>42</v>
      </c>
      <c r="O2" s="29" t="s">
        <v>78</v>
      </c>
      <c r="P2" s="29" t="s">
        <v>79</v>
      </c>
      <c r="Q2" s="29" t="s">
        <v>80</v>
      </c>
      <c r="R2" s="29" t="s">
        <v>81</v>
      </c>
      <c r="S2" s="29" t="s">
        <v>82</v>
      </c>
      <c r="T2" s="29" t="s">
        <v>83</v>
      </c>
      <c r="U2" s="29" t="s">
        <v>31</v>
      </c>
      <c r="V2" s="29" t="s">
        <v>31</v>
      </c>
      <c r="W2" s="57">
        <v>35643</v>
      </c>
      <c r="X2" s="8" t="s">
        <v>36</v>
      </c>
      <c r="Y2" s="8">
        <v>0</v>
      </c>
      <c r="Z2" s="8" t="s">
        <v>31</v>
      </c>
      <c r="AA2" s="8" t="s">
        <v>31</v>
      </c>
      <c r="AB2" s="8" t="s">
        <v>260</v>
      </c>
      <c r="AC2" s="29"/>
      <c r="AD2" s="29"/>
      <c r="AE2" s="94" t="s">
        <v>28</v>
      </c>
      <c r="AF2" s="30">
        <v>44150</v>
      </c>
      <c r="AG2" s="30">
        <v>44150</v>
      </c>
      <c r="AH2" s="8"/>
      <c r="AI2" s="72">
        <v>44124</v>
      </c>
      <c r="AJ2" s="23" t="s">
        <v>270</v>
      </c>
      <c r="AK2" s="8" t="e">
        <f>VLOOKUP(A2,'[1]Externe MAJ Nov'!$A:$H,8,0)</f>
        <v>#N/A</v>
      </c>
      <c r="AL2" s="29" t="e">
        <f>VLOOKUP(A2,'[1]Externe MAJ Nov'!$A:$G,7,0)</f>
        <v>#N/A</v>
      </c>
      <c r="AM2" s="29" t="s">
        <v>28</v>
      </c>
      <c r="AN2" s="29" t="s">
        <v>27</v>
      </c>
      <c r="AO2" s="58">
        <v>44124</v>
      </c>
      <c r="AP2" s="29" t="e">
        <f>VLOOKUP(A2,'[2]External Scan 02_21'!$B:$J,9,0)</f>
        <v>#N/A</v>
      </c>
      <c r="AQ2" s="29" t="s">
        <v>28</v>
      </c>
      <c r="AR2" s="75" t="s">
        <v>487</v>
      </c>
      <c r="AS2" s="21" t="str">
        <f>VLOOKUP(AE2,'ref statu'!A:B,2,0)</f>
        <v>Fixed</v>
      </c>
      <c r="AT2" s="8" t="e">
        <f>VLOOKUP(A2,chk!A:B,2,0)</f>
        <v>#N/A</v>
      </c>
      <c r="AU2" s="29" t="e">
        <f>VLOOKUP(A2,checker!A:B,2,0)</f>
        <v>#N/A</v>
      </c>
      <c r="AV2" s="29" t="e">
        <f>VLOOKUP(A2,checker!B:C,2,0)</f>
        <v>#N/A</v>
      </c>
    </row>
    <row r="3" spans="1:48" x14ac:dyDescent="0.3">
      <c r="A3" s="29" t="str">
        <f t="shared" si="0"/>
        <v>96.692.66.629/22/ssh-3des-ciphers</v>
      </c>
      <c r="B3" s="29" t="s">
        <v>2991</v>
      </c>
      <c r="C3" s="29" t="s">
        <v>2528</v>
      </c>
      <c r="D3" s="148" t="s">
        <v>2984</v>
      </c>
      <c r="E3" s="8" t="s">
        <v>265</v>
      </c>
      <c r="F3" s="29" t="s">
        <v>266</v>
      </c>
      <c r="G3" s="21" t="s">
        <v>267</v>
      </c>
      <c r="H3" s="29" t="s">
        <v>256</v>
      </c>
      <c r="I3" s="8" t="s">
        <v>257</v>
      </c>
      <c r="J3" s="8">
        <v>22</v>
      </c>
      <c r="K3" s="29" t="s">
        <v>268</v>
      </c>
      <c r="L3" s="29" t="s">
        <v>269</v>
      </c>
      <c r="M3" s="9">
        <v>1</v>
      </c>
      <c r="N3" s="9" t="s">
        <v>42</v>
      </c>
      <c r="O3" s="29" t="s">
        <v>49</v>
      </c>
      <c r="P3" s="29" t="s">
        <v>50</v>
      </c>
      <c r="Q3" s="29" t="s">
        <v>51</v>
      </c>
      <c r="R3" s="29" t="s">
        <v>52</v>
      </c>
      <c r="S3" s="29" t="s">
        <v>53</v>
      </c>
      <c r="T3" s="29" t="s">
        <v>54</v>
      </c>
      <c r="U3" s="29" t="s">
        <v>31</v>
      </c>
      <c r="V3" s="29" t="s">
        <v>31</v>
      </c>
      <c r="W3" s="57">
        <v>39845</v>
      </c>
      <c r="X3" s="8" t="s">
        <v>30</v>
      </c>
      <c r="Y3" s="8">
        <v>0</v>
      </c>
      <c r="Z3" s="8" t="s">
        <v>31</v>
      </c>
      <c r="AA3" s="8" t="s">
        <v>31</v>
      </c>
      <c r="AB3" s="8" t="s">
        <v>260</v>
      </c>
      <c r="AC3" s="29"/>
      <c r="AD3" s="29"/>
      <c r="AE3" s="95" t="s">
        <v>28</v>
      </c>
      <c r="AF3" s="22"/>
      <c r="AG3" s="30">
        <v>44256</v>
      </c>
      <c r="AH3" s="21"/>
      <c r="AI3" s="72">
        <v>44124</v>
      </c>
      <c r="AJ3" s="23" t="s">
        <v>270</v>
      </c>
      <c r="AK3" s="8" t="e">
        <f>VLOOKUP(A3,'[1]Externe MAJ Nov'!$A:$H,8,0)</f>
        <v>#N/A</v>
      </c>
      <c r="AL3" s="29" t="e">
        <f>VLOOKUP(A3,'[1]Externe MAJ Nov'!$A:$G,7,0)</f>
        <v>#N/A</v>
      </c>
      <c r="AM3" s="29" t="s">
        <v>28</v>
      </c>
      <c r="AN3" s="29" t="s">
        <v>27</v>
      </c>
      <c r="AO3" s="58">
        <v>44124</v>
      </c>
      <c r="AP3" s="29" t="e">
        <f>VLOOKUP(A3,'[2]External Scan 02_21'!$B:$J,9,0)</f>
        <v>#N/A</v>
      </c>
      <c r="AQ3" s="29" t="s">
        <v>488</v>
      </c>
      <c r="AR3" s="75" t="s">
        <v>487</v>
      </c>
      <c r="AS3" s="21" t="str">
        <f>VLOOKUP(AE3,'ref statu'!A:B,2,0)</f>
        <v>Fixed</v>
      </c>
      <c r="AT3" s="8" t="e">
        <f>VLOOKUP(A3,chk!A:B,2,0)</f>
        <v>#N/A</v>
      </c>
      <c r="AU3" s="29" t="e">
        <f>VLOOKUP(A3,checker!A:B,2,0)</f>
        <v>#N/A</v>
      </c>
      <c r="AV3" s="29" t="e">
        <f>VLOOKUP(A3,checker!B:C,2,0)</f>
        <v>#N/A</v>
      </c>
    </row>
    <row r="4" spans="1:48" x14ac:dyDescent="0.3">
      <c r="A4" s="29" t="str">
        <f t="shared" si="0"/>
        <v>96.692.66.629/22/ssh-cbc-ciphers</v>
      </c>
      <c r="B4" s="29" t="s">
        <v>2991</v>
      </c>
      <c r="C4" s="29" t="s">
        <v>2528</v>
      </c>
      <c r="D4" s="148" t="s">
        <v>2984</v>
      </c>
      <c r="E4" s="8" t="s">
        <v>265</v>
      </c>
      <c r="F4" s="29" t="s">
        <v>266</v>
      </c>
      <c r="G4" s="21" t="s">
        <v>267</v>
      </c>
      <c r="H4" s="29" t="s">
        <v>256</v>
      </c>
      <c r="I4" s="8" t="s">
        <v>257</v>
      </c>
      <c r="J4" s="8">
        <v>22</v>
      </c>
      <c r="K4" s="29" t="s">
        <v>268</v>
      </c>
      <c r="L4" s="29" t="s">
        <v>269</v>
      </c>
      <c r="M4" s="9">
        <v>3</v>
      </c>
      <c r="N4" s="9" t="s">
        <v>42</v>
      </c>
      <c r="O4" s="29" t="s">
        <v>55</v>
      </c>
      <c r="P4" s="29" t="s">
        <v>56</v>
      </c>
      <c r="Q4" s="29" t="s">
        <v>57</v>
      </c>
      <c r="R4" s="29" t="s">
        <v>58</v>
      </c>
      <c r="S4" s="29" t="s">
        <v>271</v>
      </c>
      <c r="T4" s="29" t="s">
        <v>59</v>
      </c>
      <c r="U4" s="29" t="s">
        <v>31</v>
      </c>
      <c r="V4" s="29" t="s">
        <v>31</v>
      </c>
      <c r="W4" s="57">
        <v>41313</v>
      </c>
      <c r="X4" s="8" t="s">
        <v>30</v>
      </c>
      <c r="Y4" s="8">
        <v>0</v>
      </c>
      <c r="Z4" s="8" t="s">
        <v>31</v>
      </c>
      <c r="AA4" s="8" t="s">
        <v>31</v>
      </c>
      <c r="AB4" s="8" t="s">
        <v>260</v>
      </c>
      <c r="AC4" s="29"/>
      <c r="AD4" s="29"/>
      <c r="AE4" s="95" t="s">
        <v>28</v>
      </c>
      <c r="AF4" s="22"/>
      <c r="AG4" s="30">
        <v>44256</v>
      </c>
      <c r="AH4" s="21"/>
      <c r="AI4" s="72">
        <v>44124</v>
      </c>
      <c r="AJ4" s="23" t="s">
        <v>270</v>
      </c>
      <c r="AK4" s="8" t="e">
        <f>VLOOKUP(A4,'[1]Externe MAJ Nov'!$A:$H,8,0)</f>
        <v>#N/A</v>
      </c>
      <c r="AL4" s="29" t="e">
        <f>VLOOKUP(A4,'[1]Externe MAJ Nov'!$A:$G,7,0)</f>
        <v>#N/A</v>
      </c>
      <c r="AM4" s="29" t="s">
        <v>28</v>
      </c>
      <c r="AN4" s="29" t="s">
        <v>27</v>
      </c>
      <c r="AO4" s="58">
        <v>44124</v>
      </c>
      <c r="AP4" s="29" t="e">
        <f>VLOOKUP(A4,'[2]External Scan 02_21'!$B:$J,9,0)</f>
        <v>#N/A</v>
      </c>
      <c r="AQ4" s="29" t="s">
        <v>488</v>
      </c>
      <c r="AR4" s="75" t="s">
        <v>487</v>
      </c>
      <c r="AS4" s="21" t="str">
        <f>VLOOKUP(AE4,'ref statu'!A:B,2,0)</f>
        <v>Fixed</v>
      </c>
      <c r="AT4" s="8" t="e">
        <f>VLOOKUP(A4,chk!A:B,2,0)</f>
        <v>#N/A</v>
      </c>
      <c r="AU4" s="29" t="e">
        <f>VLOOKUP(A4,checker!A:B,2,0)</f>
        <v>#N/A</v>
      </c>
      <c r="AV4" s="29" t="e">
        <f>VLOOKUP(A4,checker!B:C,2,0)</f>
        <v>#N/A</v>
      </c>
    </row>
    <row r="5" spans="1:48" x14ac:dyDescent="0.3">
      <c r="A5" s="29" t="str">
        <f t="shared" si="0"/>
        <v>96.692.66.629/22/ssh-cve-2015-4000</v>
      </c>
      <c r="B5" s="29" t="s">
        <v>2991</v>
      </c>
      <c r="C5" s="29" t="s">
        <v>2528</v>
      </c>
      <c r="D5" s="148" t="s">
        <v>2984</v>
      </c>
      <c r="E5" s="8" t="s">
        <v>265</v>
      </c>
      <c r="F5" s="29" t="s">
        <v>266</v>
      </c>
      <c r="G5" s="21" t="s">
        <v>267</v>
      </c>
      <c r="H5" s="29" t="s">
        <v>256</v>
      </c>
      <c r="I5" s="8" t="s">
        <v>257</v>
      </c>
      <c r="J5" s="8">
        <v>22</v>
      </c>
      <c r="K5" s="29" t="s">
        <v>268</v>
      </c>
      <c r="L5" s="29" t="s">
        <v>269</v>
      </c>
      <c r="M5" s="9">
        <v>4</v>
      </c>
      <c r="N5" s="9" t="s">
        <v>29</v>
      </c>
      <c r="O5" s="29" t="s">
        <v>60</v>
      </c>
      <c r="P5" s="29" t="s">
        <v>61</v>
      </c>
      <c r="Q5" s="29" t="s">
        <v>62</v>
      </c>
      <c r="R5" s="29" t="s">
        <v>63</v>
      </c>
      <c r="S5" s="29" t="s">
        <v>64</v>
      </c>
      <c r="T5" s="29" t="s">
        <v>65</v>
      </c>
      <c r="U5" s="29" t="s">
        <v>66</v>
      </c>
      <c r="V5" s="29" t="s">
        <v>273</v>
      </c>
      <c r="W5" s="57">
        <v>42144</v>
      </c>
      <c r="X5" s="8" t="s">
        <v>30</v>
      </c>
      <c r="Y5" s="8">
        <v>0</v>
      </c>
      <c r="Z5" s="8" t="s">
        <v>31</v>
      </c>
      <c r="AA5" s="8" t="s">
        <v>31</v>
      </c>
      <c r="AB5" s="8" t="s">
        <v>260</v>
      </c>
      <c r="AC5" s="29"/>
      <c r="AD5" s="29"/>
      <c r="AE5" s="95" t="s">
        <v>28</v>
      </c>
      <c r="AF5" s="22"/>
      <c r="AG5" s="30">
        <v>44256</v>
      </c>
      <c r="AH5" s="21"/>
      <c r="AI5" s="72">
        <v>44124</v>
      </c>
      <c r="AJ5" s="23" t="s">
        <v>270</v>
      </c>
      <c r="AK5" s="8" t="e">
        <f>VLOOKUP(A5,'[1]Externe MAJ Nov'!$A:$H,8,0)</f>
        <v>#N/A</v>
      </c>
      <c r="AL5" s="29" t="e">
        <f>VLOOKUP(A5,'[1]Externe MAJ Nov'!$A:$G,7,0)</f>
        <v>#N/A</v>
      </c>
      <c r="AM5" s="29" t="s">
        <v>28</v>
      </c>
      <c r="AN5" s="29" t="s">
        <v>27</v>
      </c>
      <c r="AO5" s="58">
        <v>44124</v>
      </c>
      <c r="AP5" s="29" t="e">
        <f>VLOOKUP(A5,'[2]External Scan 02_21'!$B:$J,9,0)</f>
        <v>#N/A</v>
      </c>
      <c r="AQ5" s="29" t="s">
        <v>488</v>
      </c>
      <c r="AR5" s="75" t="s">
        <v>487</v>
      </c>
      <c r="AS5" s="21" t="str">
        <f>VLOOKUP(AE5,'ref statu'!A:B,2,0)</f>
        <v>Fixed</v>
      </c>
      <c r="AT5" s="8" t="e">
        <f>VLOOKUP(A5,chk!A:B,2,0)</f>
        <v>#N/A</v>
      </c>
      <c r="AU5" s="29" t="e">
        <f>VLOOKUP(A5,checker!A:B,2,0)</f>
        <v>#N/A</v>
      </c>
      <c r="AV5" s="29" t="e">
        <f>VLOOKUP(A5,checker!B:C,2,0)</f>
        <v>#N/A</v>
      </c>
    </row>
    <row r="6" spans="1:48" x14ac:dyDescent="0.3">
      <c r="A6" s="29" t="str">
        <f t="shared" si="0"/>
        <v>96.692.66.629/22/ssh-cve-2016-2183-sweet32</v>
      </c>
      <c r="B6" s="29" t="s">
        <v>2991</v>
      </c>
      <c r="C6" s="29" t="s">
        <v>2528</v>
      </c>
      <c r="D6" s="148" t="s">
        <v>2984</v>
      </c>
      <c r="E6" s="8" t="s">
        <v>265</v>
      </c>
      <c r="F6" s="29" t="s">
        <v>266</v>
      </c>
      <c r="G6" s="21" t="s">
        <v>267</v>
      </c>
      <c r="H6" s="29" t="s">
        <v>256</v>
      </c>
      <c r="I6" s="8" t="s">
        <v>257</v>
      </c>
      <c r="J6" s="8">
        <v>22</v>
      </c>
      <c r="K6" s="29" t="s">
        <v>268</v>
      </c>
      <c r="L6" s="29" t="s">
        <v>269</v>
      </c>
      <c r="M6" s="9">
        <v>5</v>
      </c>
      <c r="N6" s="9" t="s">
        <v>29</v>
      </c>
      <c r="O6" s="29" t="s">
        <v>67</v>
      </c>
      <c r="P6" s="29" t="s">
        <v>68</v>
      </c>
      <c r="Q6" s="29" t="s">
        <v>69</v>
      </c>
      <c r="R6" s="29" t="s">
        <v>52</v>
      </c>
      <c r="S6" s="29" t="s">
        <v>53</v>
      </c>
      <c r="T6" s="29" t="s">
        <v>70</v>
      </c>
      <c r="U6" s="29" t="s">
        <v>71</v>
      </c>
      <c r="V6" s="29" t="s">
        <v>278</v>
      </c>
      <c r="W6" s="57">
        <v>42606</v>
      </c>
      <c r="X6" s="8" t="s">
        <v>30</v>
      </c>
      <c r="Y6" s="8">
        <v>1</v>
      </c>
      <c r="Z6" s="8" t="s">
        <v>279</v>
      </c>
      <c r="AA6" s="8" t="s">
        <v>280</v>
      </c>
      <c r="AB6" s="8" t="s">
        <v>260</v>
      </c>
      <c r="AC6" s="29"/>
      <c r="AD6" s="29"/>
      <c r="AE6" s="95" t="s">
        <v>28</v>
      </c>
      <c r="AF6" s="22"/>
      <c r="AG6" s="30">
        <v>44256</v>
      </c>
      <c r="AH6" s="21"/>
      <c r="AI6" s="72">
        <v>44124</v>
      </c>
      <c r="AJ6" s="23" t="s">
        <v>270</v>
      </c>
      <c r="AK6" s="8" t="e">
        <f>VLOOKUP(A6,'[1]Externe MAJ Nov'!$A:$H,8,0)</f>
        <v>#N/A</v>
      </c>
      <c r="AL6" s="29" t="e">
        <f>VLOOKUP(A6,'[1]Externe MAJ Nov'!$A:$G,7,0)</f>
        <v>#N/A</v>
      </c>
      <c r="AM6" s="29" t="s">
        <v>28</v>
      </c>
      <c r="AN6" s="29" t="s">
        <v>27</v>
      </c>
      <c r="AO6" s="58">
        <v>44124</v>
      </c>
      <c r="AP6" s="29" t="e">
        <f>VLOOKUP(A6,'[2]External Scan 02_21'!$B:$J,9,0)</f>
        <v>#N/A</v>
      </c>
      <c r="AQ6" s="29" t="s">
        <v>488</v>
      </c>
      <c r="AR6" s="75" t="s">
        <v>487</v>
      </c>
      <c r="AS6" s="21" t="str">
        <f>VLOOKUP(AE6,'ref statu'!A:B,2,0)</f>
        <v>Fixed</v>
      </c>
      <c r="AT6" s="8" t="e">
        <f>VLOOKUP(A6,chk!A:B,2,0)</f>
        <v>#N/A</v>
      </c>
      <c r="AU6" s="29" t="e">
        <f>VLOOKUP(A6,checker!A:B,2,0)</f>
        <v>#N/A</v>
      </c>
      <c r="AV6" s="29" t="e">
        <f>VLOOKUP(A6,checker!B:C,2,0)</f>
        <v>#N/A</v>
      </c>
    </row>
    <row r="7" spans="1:48" x14ac:dyDescent="0.3">
      <c r="A7" s="29" t="str">
        <f t="shared" si="0"/>
        <v>96.692.66.629/22/ssh-rc4-ciphers</v>
      </c>
      <c r="B7" s="29" t="s">
        <v>2991</v>
      </c>
      <c r="C7" s="29" t="s">
        <v>2528</v>
      </c>
      <c r="D7" s="148" t="s">
        <v>2984</v>
      </c>
      <c r="E7" s="8" t="s">
        <v>265</v>
      </c>
      <c r="F7" s="29" t="s">
        <v>266</v>
      </c>
      <c r="G7" s="21" t="s">
        <v>267</v>
      </c>
      <c r="H7" s="29" t="s">
        <v>256</v>
      </c>
      <c r="I7" s="8" t="s">
        <v>257</v>
      </c>
      <c r="J7" s="8">
        <v>22</v>
      </c>
      <c r="K7" s="29" t="s">
        <v>268</v>
      </c>
      <c r="L7" s="29" t="s">
        <v>269</v>
      </c>
      <c r="M7" s="9">
        <v>4</v>
      </c>
      <c r="N7" s="9" t="s">
        <v>29</v>
      </c>
      <c r="O7" s="29" t="s">
        <v>84</v>
      </c>
      <c r="P7" s="29" t="s">
        <v>85</v>
      </c>
      <c r="Q7" s="29" t="s">
        <v>86</v>
      </c>
      <c r="R7" s="29" t="s">
        <v>87</v>
      </c>
      <c r="S7" s="29" t="s">
        <v>272</v>
      </c>
      <c r="T7" s="29" t="s">
        <v>88</v>
      </c>
      <c r="U7" s="29" t="s">
        <v>31</v>
      </c>
      <c r="V7" s="29" t="s">
        <v>31</v>
      </c>
      <c r="W7" s="57">
        <v>41345</v>
      </c>
      <c r="X7" s="8" t="s">
        <v>30</v>
      </c>
      <c r="Y7" s="8">
        <v>0</v>
      </c>
      <c r="Z7" s="8" t="s">
        <v>31</v>
      </c>
      <c r="AA7" s="8" t="s">
        <v>31</v>
      </c>
      <c r="AB7" s="8" t="s">
        <v>260</v>
      </c>
      <c r="AC7" s="29"/>
      <c r="AD7" s="29"/>
      <c r="AE7" s="95" t="s">
        <v>28</v>
      </c>
      <c r="AF7" s="22"/>
      <c r="AG7" s="30">
        <v>44256</v>
      </c>
      <c r="AH7" s="21"/>
      <c r="AI7" s="72">
        <v>44124</v>
      </c>
      <c r="AJ7" s="23" t="s">
        <v>270</v>
      </c>
      <c r="AK7" s="8" t="e">
        <f>VLOOKUP(A7,'[1]Externe MAJ Nov'!$A:$H,8,0)</f>
        <v>#N/A</v>
      </c>
      <c r="AL7" s="29" t="e">
        <f>VLOOKUP(A7,'[1]Externe MAJ Nov'!$A:$G,7,0)</f>
        <v>#N/A</v>
      </c>
      <c r="AM7" s="29" t="s">
        <v>28</v>
      </c>
      <c r="AN7" s="29" t="s">
        <v>27</v>
      </c>
      <c r="AO7" s="58">
        <v>44124</v>
      </c>
      <c r="AP7" s="29" t="e">
        <f>VLOOKUP(A7,'[2]External Scan 02_21'!$B:$J,9,0)</f>
        <v>#N/A</v>
      </c>
      <c r="AQ7" s="29" t="s">
        <v>488</v>
      </c>
      <c r="AR7" s="75" t="s">
        <v>487</v>
      </c>
      <c r="AS7" s="21" t="str">
        <f>VLOOKUP(AE7,'ref statu'!A:B,2,0)</f>
        <v>Fixed</v>
      </c>
      <c r="AT7" s="8" t="e">
        <f>VLOOKUP(A7,chk!A:B,2,0)</f>
        <v>#N/A</v>
      </c>
      <c r="AU7" s="29" t="e">
        <f>VLOOKUP(A7,checker!A:B,2,0)</f>
        <v>#N/A</v>
      </c>
      <c r="AV7" s="29" t="e">
        <f>VLOOKUP(A7,checker!B:C,2,0)</f>
        <v>#N/A</v>
      </c>
    </row>
    <row r="8" spans="1:48" x14ac:dyDescent="0.3">
      <c r="A8" s="29" t="str">
        <f t="shared" si="0"/>
        <v>96.692.66.629/22/ssh-weak-kex-algorithms</v>
      </c>
      <c r="B8" s="29" t="s">
        <v>2991</v>
      </c>
      <c r="C8" s="29" t="s">
        <v>2528</v>
      </c>
      <c r="D8" s="148" t="s">
        <v>2984</v>
      </c>
      <c r="E8" s="8" t="s">
        <v>265</v>
      </c>
      <c r="F8" s="29" t="s">
        <v>266</v>
      </c>
      <c r="G8" s="21" t="s">
        <v>267</v>
      </c>
      <c r="H8" s="29" t="s">
        <v>256</v>
      </c>
      <c r="I8" s="8" t="s">
        <v>257</v>
      </c>
      <c r="J8" s="8">
        <v>22</v>
      </c>
      <c r="K8" s="29" t="s">
        <v>268</v>
      </c>
      <c r="L8" s="29" t="s">
        <v>269</v>
      </c>
      <c r="M8" s="9">
        <v>4</v>
      </c>
      <c r="N8" s="9" t="s">
        <v>29</v>
      </c>
      <c r="O8" s="29" t="s">
        <v>72</v>
      </c>
      <c r="P8" s="29" t="s">
        <v>73</v>
      </c>
      <c r="Q8" s="29" t="s">
        <v>74</v>
      </c>
      <c r="R8" s="29" t="s">
        <v>75</v>
      </c>
      <c r="S8" s="29" t="s">
        <v>244</v>
      </c>
      <c r="T8" s="29" t="s">
        <v>76</v>
      </c>
      <c r="U8" s="29" t="s">
        <v>31</v>
      </c>
      <c r="V8" s="29" t="s">
        <v>31</v>
      </c>
      <c r="W8" s="57">
        <v>42929</v>
      </c>
      <c r="X8" s="8" t="s">
        <v>30</v>
      </c>
      <c r="Y8" s="8">
        <v>0</v>
      </c>
      <c r="Z8" s="8" t="s">
        <v>31</v>
      </c>
      <c r="AA8" s="8" t="s">
        <v>31</v>
      </c>
      <c r="AB8" s="8" t="s">
        <v>260</v>
      </c>
      <c r="AC8" s="29"/>
      <c r="AD8" s="29"/>
      <c r="AE8" s="95" t="s">
        <v>28</v>
      </c>
      <c r="AF8" s="22"/>
      <c r="AG8" s="30">
        <v>44256</v>
      </c>
      <c r="AH8" s="21"/>
      <c r="AI8" s="72">
        <v>44124</v>
      </c>
      <c r="AJ8" s="23" t="s">
        <v>270</v>
      </c>
      <c r="AK8" s="8" t="e">
        <f>VLOOKUP(A8,'[1]Externe MAJ Nov'!$A:$H,8,0)</f>
        <v>#N/A</v>
      </c>
      <c r="AL8" s="29" t="e">
        <f>VLOOKUP(A8,'[1]Externe MAJ Nov'!$A:$G,7,0)</f>
        <v>#N/A</v>
      </c>
      <c r="AM8" s="29" t="s">
        <v>28</v>
      </c>
      <c r="AN8" s="29" t="s">
        <v>27</v>
      </c>
      <c r="AO8" s="58">
        <v>44124</v>
      </c>
      <c r="AP8" s="29" t="e">
        <f>VLOOKUP(A8,'[2]External Scan 02_21'!$B:$J,9,0)</f>
        <v>#N/A</v>
      </c>
      <c r="AQ8" s="29" t="s">
        <v>488</v>
      </c>
      <c r="AR8" s="75" t="s">
        <v>487</v>
      </c>
      <c r="AS8" s="21" t="str">
        <f>VLOOKUP(AE8,'ref statu'!A:B,2,0)</f>
        <v>Fixed</v>
      </c>
      <c r="AT8" s="8" t="e">
        <f>VLOOKUP(A8,chk!A:B,2,0)</f>
        <v>#N/A</v>
      </c>
      <c r="AU8" s="29" t="e">
        <f>VLOOKUP(A8,checker!A:B,2,0)</f>
        <v>#N/A</v>
      </c>
      <c r="AV8" s="29" t="e">
        <f>VLOOKUP(A8,checker!B:C,2,0)</f>
        <v>#N/A</v>
      </c>
    </row>
    <row r="9" spans="1:48" x14ac:dyDescent="0.3">
      <c r="A9" s="29" t="str">
        <f t="shared" si="0"/>
        <v>96.692.66.629/22/ssh-weak-message-authentication-code-algorithms</v>
      </c>
      <c r="B9" s="29" t="s">
        <v>2991</v>
      </c>
      <c r="C9" s="29" t="s">
        <v>2528</v>
      </c>
      <c r="D9" s="148" t="s">
        <v>2984</v>
      </c>
      <c r="E9" s="8" t="s">
        <v>265</v>
      </c>
      <c r="F9" s="29" t="s">
        <v>266</v>
      </c>
      <c r="G9" s="21" t="s">
        <v>267</v>
      </c>
      <c r="H9" s="29" t="s">
        <v>256</v>
      </c>
      <c r="I9" s="8" t="s">
        <v>257</v>
      </c>
      <c r="J9" s="8">
        <v>22</v>
      </c>
      <c r="K9" s="29" t="s">
        <v>268</v>
      </c>
      <c r="L9" s="29" t="s">
        <v>269</v>
      </c>
      <c r="M9" s="9">
        <v>4</v>
      </c>
      <c r="N9" s="9" t="s">
        <v>29</v>
      </c>
      <c r="O9" s="29" t="s">
        <v>89</v>
      </c>
      <c r="P9" s="29" t="s">
        <v>90</v>
      </c>
      <c r="Q9" s="29" t="s">
        <v>91</v>
      </c>
      <c r="R9" s="29" t="s">
        <v>92</v>
      </c>
      <c r="S9" s="29" t="s">
        <v>274</v>
      </c>
      <c r="T9" s="29" t="s">
        <v>93</v>
      </c>
      <c r="U9" s="29" t="s">
        <v>31</v>
      </c>
      <c r="V9" s="29" t="s">
        <v>31</v>
      </c>
      <c r="W9" s="57">
        <v>41645</v>
      </c>
      <c r="X9" s="8" t="s">
        <v>30</v>
      </c>
      <c r="Y9" s="8">
        <v>0</v>
      </c>
      <c r="Z9" s="8" t="s">
        <v>31</v>
      </c>
      <c r="AA9" s="8" t="s">
        <v>31</v>
      </c>
      <c r="AB9" s="8" t="s">
        <v>260</v>
      </c>
      <c r="AC9" s="29"/>
      <c r="AD9" s="29"/>
      <c r="AE9" s="95" t="s">
        <v>28</v>
      </c>
      <c r="AF9" s="22"/>
      <c r="AG9" s="30">
        <v>44256</v>
      </c>
      <c r="AH9" s="21"/>
      <c r="AI9" s="72">
        <v>44124</v>
      </c>
      <c r="AJ9" s="23" t="s">
        <v>270</v>
      </c>
      <c r="AK9" s="8" t="e">
        <f>VLOOKUP(A9,'[1]Externe MAJ Nov'!$A:$H,8,0)</f>
        <v>#N/A</v>
      </c>
      <c r="AL9" s="29" t="e">
        <f>VLOOKUP(A9,'[1]Externe MAJ Nov'!$A:$G,7,0)</f>
        <v>#N/A</v>
      </c>
      <c r="AM9" s="29" t="s">
        <v>28</v>
      </c>
      <c r="AN9" s="29" t="s">
        <v>27</v>
      </c>
      <c r="AO9" s="58">
        <v>44124</v>
      </c>
      <c r="AP9" s="29" t="e">
        <f>VLOOKUP(A9,'[2]External Scan 02_21'!$B:$J,9,0)</f>
        <v>#N/A</v>
      </c>
      <c r="AQ9" s="29" t="s">
        <v>488</v>
      </c>
      <c r="AR9" s="75" t="s">
        <v>487</v>
      </c>
      <c r="AS9" s="21" t="str">
        <f>VLOOKUP(AE9,'ref statu'!A:B,2,0)</f>
        <v>Fixed</v>
      </c>
      <c r="AT9" s="8" t="e">
        <f>VLOOKUP(A9,chk!A:B,2,0)</f>
        <v>#N/A</v>
      </c>
      <c r="AU9" s="29" t="e">
        <f>VLOOKUP(A9,checker!A:B,2,0)</f>
        <v>#N/A</v>
      </c>
      <c r="AV9" s="29" t="e">
        <f>VLOOKUP(A9,checker!B:C,2,0)</f>
        <v>#N/A</v>
      </c>
    </row>
    <row r="10" spans="1:48" x14ac:dyDescent="0.3">
      <c r="A10" s="29" t="str">
        <f t="shared" si="0"/>
        <v>96.692.66.629/80/http-basic-auth-cleartext</v>
      </c>
      <c r="B10" s="29" t="s">
        <v>2991</v>
      </c>
      <c r="C10" s="29" t="s">
        <v>2528</v>
      </c>
      <c r="D10" s="148" t="s">
        <v>2984</v>
      </c>
      <c r="E10" s="8" t="s">
        <v>265</v>
      </c>
      <c r="F10" s="29" t="s">
        <v>266</v>
      </c>
      <c r="G10" s="21" t="s">
        <v>267</v>
      </c>
      <c r="H10" s="29" t="s">
        <v>256</v>
      </c>
      <c r="I10" s="8" t="s">
        <v>257</v>
      </c>
      <c r="J10" s="8">
        <v>80</v>
      </c>
      <c r="K10" s="29" t="s">
        <v>275</v>
      </c>
      <c r="L10" s="29" t="s">
        <v>276</v>
      </c>
      <c r="M10" s="9">
        <v>7</v>
      </c>
      <c r="N10" s="10" t="s">
        <v>2540</v>
      </c>
      <c r="O10" s="29" t="s">
        <v>178</v>
      </c>
      <c r="P10" s="29" t="s">
        <v>179</v>
      </c>
      <c r="Q10" s="29" t="s">
        <v>180</v>
      </c>
      <c r="R10" s="29" t="s">
        <v>181</v>
      </c>
      <c r="S10" s="29" t="s">
        <v>285</v>
      </c>
      <c r="T10" s="29" t="s">
        <v>182</v>
      </c>
      <c r="U10" s="29" t="s">
        <v>31</v>
      </c>
      <c r="V10" s="29" t="s">
        <v>31</v>
      </c>
      <c r="W10" s="57">
        <v>35431</v>
      </c>
      <c r="X10" s="8" t="s">
        <v>36</v>
      </c>
      <c r="Y10" s="8">
        <v>0</v>
      </c>
      <c r="Z10" s="8" t="s">
        <v>31</v>
      </c>
      <c r="AA10" s="8" t="s">
        <v>31</v>
      </c>
      <c r="AB10" s="8" t="s">
        <v>260</v>
      </c>
      <c r="AC10" s="29"/>
      <c r="AD10" s="29"/>
      <c r="AE10" s="95" t="s">
        <v>28</v>
      </c>
      <c r="AF10" s="22"/>
      <c r="AG10" s="30">
        <v>44256</v>
      </c>
      <c r="AH10" s="21"/>
      <c r="AI10" s="72">
        <v>44124</v>
      </c>
      <c r="AJ10" s="23" t="s">
        <v>270</v>
      </c>
      <c r="AK10" s="8" t="e">
        <f>VLOOKUP(A10,'[1]Externe MAJ Nov'!$A:$H,8,0)</f>
        <v>#N/A</v>
      </c>
      <c r="AL10" s="29" t="e">
        <f>VLOOKUP(A10,'[1]Externe MAJ Nov'!$A:$G,7,0)</f>
        <v>#N/A</v>
      </c>
      <c r="AM10" s="29" t="s">
        <v>28</v>
      </c>
      <c r="AN10" s="29" t="s">
        <v>27</v>
      </c>
      <c r="AO10" s="58">
        <v>44124</v>
      </c>
      <c r="AP10" s="29" t="e">
        <f>VLOOKUP(A10,'[2]External Scan 02_21'!$B:$J,9,0)</f>
        <v>#N/A</v>
      </c>
      <c r="AQ10" s="29" t="s">
        <v>488</v>
      </c>
      <c r="AR10" s="75" t="s">
        <v>487</v>
      </c>
      <c r="AS10" s="21" t="str">
        <f>VLOOKUP(AE10,'ref statu'!A:B,2,0)</f>
        <v>Fixed</v>
      </c>
      <c r="AT10" s="8" t="e">
        <f>VLOOKUP(A10,chk!A:B,2,0)</f>
        <v>#N/A</v>
      </c>
      <c r="AU10" s="29" t="e">
        <f>VLOOKUP(A10,checker!A:B,2,0)</f>
        <v>#N/A</v>
      </c>
      <c r="AV10" s="29" t="e">
        <f>VLOOKUP(A10,checker!B:C,2,0)</f>
        <v>#N/A</v>
      </c>
    </row>
    <row r="11" spans="1:48" x14ac:dyDescent="0.3">
      <c r="A11" s="29" t="str">
        <f t="shared" si="0"/>
        <v>96.692.66.629/80/http-generic-browsable-dir</v>
      </c>
      <c r="B11" s="29" t="s">
        <v>2991</v>
      </c>
      <c r="C11" s="29" t="s">
        <v>2528</v>
      </c>
      <c r="D11" s="148" t="s">
        <v>2984</v>
      </c>
      <c r="E11" s="8" t="s">
        <v>265</v>
      </c>
      <c r="F11" s="29" t="s">
        <v>266</v>
      </c>
      <c r="G11" s="21" t="s">
        <v>267</v>
      </c>
      <c r="H11" s="29" t="s">
        <v>256</v>
      </c>
      <c r="I11" s="8" t="s">
        <v>257</v>
      </c>
      <c r="J11" s="8">
        <v>80</v>
      </c>
      <c r="K11" s="29" t="s">
        <v>275</v>
      </c>
      <c r="L11" s="29" t="s">
        <v>276</v>
      </c>
      <c r="M11" s="9">
        <v>5</v>
      </c>
      <c r="N11" s="9" t="s">
        <v>29</v>
      </c>
      <c r="O11" s="29" t="s">
        <v>32</v>
      </c>
      <c r="P11" s="29" t="s">
        <v>33</v>
      </c>
      <c r="Q11" s="29" t="s">
        <v>34</v>
      </c>
      <c r="R11" s="29" t="s">
        <v>35</v>
      </c>
      <c r="S11" s="29" t="s">
        <v>281</v>
      </c>
      <c r="T11" s="29" t="s">
        <v>31</v>
      </c>
      <c r="U11" s="29" t="s">
        <v>31</v>
      </c>
      <c r="V11" s="29" t="s">
        <v>31</v>
      </c>
      <c r="W11" s="57">
        <v>36892</v>
      </c>
      <c r="X11" s="8" t="s">
        <v>36</v>
      </c>
      <c r="Y11" s="8">
        <v>0</v>
      </c>
      <c r="Z11" s="8" t="s">
        <v>31</v>
      </c>
      <c r="AA11" s="8" t="s">
        <v>31</v>
      </c>
      <c r="AB11" s="8" t="s">
        <v>260</v>
      </c>
      <c r="AC11" s="29"/>
      <c r="AD11" s="29"/>
      <c r="AE11" s="95" t="s">
        <v>28</v>
      </c>
      <c r="AF11" s="22"/>
      <c r="AG11" s="30">
        <v>44256</v>
      </c>
      <c r="AH11" s="21"/>
      <c r="AI11" s="72">
        <v>44124</v>
      </c>
      <c r="AJ11" s="23" t="s">
        <v>270</v>
      </c>
      <c r="AK11" s="8" t="e">
        <f>VLOOKUP(A11,'[1]Externe MAJ Nov'!$A:$H,8,0)</f>
        <v>#N/A</v>
      </c>
      <c r="AL11" s="29" t="e">
        <f>VLOOKUP(A11,'[1]Externe MAJ Nov'!$A:$G,7,0)</f>
        <v>#N/A</v>
      </c>
      <c r="AM11" s="29" t="s">
        <v>28</v>
      </c>
      <c r="AN11" s="29" t="s">
        <v>27</v>
      </c>
      <c r="AO11" s="58">
        <v>44124</v>
      </c>
      <c r="AP11" s="29" t="e">
        <f>VLOOKUP(A11,'[2]External Scan 02_21'!$B:$J,9,0)</f>
        <v>#N/A</v>
      </c>
      <c r="AQ11" s="29" t="s">
        <v>488</v>
      </c>
      <c r="AR11" s="75" t="s">
        <v>487</v>
      </c>
      <c r="AS11" s="21" t="str">
        <f>VLOOKUP(AE11,'ref statu'!A:B,2,0)</f>
        <v>Fixed</v>
      </c>
      <c r="AT11" s="8" t="e">
        <f>VLOOKUP(A11,chk!A:B,2,0)</f>
        <v>#N/A</v>
      </c>
      <c r="AU11" s="29" t="e">
        <f>VLOOKUP(A11,checker!A:B,2,0)</f>
        <v>#N/A</v>
      </c>
      <c r="AV11" s="29" t="e">
        <f>VLOOKUP(A11,checker!B:C,2,0)</f>
        <v>#N/A</v>
      </c>
    </row>
    <row r="12" spans="1:48" x14ac:dyDescent="0.3">
      <c r="A12" s="29" t="str">
        <f t="shared" si="0"/>
        <v>96.692.66.629/80/http-generic-click-jacking</v>
      </c>
      <c r="B12" s="29" t="s">
        <v>2991</v>
      </c>
      <c r="C12" s="29" t="s">
        <v>2528</v>
      </c>
      <c r="D12" s="148" t="s">
        <v>2984</v>
      </c>
      <c r="E12" s="8" t="s">
        <v>265</v>
      </c>
      <c r="F12" s="29" t="s">
        <v>266</v>
      </c>
      <c r="G12" s="21" t="s">
        <v>267</v>
      </c>
      <c r="H12" s="29" t="s">
        <v>256</v>
      </c>
      <c r="I12" s="8" t="s">
        <v>257</v>
      </c>
      <c r="J12" s="8">
        <v>80</v>
      </c>
      <c r="K12" s="29" t="s">
        <v>275</v>
      </c>
      <c r="L12" s="29" t="s">
        <v>276</v>
      </c>
      <c r="M12" s="9">
        <v>4</v>
      </c>
      <c r="N12" s="9" t="s">
        <v>29</v>
      </c>
      <c r="O12" s="29" t="s">
        <v>37</v>
      </c>
      <c r="P12" s="29" t="s">
        <v>38</v>
      </c>
      <c r="Q12" s="29" t="s">
        <v>39</v>
      </c>
      <c r="R12" s="29" t="s">
        <v>40</v>
      </c>
      <c r="S12" s="29" t="s">
        <v>277</v>
      </c>
      <c r="T12" s="29" t="s">
        <v>41</v>
      </c>
      <c r="U12" s="29" t="s">
        <v>31</v>
      </c>
      <c r="V12" s="29" t="s">
        <v>31</v>
      </c>
      <c r="W12" s="57">
        <v>39708</v>
      </c>
      <c r="X12" s="8" t="s">
        <v>36</v>
      </c>
      <c r="Y12" s="8">
        <v>0</v>
      </c>
      <c r="Z12" s="8" t="s">
        <v>31</v>
      </c>
      <c r="AA12" s="8" t="s">
        <v>31</v>
      </c>
      <c r="AB12" s="8" t="s">
        <v>260</v>
      </c>
      <c r="AC12" s="29"/>
      <c r="AD12" s="29"/>
      <c r="AE12" s="95" t="s">
        <v>28</v>
      </c>
      <c r="AF12" s="22"/>
      <c r="AG12" s="30">
        <v>44256</v>
      </c>
      <c r="AH12" s="21"/>
      <c r="AI12" s="72">
        <v>44124</v>
      </c>
      <c r="AJ12" s="23" t="s">
        <v>270</v>
      </c>
      <c r="AK12" s="8" t="e">
        <f>VLOOKUP(A12,'[1]Externe MAJ Nov'!$A:$H,8,0)</f>
        <v>#N/A</v>
      </c>
      <c r="AL12" s="29" t="e">
        <f>VLOOKUP(A12,'[1]Externe MAJ Nov'!$A:$G,7,0)</f>
        <v>#N/A</v>
      </c>
      <c r="AM12" s="29" t="s">
        <v>28</v>
      </c>
      <c r="AN12" s="29" t="s">
        <v>27</v>
      </c>
      <c r="AO12" s="58">
        <v>44124</v>
      </c>
      <c r="AP12" s="29" t="e">
        <f>VLOOKUP(A12,'[2]External Scan 02_21'!$B:$J,9,0)</f>
        <v>#N/A</v>
      </c>
      <c r="AQ12" s="29" t="s">
        <v>488</v>
      </c>
      <c r="AR12" s="75" t="s">
        <v>487</v>
      </c>
      <c r="AS12" s="21" t="str">
        <f>VLOOKUP(AE12,'ref statu'!A:B,2,0)</f>
        <v>Fixed</v>
      </c>
      <c r="AT12" s="8" t="e">
        <f>VLOOKUP(A12,chk!A:B,2,0)</f>
        <v>#N/A</v>
      </c>
      <c r="AU12" s="29" t="e">
        <f>VLOOKUP(A12,checker!A:B,2,0)</f>
        <v>#N/A</v>
      </c>
      <c r="AV12" s="29" t="e">
        <f>VLOOKUP(A12,checker!B:C,2,0)</f>
        <v>#N/A</v>
      </c>
    </row>
    <row r="13" spans="1:48" x14ac:dyDescent="0.3">
      <c r="A13" s="29" t="str">
        <f t="shared" si="0"/>
        <v>96.692.66.629/80/http-trace-method-enabled</v>
      </c>
      <c r="B13" s="29" t="s">
        <v>2991</v>
      </c>
      <c r="C13" s="29" t="s">
        <v>2528</v>
      </c>
      <c r="D13" s="148" t="s">
        <v>2984</v>
      </c>
      <c r="E13" s="8" t="s">
        <v>265</v>
      </c>
      <c r="F13" s="29" t="s">
        <v>266</v>
      </c>
      <c r="G13" s="21" t="s">
        <v>267</v>
      </c>
      <c r="H13" s="29" t="s">
        <v>256</v>
      </c>
      <c r="I13" s="8" t="s">
        <v>257</v>
      </c>
      <c r="J13" s="8">
        <v>80</v>
      </c>
      <c r="K13" s="29" t="s">
        <v>275</v>
      </c>
      <c r="L13" s="29" t="s">
        <v>276</v>
      </c>
      <c r="M13" s="9">
        <v>6</v>
      </c>
      <c r="N13" s="9" t="s">
        <v>29</v>
      </c>
      <c r="O13" s="29" t="s">
        <v>187</v>
      </c>
      <c r="P13" s="29" t="s">
        <v>188</v>
      </c>
      <c r="Q13" s="29" t="s">
        <v>189</v>
      </c>
      <c r="R13" s="29" t="s">
        <v>282</v>
      </c>
      <c r="S13" s="29" t="s">
        <v>283</v>
      </c>
      <c r="T13" s="29" t="s">
        <v>190</v>
      </c>
      <c r="U13" s="29" t="s">
        <v>191</v>
      </c>
      <c r="V13" s="29" t="s">
        <v>284</v>
      </c>
      <c r="W13" s="57">
        <v>38292</v>
      </c>
      <c r="X13" s="8" t="s">
        <v>36</v>
      </c>
      <c r="Y13" s="8">
        <v>2</v>
      </c>
      <c r="Z13" s="8" t="s">
        <v>241</v>
      </c>
      <c r="AA13" s="8" t="s">
        <v>242</v>
      </c>
      <c r="AB13" s="8" t="s">
        <v>260</v>
      </c>
      <c r="AC13" s="29"/>
      <c r="AD13" s="29"/>
      <c r="AE13" s="95" t="s">
        <v>28</v>
      </c>
      <c r="AF13" s="22"/>
      <c r="AG13" s="30">
        <v>44256</v>
      </c>
      <c r="AH13" s="21"/>
      <c r="AI13" s="72">
        <v>44124</v>
      </c>
      <c r="AJ13" s="23" t="s">
        <v>270</v>
      </c>
      <c r="AK13" s="8" t="e">
        <f>VLOOKUP(A13,'[1]Externe MAJ Nov'!$A:$H,8,0)</f>
        <v>#N/A</v>
      </c>
      <c r="AL13" s="29" t="e">
        <f>VLOOKUP(A13,'[1]Externe MAJ Nov'!$A:$G,7,0)</f>
        <v>#N/A</v>
      </c>
      <c r="AM13" s="29" t="s">
        <v>28</v>
      </c>
      <c r="AN13" s="29" t="s">
        <v>27</v>
      </c>
      <c r="AO13" s="58">
        <v>44124</v>
      </c>
      <c r="AP13" s="29" t="e">
        <f>VLOOKUP(A13,'[2]External Scan 02_21'!$B:$J,9,0)</f>
        <v>#N/A</v>
      </c>
      <c r="AQ13" s="29" t="s">
        <v>488</v>
      </c>
      <c r="AR13" s="75" t="s">
        <v>487</v>
      </c>
      <c r="AS13" s="21" t="str">
        <f>VLOOKUP(AE13,'ref statu'!A:B,2,0)</f>
        <v>Fixed</v>
      </c>
      <c r="AT13" s="8" t="e">
        <f>VLOOKUP(A13,chk!A:B,2,0)</f>
        <v>#N/A</v>
      </c>
      <c r="AU13" s="29" t="e">
        <f>VLOOKUP(A13,checker!A:B,2,0)</f>
        <v>#N/A</v>
      </c>
      <c r="AV13" s="29" t="e">
        <f>VLOOKUP(A13,checker!B:C,2,0)</f>
        <v>#N/A</v>
      </c>
    </row>
    <row r="14" spans="1:48" x14ac:dyDescent="0.3">
      <c r="A14" s="29" t="str">
        <f t="shared" si="0"/>
        <v>96.692.66.630/0/generic-tcp-timestamp</v>
      </c>
      <c r="B14" s="59" t="s">
        <v>2992</v>
      </c>
      <c r="C14" s="59" t="s">
        <v>521</v>
      </c>
      <c r="D14" s="149" t="s">
        <v>2985</v>
      </c>
      <c r="E14" s="31" t="s">
        <v>494</v>
      </c>
      <c r="F14" s="8" t="s">
        <v>485</v>
      </c>
      <c r="G14" s="32" t="s">
        <v>495</v>
      </c>
      <c r="H14" s="59" t="s">
        <v>31</v>
      </c>
      <c r="I14" s="31" t="s">
        <v>31</v>
      </c>
      <c r="J14" s="31">
        <v>0</v>
      </c>
      <c r="K14" s="59" t="s">
        <v>258</v>
      </c>
      <c r="L14" s="59" t="s">
        <v>31</v>
      </c>
      <c r="M14" s="9">
        <v>1</v>
      </c>
      <c r="N14" s="9" t="s">
        <v>42</v>
      </c>
      <c r="O14" s="29" t="s">
        <v>78</v>
      </c>
      <c r="P14" s="29" t="s">
        <v>79</v>
      </c>
      <c r="Q14" s="29" t="s">
        <v>80</v>
      </c>
      <c r="R14" s="29" t="s">
        <v>81</v>
      </c>
      <c r="S14" s="29" t="s">
        <v>82</v>
      </c>
      <c r="T14" s="29" t="s">
        <v>83</v>
      </c>
      <c r="U14" s="59" t="s">
        <v>31</v>
      </c>
      <c r="V14" s="29" t="s">
        <v>31</v>
      </c>
      <c r="W14" s="29">
        <v>35643</v>
      </c>
      <c r="X14" s="8" t="s">
        <v>36</v>
      </c>
      <c r="Y14" s="8">
        <v>0</v>
      </c>
      <c r="Z14" s="8" t="s">
        <v>31</v>
      </c>
      <c r="AA14" s="8" t="s">
        <v>31</v>
      </c>
      <c r="AB14" s="8" t="s">
        <v>496</v>
      </c>
      <c r="AC14" s="59"/>
      <c r="AD14" s="59"/>
      <c r="AE14" s="96" t="s">
        <v>28</v>
      </c>
      <c r="AF14" s="31"/>
      <c r="AG14" s="35"/>
      <c r="AH14" s="32"/>
      <c r="AI14" s="72">
        <v>44155</v>
      </c>
      <c r="AJ14" s="23" t="s">
        <v>270</v>
      </c>
      <c r="AK14" s="8" t="e">
        <f>VLOOKUP(A14,'[1]Externe MAJ Nov'!$A:$H,8,0)</f>
        <v>#N/A</v>
      </c>
      <c r="AL14" s="29" t="e">
        <f>VLOOKUP(A14,'[1]Externe MAJ Nov'!$A:$G,7,0)</f>
        <v>#N/A</v>
      </c>
      <c r="AM14" s="59"/>
      <c r="AN14" s="59"/>
      <c r="AO14" s="58">
        <v>44155</v>
      </c>
      <c r="AP14" s="29" t="e">
        <f>VLOOKUP(A14,'[2]External Scan 02_21'!$B:$J,9,0)</f>
        <v>#N/A</v>
      </c>
      <c r="AQ14" s="29" t="s">
        <v>522</v>
      </c>
      <c r="AR14" s="75" t="s">
        <v>487</v>
      </c>
      <c r="AS14" s="21" t="str">
        <f>VLOOKUP(AE14,'ref statu'!A:B,2,0)</f>
        <v>Fixed</v>
      </c>
      <c r="AT14" s="8" t="e">
        <f>VLOOKUP(A14,chk!A:B,2,0)</f>
        <v>#N/A</v>
      </c>
      <c r="AU14" s="29" t="e">
        <f>VLOOKUP(A14,checker!A:B,2,0)</f>
        <v>#N/A</v>
      </c>
      <c r="AV14" s="29" t="e">
        <f>VLOOKUP(A14,checker!B:C,2,0)</f>
        <v>#N/A</v>
      </c>
    </row>
    <row r="15" spans="1:48" x14ac:dyDescent="0.3">
      <c r="A15" s="29" t="str">
        <f t="shared" si="0"/>
        <v>96.692.66.636/0/generic-tcp-timestamp</v>
      </c>
      <c r="B15" s="41" t="s">
        <v>2993</v>
      </c>
      <c r="C15" s="41" t="s">
        <v>2549</v>
      </c>
      <c r="D15" s="41"/>
      <c r="E15" s="39" t="s">
        <v>95</v>
      </c>
      <c r="H15" s="43" t="s">
        <v>256</v>
      </c>
      <c r="I15" s="39" t="s">
        <v>310</v>
      </c>
      <c r="J15" s="39" t="s">
        <v>2495</v>
      </c>
      <c r="K15" s="41" t="s">
        <v>258</v>
      </c>
      <c r="L15" s="41" t="s">
        <v>31</v>
      </c>
      <c r="M15" s="9">
        <v>1</v>
      </c>
      <c r="N15" s="9" t="s">
        <v>42</v>
      </c>
      <c r="O15" s="41" t="s">
        <v>78</v>
      </c>
      <c r="P15" s="43" t="s">
        <v>78</v>
      </c>
      <c r="Q15" s="43" t="s">
        <v>79</v>
      </c>
      <c r="R15" s="43" t="s">
        <v>80</v>
      </c>
      <c r="S15" s="43" t="s">
        <v>81</v>
      </c>
      <c r="T15" s="43" t="s">
        <v>82</v>
      </c>
      <c r="U15" s="43" t="s">
        <v>83</v>
      </c>
      <c r="V15" s="43" t="s">
        <v>31</v>
      </c>
      <c r="W15" s="43" t="s">
        <v>2511</v>
      </c>
      <c r="AB15" s="39" t="s">
        <v>318</v>
      </c>
      <c r="AE15" s="95" t="s">
        <v>28</v>
      </c>
      <c r="AF15" s="39"/>
      <c r="AG15" s="65">
        <v>44536</v>
      </c>
      <c r="AI15" s="72">
        <v>44197</v>
      </c>
      <c r="AK15" s="39" t="s">
        <v>94</v>
      </c>
      <c r="AL15" s="43"/>
      <c r="AM15" s="43"/>
      <c r="AN15" s="43"/>
      <c r="AP15" s="29" t="e">
        <f>VLOOKUP(A15,'[2]External Scan 02_21'!$B:$J,9,0)</f>
        <v>#N/A</v>
      </c>
      <c r="AQ15" s="29" t="e">
        <v>#N/A</v>
      </c>
      <c r="AR15" s="21"/>
      <c r="AS15" s="21" t="str">
        <f>VLOOKUP(AE15,'ref statu'!A:B,2,0)</f>
        <v>Fixed</v>
      </c>
      <c r="AT15" s="8" t="e">
        <f>VLOOKUP(A15,chk!A:B,2,0)</f>
        <v>#N/A</v>
      </c>
      <c r="AU15" s="29" t="e">
        <f>VLOOKUP(A15,checker!A:B,2,0)</f>
        <v>#N/A</v>
      </c>
      <c r="AV15" s="29" t="e">
        <f>VLOOKUP(A15,checker!B:C,2,0)</f>
        <v>#N/A</v>
      </c>
    </row>
    <row r="16" spans="1:48" x14ac:dyDescent="0.3">
      <c r="A16" s="29" t="str">
        <f t="shared" si="0"/>
        <v>96.692.66.636/443/certificate-common-name-mismatch</v>
      </c>
      <c r="B16" s="41" t="s">
        <v>2993</v>
      </c>
      <c r="C16" s="41" t="s">
        <v>2549</v>
      </c>
      <c r="D16" s="41"/>
      <c r="E16" s="39" t="s">
        <v>95</v>
      </c>
      <c r="H16" s="43" t="s">
        <v>256</v>
      </c>
      <c r="I16" s="39" t="s">
        <v>310</v>
      </c>
      <c r="J16" s="39" t="s">
        <v>2494</v>
      </c>
      <c r="K16" s="41" t="s">
        <v>290</v>
      </c>
      <c r="L16" s="41" t="s">
        <v>2496</v>
      </c>
      <c r="M16" s="9">
        <v>7</v>
      </c>
      <c r="N16" s="20" t="s">
        <v>2540</v>
      </c>
      <c r="O16" s="41" t="s">
        <v>148</v>
      </c>
      <c r="P16" s="43" t="s">
        <v>148</v>
      </c>
      <c r="Q16" s="43" t="s">
        <v>149</v>
      </c>
      <c r="R16" s="43" t="s">
        <v>150</v>
      </c>
      <c r="S16" s="43" t="s">
        <v>151</v>
      </c>
      <c r="T16" s="43" t="s">
        <v>2509</v>
      </c>
      <c r="U16" s="43" t="s">
        <v>31</v>
      </c>
      <c r="V16" s="43" t="s">
        <v>31</v>
      </c>
      <c r="W16" s="43" t="s">
        <v>2510</v>
      </c>
      <c r="AB16" s="39" t="s">
        <v>318</v>
      </c>
      <c r="AE16" s="95" t="s">
        <v>28</v>
      </c>
      <c r="AF16" s="39"/>
      <c r="AG16" s="65">
        <v>44536</v>
      </c>
      <c r="AI16" s="72">
        <v>44197</v>
      </c>
      <c r="AK16" s="39" t="s">
        <v>94</v>
      </c>
      <c r="AP16" s="8" t="e">
        <f>VLOOKUP(A16,'[2]External Scan 02_21'!$B:$J,9,0)</f>
        <v>#N/A</v>
      </c>
      <c r="AQ16" s="8" t="e">
        <v>#N/A</v>
      </c>
      <c r="AR16" s="8"/>
      <c r="AS16" s="21" t="str">
        <f>VLOOKUP(AE16,'ref statu'!A:B,2,0)</f>
        <v>Fixed</v>
      </c>
      <c r="AT16" s="8" t="e">
        <f>VLOOKUP(A16,chk!A:B,2,0)</f>
        <v>#N/A</v>
      </c>
      <c r="AU16" s="29" t="e">
        <f>VLOOKUP(A16,checker!A:B,2,0)</f>
        <v>#N/A</v>
      </c>
      <c r="AV16" s="29" t="e">
        <f>VLOOKUP(A16,checker!B:C,2,0)</f>
        <v>#N/A</v>
      </c>
    </row>
    <row r="17" spans="1:48" x14ac:dyDescent="0.3">
      <c r="A17" s="29" t="str">
        <f t="shared" si="0"/>
        <v>96.692.66.636/443/http-cookie-http-only-flag</v>
      </c>
      <c r="B17" s="41" t="s">
        <v>2993</v>
      </c>
      <c r="C17" s="41" t="s">
        <v>2549</v>
      </c>
      <c r="D17" s="41"/>
      <c r="E17" s="39" t="s">
        <v>95</v>
      </c>
      <c r="H17" s="43" t="s">
        <v>256</v>
      </c>
      <c r="I17" s="39" t="s">
        <v>310</v>
      </c>
      <c r="J17" s="39" t="s">
        <v>2494</v>
      </c>
      <c r="K17" s="41" t="s">
        <v>290</v>
      </c>
      <c r="L17" s="41" t="s">
        <v>2496</v>
      </c>
      <c r="M17" s="9" t="s">
        <v>2488</v>
      </c>
      <c r="N17" s="19" t="s">
        <v>29</v>
      </c>
      <c r="O17" s="41" t="s">
        <v>203</v>
      </c>
      <c r="P17" s="43" t="s">
        <v>203</v>
      </c>
      <c r="Q17" s="43" t="s">
        <v>204</v>
      </c>
      <c r="R17" s="43" t="s">
        <v>205</v>
      </c>
      <c r="S17" s="43" t="s">
        <v>206</v>
      </c>
      <c r="T17" s="43" t="s">
        <v>2508</v>
      </c>
      <c r="U17" s="43" t="s">
        <v>207</v>
      </c>
      <c r="V17" s="43" t="s">
        <v>31</v>
      </c>
      <c r="W17" s="43" t="s">
        <v>2514</v>
      </c>
      <c r="AB17" s="39" t="s">
        <v>318</v>
      </c>
      <c r="AE17" s="95" t="s">
        <v>28</v>
      </c>
      <c r="AF17" s="39"/>
      <c r="AG17" s="65">
        <v>44536</v>
      </c>
      <c r="AI17" s="72">
        <v>44197</v>
      </c>
      <c r="AK17" s="39" t="s">
        <v>94</v>
      </c>
      <c r="AL17" s="43"/>
      <c r="AM17" s="43"/>
      <c r="AN17" s="43"/>
      <c r="AP17" s="29" t="e">
        <f>VLOOKUP(A17,'[2]External Scan 02_21'!$B:$J,9,0)</f>
        <v>#N/A</v>
      </c>
      <c r="AQ17" s="29" t="e">
        <v>#N/A</v>
      </c>
      <c r="AR17" s="21"/>
      <c r="AS17" s="21" t="str">
        <f>VLOOKUP(AE17,'ref statu'!A:B,2,0)</f>
        <v>Fixed</v>
      </c>
      <c r="AT17" s="8" t="e">
        <f>VLOOKUP(A17,chk!A:B,2,0)</f>
        <v>#N/A</v>
      </c>
      <c r="AU17" s="29" t="e">
        <f>VLOOKUP(A17,checker!A:B,2,0)</f>
        <v>#N/A</v>
      </c>
      <c r="AV17" s="29" t="e">
        <f>VLOOKUP(A17,checker!B:C,2,0)</f>
        <v>#N/A</v>
      </c>
    </row>
    <row r="18" spans="1:48" x14ac:dyDescent="0.3">
      <c r="A18" s="29" t="str">
        <f t="shared" si="0"/>
        <v>96.692.66.636/443/http-cookie-secure-flag</v>
      </c>
      <c r="B18" s="41" t="s">
        <v>2993</v>
      </c>
      <c r="C18" s="41" t="s">
        <v>2549</v>
      </c>
      <c r="D18" s="41"/>
      <c r="E18" s="39" t="s">
        <v>95</v>
      </c>
      <c r="H18" s="43" t="s">
        <v>256</v>
      </c>
      <c r="I18" s="39" t="s">
        <v>310</v>
      </c>
      <c r="J18" s="39" t="s">
        <v>2494</v>
      </c>
      <c r="K18" s="41" t="s">
        <v>290</v>
      </c>
      <c r="L18" s="41" t="s">
        <v>2496</v>
      </c>
      <c r="M18" s="9" t="s">
        <v>2488</v>
      </c>
      <c r="N18" s="19" t="s">
        <v>29</v>
      </c>
      <c r="O18" s="41" t="s">
        <v>226</v>
      </c>
      <c r="P18" s="43" t="s">
        <v>226</v>
      </c>
      <c r="Q18" s="43" t="s">
        <v>227</v>
      </c>
      <c r="R18" s="43" t="s">
        <v>228</v>
      </c>
      <c r="S18" s="43" t="s">
        <v>229</v>
      </c>
      <c r="T18" s="43" t="s">
        <v>2507</v>
      </c>
      <c r="U18" s="43" t="s">
        <v>230</v>
      </c>
      <c r="V18" s="43" t="s">
        <v>31</v>
      </c>
      <c r="W18" s="43" t="s">
        <v>2514</v>
      </c>
      <c r="AB18" s="39" t="s">
        <v>318</v>
      </c>
      <c r="AE18" s="95" t="s">
        <v>28</v>
      </c>
      <c r="AF18" s="39"/>
      <c r="AG18" s="65">
        <v>44536</v>
      </c>
      <c r="AI18" s="72">
        <v>44197</v>
      </c>
      <c r="AK18" s="39" t="s">
        <v>94</v>
      </c>
      <c r="AL18" s="43"/>
      <c r="AM18" s="43"/>
      <c r="AN18" s="43"/>
      <c r="AP18" s="29" t="e">
        <f>VLOOKUP(A18,'[2]External Scan 02_21'!$B:$J,9,0)</f>
        <v>#N/A</v>
      </c>
      <c r="AQ18" s="29" t="e">
        <v>#N/A</v>
      </c>
      <c r="AR18" s="21"/>
      <c r="AS18" s="21" t="str">
        <f>VLOOKUP(AE18,'ref statu'!A:B,2,0)</f>
        <v>Fixed</v>
      </c>
      <c r="AT18" s="8" t="e">
        <f>VLOOKUP(A18,chk!A:B,2,0)</f>
        <v>#N/A</v>
      </c>
      <c r="AU18" s="29" t="e">
        <f>VLOOKUP(A18,checker!A:B,2,0)</f>
        <v>#N/A</v>
      </c>
      <c r="AV18" s="29" t="e">
        <f>VLOOKUP(A18,checker!B:C,2,0)</f>
        <v>#N/A</v>
      </c>
    </row>
    <row r="19" spans="1:48" x14ac:dyDescent="0.3">
      <c r="A19" s="29" t="str">
        <f t="shared" si="0"/>
        <v>96.692.66.633/0/generic-tcp-timestamp</v>
      </c>
      <c r="B19" s="29" t="s">
        <v>2994</v>
      </c>
      <c r="C19" s="29" t="s">
        <v>286</v>
      </c>
      <c r="D19" s="148" t="s">
        <v>2976</v>
      </c>
      <c r="E19" s="8" t="s">
        <v>253</v>
      </c>
      <c r="F19" s="29" t="s">
        <v>294</v>
      </c>
      <c r="G19" s="21" t="s">
        <v>289</v>
      </c>
      <c r="H19" s="29" t="s">
        <v>256</v>
      </c>
      <c r="I19" s="8" t="s">
        <v>257</v>
      </c>
      <c r="J19" s="8">
        <v>0</v>
      </c>
      <c r="K19" s="29" t="s">
        <v>258</v>
      </c>
      <c r="L19" s="29" t="s">
        <v>31</v>
      </c>
      <c r="M19" s="9">
        <v>1</v>
      </c>
      <c r="N19" s="9" t="s">
        <v>42</v>
      </c>
      <c r="O19" s="29" t="s">
        <v>78</v>
      </c>
      <c r="P19" s="29" t="s">
        <v>79</v>
      </c>
      <c r="Q19" s="29" t="s">
        <v>80</v>
      </c>
      <c r="R19" s="29" t="s">
        <v>259</v>
      </c>
      <c r="S19" s="29" t="s">
        <v>82</v>
      </c>
      <c r="T19" s="29" t="s">
        <v>83</v>
      </c>
      <c r="U19" s="29" t="s">
        <v>31</v>
      </c>
      <c r="V19" s="29" t="s">
        <v>31</v>
      </c>
      <c r="W19" s="57">
        <v>35643</v>
      </c>
      <c r="X19" s="8" t="s">
        <v>36</v>
      </c>
      <c r="Y19" s="8">
        <v>0</v>
      </c>
      <c r="Z19" s="8" t="s">
        <v>31</v>
      </c>
      <c r="AA19" s="8" t="s">
        <v>31</v>
      </c>
      <c r="AB19" s="8" t="s">
        <v>260</v>
      </c>
      <c r="AC19" s="29"/>
      <c r="AD19" s="29" t="s">
        <v>2487</v>
      </c>
      <c r="AE19" s="95" t="s">
        <v>28</v>
      </c>
      <c r="AF19" s="30">
        <v>44255</v>
      </c>
      <c r="AG19" s="30">
        <v>44255</v>
      </c>
      <c r="AH19" s="8"/>
      <c r="AI19" s="72">
        <v>44124</v>
      </c>
      <c r="AJ19" s="23" t="s">
        <v>262</v>
      </c>
      <c r="AK19" s="8" t="e">
        <f>VLOOKUP(A19,'[1]Externe MAJ Nov'!$A:$H,8,0)</f>
        <v>#N/A</v>
      </c>
      <c r="AL19" s="29" t="e">
        <f>VLOOKUP(A19,'[1]Externe MAJ Nov'!$A:$G,7,0)</f>
        <v>#N/A</v>
      </c>
      <c r="AM19" s="29" t="s">
        <v>28</v>
      </c>
      <c r="AN19" s="29" t="s">
        <v>240</v>
      </c>
      <c r="AO19" s="58">
        <v>44124</v>
      </c>
      <c r="AP19" s="29" t="e">
        <f>VLOOKUP(A19,'[2]External Scan 02_21'!$B:$J,9,0)</f>
        <v>#N/A</v>
      </c>
      <c r="AQ19" s="29" t="s">
        <v>28</v>
      </c>
      <c r="AR19" s="75" t="s">
        <v>487</v>
      </c>
      <c r="AS19" s="21" t="str">
        <f>VLOOKUP(AE19,'ref statu'!A:B,2,0)</f>
        <v>Fixed</v>
      </c>
      <c r="AT19" s="8" t="e">
        <f>VLOOKUP(A19,chk!A:B,2,0)</f>
        <v>#N/A</v>
      </c>
      <c r="AU19" s="29" t="e">
        <f>VLOOKUP(A19,checker!A:B,2,0)</f>
        <v>#N/A</v>
      </c>
      <c r="AV19" s="29" t="e">
        <f>VLOOKUP(A19,checker!B:C,2,0)</f>
        <v>#N/A</v>
      </c>
    </row>
    <row r="20" spans="1:48" x14ac:dyDescent="0.3">
      <c r="A20" s="29" t="str">
        <f t="shared" si="0"/>
        <v>96.692.66.633/443/certificate-common-name-mismatch</v>
      </c>
      <c r="B20" s="29" t="s">
        <v>2994</v>
      </c>
      <c r="C20" s="29" t="s">
        <v>286</v>
      </c>
      <c r="D20" s="148" t="s">
        <v>2976</v>
      </c>
      <c r="E20" s="8" t="s">
        <v>299</v>
      </c>
      <c r="F20" s="29" t="s">
        <v>300</v>
      </c>
      <c r="G20" s="21" t="s">
        <v>289</v>
      </c>
      <c r="H20" s="29" t="s">
        <v>256</v>
      </c>
      <c r="I20" s="8" t="s">
        <v>257</v>
      </c>
      <c r="J20" s="8">
        <v>443</v>
      </c>
      <c r="K20" s="29" t="s">
        <v>290</v>
      </c>
      <c r="L20" s="29" t="s">
        <v>291</v>
      </c>
      <c r="M20" s="9">
        <v>7</v>
      </c>
      <c r="N20" s="10" t="s">
        <v>2540</v>
      </c>
      <c r="O20" s="29" t="s">
        <v>148</v>
      </c>
      <c r="P20" s="29" t="s">
        <v>149</v>
      </c>
      <c r="Q20" s="29" t="s">
        <v>150</v>
      </c>
      <c r="R20" s="29" t="s">
        <v>151</v>
      </c>
      <c r="S20" s="29" t="s">
        <v>243</v>
      </c>
      <c r="T20" s="29" t="s">
        <v>31</v>
      </c>
      <c r="U20" s="29" t="s">
        <v>31</v>
      </c>
      <c r="V20" s="29" t="s">
        <v>31</v>
      </c>
      <c r="W20" s="57">
        <v>39297</v>
      </c>
      <c r="X20" s="8" t="s">
        <v>36</v>
      </c>
      <c r="Y20" s="8">
        <v>0</v>
      </c>
      <c r="Z20" s="8" t="s">
        <v>31</v>
      </c>
      <c r="AA20" s="8" t="s">
        <v>31</v>
      </c>
      <c r="AB20" s="8" t="s">
        <v>260</v>
      </c>
      <c r="AC20" s="29"/>
      <c r="AD20" s="29"/>
      <c r="AE20" s="95" t="s">
        <v>299</v>
      </c>
      <c r="AF20" s="22"/>
      <c r="AG20" s="30"/>
      <c r="AH20" s="21"/>
      <c r="AI20" s="72">
        <v>44124</v>
      </c>
      <c r="AJ20" s="23" t="s">
        <v>262</v>
      </c>
      <c r="AK20" s="8" t="e">
        <f>VLOOKUP(A20,'[1]Externe MAJ Nov'!$A:$H,8,0)</f>
        <v>#N/A</v>
      </c>
      <c r="AL20" s="29" t="e">
        <f>VLOOKUP(A20,'[1]Externe MAJ Nov'!$A:$G,7,0)</f>
        <v>#N/A</v>
      </c>
      <c r="AM20" s="29" t="s">
        <v>299</v>
      </c>
      <c r="AN20" s="29" t="s">
        <v>240</v>
      </c>
      <c r="AO20" s="58">
        <v>44124</v>
      </c>
      <c r="AP20" s="29" t="e">
        <f>VLOOKUP(A20,'[2]External Scan 02_21'!$B:$J,9,0)</f>
        <v>#N/A</v>
      </c>
      <c r="AQ20" s="29" t="s">
        <v>299</v>
      </c>
      <c r="AR20" s="75" t="s">
        <v>487</v>
      </c>
      <c r="AS20" s="21" t="str">
        <f>VLOOKUP(AE20,'ref statu'!A:B,2,0)</f>
        <v>Faux Positive</v>
      </c>
      <c r="AT20" s="8" t="e">
        <f>VLOOKUP(A20,chk!A:B,2,0)</f>
        <v>#N/A</v>
      </c>
      <c r="AU20" s="29" t="e">
        <f>VLOOKUP(A20,checker!A:B,2,0)</f>
        <v>#N/A</v>
      </c>
      <c r="AV20" s="29" t="e">
        <f>VLOOKUP(A20,checker!B:C,2,0)</f>
        <v>#N/A</v>
      </c>
    </row>
    <row r="21" spans="1:48" x14ac:dyDescent="0.3">
      <c r="A21" s="29" t="str">
        <f t="shared" si="0"/>
        <v>96.692.66.633/443/http-generic-click-jacking</v>
      </c>
      <c r="B21" s="29" t="s">
        <v>2994</v>
      </c>
      <c r="C21" s="29" t="s">
        <v>286</v>
      </c>
      <c r="D21" s="148" t="s">
        <v>2976</v>
      </c>
      <c r="E21" s="8" t="s">
        <v>287</v>
      </c>
      <c r="F21" s="29" t="s">
        <v>288</v>
      </c>
      <c r="G21" s="21" t="s">
        <v>289</v>
      </c>
      <c r="H21" s="29" t="s">
        <v>256</v>
      </c>
      <c r="I21" s="8" t="s">
        <v>257</v>
      </c>
      <c r="J21" s="8">
        <v>443</v>
      </c>
      <c r="K21" s="29" t="s">
        <v>290</v>
      </c>
      <c r="L21" s="29" t="s">
        <v>291</v>
      </c>
      <c r="M21" s="9">
        <v>4</v>
      </c>
      <c r="N21" s="9" t="s">
        <v>29</v>
      </c>
      <c r="O21" s="29" t="s">
        <v>37</v>
      </c>
      <c r="P21" s="29" t="s">
        <v>38</v>
      </c>
      <c r="Q21" s="29" t="s">
        <v>39</v>
      </c>
      <c r="R21" s="29" t="s">
        <v>40</v>
      </c>
      <c r="S21" s="29" t="s">
        <v>298</v>
      </c>
      <c r="T21" s="29" t="s">
        <v>41</v>
      </c>
      <c r="U21" s="29" t="s">
        <v>31</v>
      </c>
      <c r="V21" s="29" t="s">
        <v>31</v>
      </c>
      <c r="W21" s="57">
        <v>39708</v>
      </c>
      <c r="X21" s="8" t="s">
        <v>36</v>
      </c>
      <c r="Y21" s="8">
        <v>0</v>
      </c>
      <c r="Z21" s="8" t="s">
        <v>31</v>
      </c>
      <c r="AA21" s="8" t="s">
        <v>31</v>
      </c>
      <c r="AB21" s="8" t="s">
        <v>260</v>
      </c>
      <c r="AC21" s="29"/>
      <c r="AD21" s="29"/>
      <c r="AE21" s="95" t="s">
        <v>486</v>
      </c>
      <c r="AF21" s="30">
        <v>44240</v>
      </c>
      <c r="AG21" s="30">
        <v>44240</v>
      </c>
      <c r="AH21" s="8"/>
      <c r="AI21" s="72">
        <v>44124</v>
      </c>
      <c r="AJ21" s="23" t="s">
        <v>262</v>
      </c>
      <c r="AK21" s="8" t="e">
        <f>VLOOKUP(A21,'[1]Externe MAJ Nov'!$A:$H,8,0)</f>
        <v>#N/A</v>
      </c>
      <c r="AL21" s="29" t="e">
        <f>VLOOKUP(A21,'[1]Externe MAJ Nov'!$A:$G,7,0)</f>
        <v>#N/A</v>
      </c>
      <c r="AM21" s="29" t="s">
        <v>95</v>
      </c>
      <c r="AN21" s="29" t="s">
        <v>240</v>
      </c>
      <c r="AO21" s="58">
        <v>44124</v>
      </c>
      <c r="AP21" s="29" t="e">
        <f>VLOOKUP(A21,'[2]External Scan 02_21'!$B:$J,9,0)</f>
        <v>#N/A</v>
      </c>
      <c r="AQ21" s="29" t="s">
        <v>28</v>
      </c>
      <c r="AR21" s="75" t="s">
        <v>487</v>
      </c>
      <c r="AS21" s="21" t="str">
        <f>VLOOKUP(AE21,'ref statu'!A:B,2,0)</f>
        <v>(SIRHAPP)</v>
      </c>
      <c r="AT21" s="8" t="e">
        <f>VLOOKUP(A21,chk!A:B,2,0)</f>
        <v>#N/A</v>
      </c>
      <c r="AU21" s="29" t="e">
        <f>VLOOKUP(A21,checker!A:B,2,0)</f>
        <v>#N/A</v>
      </c>
      <c r="AV21" s="29" t="e">
        <f>VLOOKUP(A21,checker!B:C,2,0)</f>
        <v>#N/A</v>
      </c>
    </row>
    <row r="22" spans="1:48" x14ac:dyDescent="0.3">
      <c r="A22" s="29" t="str">
        <f t="shared" si="0"/>
        <v>96.692.66.633/443/ssl-3des-ciphers</v>
      </c>
      <c r="B22" s="29" t="s">
        <v>2994</v>
      </c>
      <c r="C22" s="29" t="s">
        <v>286</v>
      </c>
      <c r="D22" s="148" t="s">
        <v>2976</v>
      </c>
      <c r="E22" s="8" t="s">
        <v>287</v>
      </c>
      <c r="F22" s="29" t="s">
        <v>288</v>
      </c>
      <c r="G22" s="21" t="s">
        <v>289</v>
      </c>
      <c r="H22" s="29" t="s">
        <v>256</v>
      </c>
      <c r="I22" s="8" t="s">
        <v>257</v>
      </c>
      <c r="J22" s="8">
        <v>443</v>
      </c>
      <c r="K22" s="29" t="s">
        <v>290</v>
      </c>
      <c r="L22" s="29" t="s">
        <v>291</v>
      </c>
      <c r="M22" s="9">
        <v>1</v>
      </c>
      <c r="N22" s="9" t="s">
        <v>42</v>
      </c>
      <c r="O22" s="29" t="s">
        <v>100</v>
      </c>
      <c r="P22" s="29" t="s">
        <v>101</v>
      </c>
      <c r="Q22" s="29" t="s">
        <v>102</v>
      </c>
      <c r="R22" s="29" t="s">
        <v>103</v>
      </c>
      <c r="S22" s="29" t="s">
        <v>292</v>
      </c>
      <c r="T22" s="29" t="s">
        <v>104</v>
      </c>
      <c r="U22" s="29" t="s">
        <v>31</v>
      </c>
      <c r="V22" s="29" t="s">
        <v>31</v>
      </c>
      <c r="W22" s="57">
        <v>39845</v>
      </c>
      <c r="X22" s="8" t="s">
        <v>36</v>
      </c>
      <c r="Y22" s="8">
        <v>0</v>
      </c>
      <c r="Z22" s="8" t="s">
        <v>31</v>
      </c>
      <c r="AA22" s="8" t="s">
        <v>31</v>
      </c>
      <c r="AB22" s="8" t="s">
        <v>260</v>
      </c>
      <c r="AC22" s="29"/>
      <c r="AD22" s="29"/>
      <c r="AE22" s="95" t="s">
        <v>486</v>
      </c>
      <c r="AF22" s="22"/>
      <c r="AG22" s="30"/>
      <c r="AH22" s="21" t="s">
        <v>293</v>
      </c>
      <c r="AI22" s="72">
        <v>44124</v>
      </c>
      <c r="AJ22" s="23" t="s">
        <v>262</v>
      </c>
      <c r="AK22" s="8" t="e">
        <f>VLOOKUP(A22,'[1]Externe MAJ Nov'!$A:$H,8,0)</f>
        <v>#N/A</v>
      </c>
      <c r="AL22" s="29" t="e">
        <f>VLOOKUP(A22,'[1]Externe MAJ Nov'!$A:$G,7,0)</f>
        <v>#N/A</v>
      </c>
      <c r="AM22" s="29" t="s">
        <v>95</v>
      </c>
      <c r="AN22" s="29" t="s">
        <v>240</v>
      </c>
      <c r="AO22" s="58">
        <v>44124</v>
      </c>
      <c r="AP22" s="29" t="e">
        <f>VLOOKUP(A22,'[2]External Scan 02_21'!$B:$J,9,0)</f>
        <v>#N/A</v>
      </c>
      <c r="AQ22" s="29" t="s">
        <v>486</v>
      </c>
      <c r="AR22" s="75" t="s">
        <v>487</v>
      </c>
      <c r="AS22" s="21" t="str">
        <f>VLOOKUP(AE22,'ref statu'!A:B,2,0)</f>
        <v>(SIRHAPP)</v>
      </c>
      <c r="AT22" s="8" t="e">
        <f>VLOOKUP(A22,chk!A:B,2,0)</f>
        <v>#N/A</v>
      </c>
      <c r="AU22" s="29" t="e">
        <f>VLOOKUP(A22,checker!A:B,2,0)</f>
        <v>#N/A</v>
      </c>
      <c r="AV22" s="29" t="e">
        <f>VLOOKUP(A22,checker!B:C,2,0)</f>
        <v>#N/A</v>
      </c>
    </row>
    <row r="23" spans="1:48" x14ac:dyDescent="0.3">
      <c r="A23" s="29" t="str">
        <f t="shared" si="0"/>
        <v>96.692.66.633/443/ssl-cve-2011-3389-beast</v>
      </c>
      <c r="B23" s="29" t="s">
        <v>2994</v>
      </c>
      <c r="C23" s="29" t="s">
        <v>286</v>
      </c>
      <c r="D23" s="148" t="s">
        <v>2976</v>
      </c>
      <c r="E23" s="8" t="s">
        <v>287</v>
      </c>
      <c r="F23" s="29" t="s">
        <v>288</v>
      </c>
      <c r="G23" s="21" t="s">
        <v>289</v>
      </c>
      <c r="H23" s="29" t="s">
        <v>256</v>
      </c>
      <c r="I23" s="8" t="s">
        <v>257</v>
      </c>
      <c r="J23" s="8">
        <v>443</v>
      </c>
      <c r="K23" s="29" t="s">
        <v>290</v>
      </c>
      <c r="L23" s="29" t="s">
        <v>291</v>
      </c>
      <c r="M23" s="9">
        <v>4</v>
      </c>
      <c r="N23" s="9" t="s">
        <v>29</v>
      </c>
      <c r="O23" s="29" t="s">
        <v>105</v>
      </c>
      <c r="P23" s="29" t="s">
        <v>106</v>
      </c>
      <c r="Q23" s="29" t="s">
        <v>107</v>
      </c>
      <c r="R23" s="29" t="s">
        <v>108</v>
      </c>
      <c r="S23" s="29" t="s">
        <v>296</v>
      </c>
      <c r="T23" s="29" t="s">
        <v>109</v>
      </c>
      <c r="U23" s="29" t="s">
        <v>110</v>
      </c>
      <c r="V23" s="29" t="s">
        <v>297</v>
      </c>
      <c r="W23" s="57">
        <v>40792</v>
      </c>
      <c r="X23" s="8" t="s">
        <v>36</v>
      </c>
      <c r="Y23" s="8">
        <v>0</v>
      </c>
      <c r="Z23" s="8" t="s">
        <v>31</v>
      </c>
      <c r="AA23" s="8" t="s">
        <v>31</v>
      </c>
      <c r="AB23" s="8" t="s">
        <v>260</v>
      </c>
      <c r="AC23" s="29"/>
      <c r="AD23" s="29"/>
      <c r="AE23" s="95" t="s">
        <v>486</v>
      </c>
      <c r="AF23" s="22"/>
      <c r="AG23" s="30"/>
      <c r="AH23" s="21"/>
      <c r="AI23" s="72">
        <v>44124</v>
      </c>
      <c r="AJ23" s="23" t="s">
        <v>262</v>
      </c>
      <c r="AK23" s="8" t="e">
        <f>VLOOKUP(A23,'[1]Externe MAJ Nov'!$A:$H,8,0)</f>
        <v>#N/A</v>
      </c>
      <c r="AL23" s="29" t="e">
        <f>VLOOKUP(A23,'[1]Externe MAJ Nov'!$A:$G,7,0)</f>
        <v>#N/A</v>
      </c>
      <c r="AM23" s="29" t="s">
        <v>95</v>
      </c>
      <c r="AN23" s="29" t="s">
        <v>240</v>
      </c>
      <c r="AO23" s="58">
        <v>44124</v>
      </c>
      <c r="AP23" s="29" t="e">
        <f>VLOOKUP(A23,'[2]External Scan 02_21'!$B:$J,9,0)</f>
        <v>#N/A</v>
      </c>
      <c r="AQ23" s="29" t="s">
        <v>486</v>
      </c>
      <c r="AR23" s="75" t="s">
        <v>487</v>
      </c>
      <c r="AS23" s="21" t="str">
        <f>VLOOKUP(AE23,'ref statu'!A:B,2,0)</f>
        <v>(SIRHAPP)</v>
      </c>
      <c r="AT23" s="8" t="e">
        <f>VLOOKUP(A23,chk!A:B,2,0)</f>
        <v>#N/A</v>
      </c>
      <c r="AU23" s="29" t="e">
        <f>VLOOKUP(A23,checker!A:B,2,0)</f>
        <v>#N/A</v>
      </c>
      <c r="AV23" s="29" t="e">
        <f>VLOOKUP(A23,checker!B:C,2,0)</f>
        <v>#N/A</v>
      </c>
    </row>
    <row r="24" spans="1:48" x14ac:dyDescent="0.3">
      <c r="A24" s="29" t="str">
        <f t="shared" si="0"/>
        <v>96.692.66.633/443/ssl-cve-2016-2183-sweet32</v>
      </c>
      <c r="B24" s="29" t="s">
        <v>2994</v>
      </c>
      <c r="C24" s="29" t="s">
        <v>286</v>
      </c>
      <c r="D24" s="148" t="s">
        <v>2976</v>
      </c>
      <c r="E24" s="8" t="s">
        <v>287</v>
      </c>
      <c r="F24" s="29" t="s">
        <v>288</v>
      </c>
      <c r="G24" s="21" t="s">
        <v>289</v>
      </c>
      <c r="H24" s="29" t="s">
        <v>256</v>
      </c>
      <c r="I24" s="8" t="s">
        <v>257</v>
      </c>
      <c r="J24" s="8">
        <v>443</v>
      </c>
      <c r="K24" s="29" t="s">
        <v>290</v>
      </c>
      <c r="L24" s="29" t="s">
        <v>291</v>
      </c>
      <c r="M24" s="9">
        <v>5</v>
      </c>
      <c r="N24" s="9" t="s">
        <v>29</v>
      </c>
      <c r="O24" s="29" t="s">
        <v>111</v>
      </c>
      <c r="P24" s="29" t="s">
        <v>112</v>
      </c>
      <c r="Q24" s="29" t="s">
        <v>113</v>
      </c>
      <c r="R24" s="29" t="s">
        <v>103</v>
      </c>
      <c r="S24" s="29" t="s">
        <v>292</v>
      </c>
      <c r="T24" s="29" t="s">
        <v>114</v>
      </c>
      <c r="U24" s="29" t="s">
        <v>71</v>
      </c>
      <c r="V24" s="29" t="s">
        <v>278</v>
      </c>
      <c r="W24" s="57">
        <v>42606</v>
      </c>
      <c r="X24" s="8" t="s">
        <v>36</v>
      </c>
      <c r="Y24" s="8">
        <v>1</v>
      </c>
      <c r="Z24" s="8" t="s">
        <v>279</v>
      </c>
      <c r="AA24" s="8" t="s">
        <v>280</v>
      </c>
      <c r="AB24" s="8" t="s">
        <v>260</v>
      </c>
      <c r="AC24" s="29"/>
      <c r="AD24" s="29"/>
      <c r="AE24" s="95" t="s">
        <v>486</v>
      </c>
      <c r="AF24" s="22"/>
      <c r="AG24" s="30"/>
      <c r="AH24" s="21"/>
      <c r="AI24" s="72">
        <v>44124</v>
      </c>
      <c r="AJ24" s="23" t="s">
        <v>262</v>
      </c>
      <c r="AK24" s="8" t="e">
        <f>VLOOKUP(A24,'[1]Externe MAJ Nov'!$A:$H,8,0)</f>
        <v>#N/A</v>
      </c>
      <c r="AL24" s="29" t="e">
        <f>VLOOKUP(A24,'[1]Externe MAJ Nov'!$A:$G,7,0)</f>
        <v>#N/A</v>
      </c>
      <c r="AM24" s="29" t="s">
        <v>95</v>
      </c>
      <c r="AN24" s="29" t="s">
        <v>240</v>
      </c>
      <c r="AO24" s="58">
        <v>44124</v>
      </c>
      <c r="AP24" s="29" t="e">
        <f>VLOOKUP(A24,'[2]External Scan 02_21'!$B:$J,9,0)</f>
        <v>#N/A</v>
      </c>
      <c r="AQ24" s="29" t="s">
        <v>486</v>
      </c>
      <c r="AR24" s="75" t="s">
        <v>487</v>
      </c>
      <c r="AS24" s="21" t="str">
        <f>VLOOKUP(AE24,'ref statu'!A:B,2,0)</f>
        <v>(SIRHAPP)</v>
      </c>
      <c r="AT24" s="8" t="e">
        <f>VLOOKUP(A24,chk!A:B,2,0)</f>
        <v>#N/A</v>
      </c>
      <c r="AU24" s="29" t="e">
        <f>VLOOKUP(A24,checker!A:B,2,0)</f>
        <v>#N/A</v>
      </c>
      <c r="AV24" s="29" t="e">
        <f>VLOOKUP(A24,checker!B:C,2,0)</f>
        <v>#N/A</v>
      </c>
    </row>
    <row r="25" spans="1:48" x14ac:dyDescent="0.3">
      <c r="A25" s="29" t="str">
        <f t="shared" si="0"/>
        <v>96.692.66.633/443/ssl-static-key-ciphers</v>
      </c>
      <c r="B25" s="29" t="s">
        <v>2994</v>
      </c>
      <c r="C25" s="29" t="s">
        <v>286</v>
      </c>
      <c r="D25" s="148" t="s">
        <v>2976</v>
      </c>
      <c r="E25" s="8" t="s">
        <v>287</v>
      </c>
      <c r="F25" s="29" t="s">
        <v>288</v>
      </c>
      <c r="G25" s="21" t="s">
        <v>289</v>
      </c>
      <c r="H25" s="29" t="s">
        <v>256</v>
      </c>
      <c r="I25" s="8" t="s">
        <v>257</v>
      </c>
      <c r="J25" s="8">
        <v>443</v>
      </c>
      <c r="K25" s="29" t="s">
        <v>290</v>
      </c>
      <c r="L25" s="29" t="s">
        <v>291</v>
      </c>
      <c r="M25" s="9">
        <v>3</v>
      </c>
      <c r="N25" s="9" t="s">
        <v>42</v>
      </c>
      <c r="O25" s="29" t="s">
        <v>120</v>
      </c>
      <c r="P25" s="29" t="s">
        <v>121</v>
      </c>
      <c r="Q25" s="29" t="s">
        <v>122</v>
      </c>
      <c r="R25" s="29" t="s">
        <v>123</v>
      </c>
      <c r="S25" s="29" t="s">
        <v>295</v>
      </c>
      <c r="T25" s="29" t="s">
        <v>124</v>
      </c>
      <c r="U25" s="29" t="s">
        <v>31</v>
      </c>
      <c r="V25" s="29" t="s">
        <v>31</v>
      </c>
      <c r="W25" s="57">
        <v>42036</v>
      </c>
      <c r="X25" s="8" t="s">
        <v>36</v>
      </c>
      <c r="Y25" s="8">
        <v>0</v>
      </c>
      <c r="Z25" s="8" t="s">
        <v>31</v>
      </c>
      <c r="AA25" s="8" t="s">
        <v>31</v>
      </c>
      <c r="AB25" s="8" t="s">
        <v>260</v>
      </c>
      <c r="AC25" s="29"/>
      <c r="AD25" s="29"/>
      <c r="AE25" s="95" t="s">
        <v>486</v>
      </c>
      <c r="AF25" s="22"/>
      <c r="AG25" s="30"/>
      <c r="AH25" s="21"/>
      <c r="AI25" s="72">
        <v>44124</v>
      </c>
      <c r="AJ25" s="23" t="s">
        <v>262</v>
      </c>
      <c r="AK25" s="8" t="e">
        <f>VLOOKUP(A25,'[1]Externe MAJ Nov'!$A:$H,8,0)</f>
        <v>#N/A</v>
      </c>
      <c r="AL25" s="29" t="e">
        <f>VLOOKUP(A25,'[1]Externe MAJ Nov'!$A:$G,7,0)</f>
        <v>#N/A</v>
      </c>
      <c r="AM25" s="29" t="s">
        <v>95</v>
      </c>
      <c r="AN25" s="29" t="s">
        <v>240</v>
      </c>
      <c r="AO25" s="58">
        <v>44124</v>
      </c>
      <c r="AP25" s="29" t="e">
        <f>VLOOKUP(A25,'[2]External Scan 02_21'!$B:$J,9,0)</f>
        <v>#N/A</v>
      </c>
      <c r="AQ25" s="29" t="s">
        <v>486</v>
      </c>
      <c r="AR25" s="75" t="s">
        <v>487</v>
      </c>
      <c r="AS25" s="21" t="str">
        <f>VLOOKUP(AE25,'ref statu'!A:B,2,0)</f>
        <v>(SIRHAPP)</v>
      </c>
      <c r="AT25" s="8" t="e">
        <f>VLOOKUP(A25,chk!A:B,2,0)</f>
        <v>#N/A</v>
      </c>
      <c r="AU25" s="29" t="e">
        <f>VLOOKUP(A25,checker!A:B,2,0)</f>
        <v>#N/A</v>
      </c>
      <c r="AV25" s="29" t="e">
        <f>VLOOKUP(A25,checker!B:C,2,0)</f>
        <v>#N/A</v>
      </c>
    </row>
    <row r="26" spans="1:48" x14ac:dyDescent="0.3">
      <c r="A26" s="29" t="str">
        <f t="shared" si="0"/>
        <v>96.692.66.633/443/tlsv1_0-enabled</v>
      </c>
      <c r="B26" s="29" t="s">
        <v>2994</v>
      </c>
      <c r="C26" s="29" t="s">
        <v>286</v>
      </c>
      <c r="D26" s="148" t="s">
        <v>2976</v>
      </c>
      <c r="E26" s="8" t="s">
        <v>287</v>
      </c>
      <c r="F26" s="29" t="s">
        <v>288</v>
      </c>
      <c r="G26" s="21" t="s">
        <v>289</v>
      </c>
      <c r="H26" s="29" t="s">
        <v>256</v>
      </c>
      <c r="I26" s="8" t="s">
        <v>257</v>
      </c>
      <c r="J26" s="8">
        <v>443</v>
      </c>
      <c r="K26" s="29" t="s">
        <v>290</v>
      </c>
      <c r="L26" s="29" t="s">
        <v>291</v>
      </c>
      <c r="M26" s="9">
        <v>4</v>
      </c>
      <c r="N26" s="9" t="s">
        <v>29</v>
      </c>
      <c r="O26" s="29" t="s">
        <v>136</v>
      </c>
      <c r="P26" s="29" t="s">
        <v>137</v>
      </c>
      <c r="Q26" s="29" t="s">
        <v>138</v>
      </c>
      <c r="R26" s="29" t="s">
        <v>139</v>
      </c>
      <c r="S26" s="29" t="s">
        <v>140</v>
      </c>
      <c r="T26" s="29" t="s">
        <v>141</v>
      </c>
      <c r="U26" s="29" t="s">
        <v>31</v>
      </c>
      <c r="V26" s="29" t="s">
        <v>31</v>
      </c>
      <c r="W26" s="57">
        <v>41926</v>
      </c>
      <c r="X26" s="8" t="s">
        <v>36</v>
      </c>
      <c r="Y26" s="8">
        <v>0</v>
      </c>
      <c r="Z26" s="8" t="s">
        <v>31</v>
      </c>
      <c r="AA26" s="8" t="s">
        <v>31</v>
      </c>
      <c r="AB26" s="8" t="s">
        <v>260</v>
      </c>
      <c r="AC26" s="29"/>
      <c r="AD26" s="29"/>
      <c r="AE26" s="95" t="s">
        <v>486</v>
      </c>
      <c r="AF26" s="22"/>
      <c r="AG26" s="30"/>
      <c r="AH26" s="21"/>
      <c r="AI26" s="72">
        <v>44124</v>
      </c>
      <c r="AJ26" s="23" t="s">
        <v>262</v>
      </c>
      <c r="AK26" s="8" t="e">
        <f>VLOOKUP(A26,'[1]Externe MAJ Nov'!$A:$H,8,0)</f>
        <v>#N/A</v>
      </c>
      <c r="AL26" s="29" t="e">
        <f>VLOOKUP(A26,'[1]Externe MAJ Nov'!$A:$G,7,0)</f>
        <v>#N/A</v>
      </c>
      <c r="AM26" s="29" t="s">
        <v>95</v>
      </c>
      <c r="AN26" s="29" t="s">
        <v>240</v>
      </c>
      <c r="AO26" s="58">
        <v>44124</v>
      </c>
      <c r="AP26" s="29" t="e">
        <f>VLOOKUP(A26,'[2]External Scan 02_21'!$B:$J,9,0)</f>
        <v>#N/A</v>
      </c>
      <c r="AQ26" s="29" t="s">
        <v>486</v>
      </c>
      <c r="AR26" s="75" t="s">
        <v>487</v>
      </c>
      <c r="AS26" s="21" t="str">
        <f>VLOOKUP(AE26,'ref statu'!A:B,2,0)</f>
        <v>(SIRHAPP)</v>
      </c>
      <c r="AT26" s="8" t="e">
        <f>VLOOKUP(A26,chk!A:B,2,0)</f>
        <v>#N/A</v>
      </c>
      <c r="AU26" s="29" t="e">
        <f>VLOOKUP(A26,checker!A:B,2,0)</f>
        <v>#N/A</v>
      </c>
      <c r="AV26" s="29" t="e">
        <f>VLOOKUP(A26,checker!B:C,2,0)</f>
        <v>#N/A</v>
      </c>
    </row>
    <row r="27" spans="1:48" x14ac:dyDescent="0.3">
      <c r="A27" s="29" t="str">
        <f t="shared" si="0"/>
        <v>96.692.66.633/443/tlsv1_1-enabled</v>
      </c>
      <c r="B27" s="29" t="s">
        <v>2994</v>
      </c>
      <c r="C27" s="29" t="s">
        <v>286</v>
      </c>
      <c r="D27" s="148" t="s">
        <v>2976</v>
      </c>
      <c r="E27" s="8" t="s">
        <v>287</v>
      </c>
      <c r="F27" s="29" t="s">
        <v>288</v>
      </c>
      <c r="G27" s="21" t="s">
        <v>289</v>
      </c>
      <c r="H27" s="29" t="s">
        <v>256</v>
      </c>
      <c r="I27" s="8" t="s">
        <v>257</v>
      </c>
      <c r="J27" s="8">
        <v>443</v>
      </c>
      <c r="K27" s="29" t="s">
        <v>290</v>
      </c>
      <c r="L27" s="29" t="s">
        <v>291</v>
      </c>
      <c r="M27" s="9">
        <v>3</v>
      </c>
      <c r="N27" s="9" t="s">
        <v>42</v>
      </c>
      <c r="O27" s="29" t="s">
        <v>142</v>
      </c>
      <c r="P27" s="29" t="s">
        <v>143</v>
      </c>
      <c r="Q27" s="29" t="s">
        <v>138</v>
      </c>
      <c r="R27" s="29" t="s">
        <v>139</v>
      </c>
      <c r="S27" s="29" t="s">
        <v>144</v>
      </c>
      <c r="T27" s="29" t="s">
        <v>141</v>
      </c>
      <c r="U27" s="29" t="s">
        <v>31</v>
      </c>
      <c r="V27" s="29" t="s">
        <v>31</v>
      </c>
      <c r="W27" s="57">
        <v>41926</v>
      </c>
      <c r="X27" s="8" t="s">
        <v>36</v>
      </c>
      <c r="Y27" s="8">
        <v>0</v>
      </c>
      <c r="Z27" s="8" t="s">
        <v>31</v>
      </c>
      <c r="AA27" s="8" t="s">
        <v>31</v>
      </c>
      <c r="AB27" s="8" t="s">
        <v>260</v>
      </c>
      <c r="AC27" s="29"/>
      <c r="AD27" s="29"/>
      <c r="AE27" s="95" t="s">
        <v>486</v>
      </c>
      <c r="AF27" s="22"/>
      <c r="AG27" s="30"/>
      <c r="AH27" s="21"/>
      <c r="AI27" s="72">
        <v>44124</v>
      </c>
      <c r="AJ27" s="23" t="s">
        <v>262</v>
      </c>
      <c r="AK27" s="8" t="e">
        <f>VLOOKUP(A27,'[1]Externe MAJ Nov'!$A:$H,8,0)</f>
        <v>#N/A</v>
      </c>
      <c r="AL27" s="29" t="e">
        <f>VLOOKUP(A27,'[1]Externe MAJ Nov'!$A:$G,7,0)</f>
        <v>#N/A</v>
      </c>
      <c r="AM27" s="29" t="s">
        <v>95</v>
      </c>
      <c r="AN27" s="29" t="s">
        <v>240</v>
      </c>
      <c r="AO27" s="58">
        <v>44124</v>
      </c>
      <c r="AP27" s="29" t="e">
        <f>VLOOKUP(A27,'[2]External Scan 02_21'!$B:$J,9,0)</f>
        <v>#N/A</v>
      </c>
      <c r="AQ27" s="29" t="s">
        <v>486</v>
      </c>
      <c r="AR27" s="75" t="s">
        <v>487</v>
      </c>
      <c r="AS27" s="21" t="str">
        <f>VLOOKUP(AE27,'ref statu'!A:B,2,0)</f>
        <v>(SIRHAPP)</v>
      </c>
      <c r="AT27" s="8" t="e">
        <f>VLOOKUP(A27,chk!A:B,2,0)</f>
        <v>#N/A</v>
      </c>
      <c r="AU27" s="29" t="e">
        <f>VLOOKUP(A27,checker!A:B,2,0)</f>
        <v>#N/A</v>
      </c>
      <c r="AV27" s="29" t="e">
        <f>VLOOKUP(A27,checker!B:C,2,0)</f>
        <v>#N/A</v>
      </c>
    </row>
    <row r="28" spans="1:48" x14ac:dyDescent="0.3">
      <c r="A28" s="29" t="str">
        <f t="shared" si="0"/>
        <v>96.692.66.637/0/generic-tcp-timestamp</v>
      </c>
      <c r="B28" s="29" t="s">
        <v>2995</v>
      </c>
      <c r="C28" s="29" t="s">
        <v>302</v>
      </c>
      <c r="D28" s="148" t="s">
        <v>2961</v>
      </c>
      <c r="E28" s="8" t="s">
        <v>253</v>
      </c>
      <c r="F28" s="29" t="s">
        <v>254</v>
      </c>
      <c r="G28" s="21" t="s">
        <v>301</v>
      </c>
      <c r="H28" s="29" t="s">
        <v>256</v>
      </c>
      <c r="I28" s="8" t="s">
        <v>257</v>
      </c>
      <c r="J28" s="8">
        <v>0</v>
      </c>
      <c r="K28" s="29" t="s">
        <v>258</v>
      </c>
      <c r="L28" s="29" t="s">
        <v>31</v>
      </c>
      <c r="M28" s="9">
        <v>1</v>
      </c>
      <c r="N28" s="9" t="s">
        <v>42</v>
      </c>
      <c r="O28" s="29" t="s">
        <v>78</v>
      </c>
      <c r="P28" s="29" t="s">
        <v>79</v>
      </c>
      <c r="Q28" s="29" t="s">
        <v>80</v>
      </c>
      <c r="R28" s="29" t="s">
        <v>81</v>
      </c>
      <c r="S28" s="29" t="s">
        <v>82</v>
      </c>
      <c r="T28" s="29" t="s">
        <v>83</v>
      </c>
      <c r="U28" s="29" t="s">
        <v>31</v>
      </c>
      <c r="V28" s="29" t="s">
        <v>31</v>
      </c>
      <c r="W28" s="57">
        <v>35643</v>
      </c>
      <c r="X28" s="8" t="s">
        <v>36</v>
      </c>
      <c r="Y28" s="8">
        <v>0</v>
      </c>
      <c r="Z28" s="8" t="s">
        <v>31</v>
      </c>
      <c r="AA28" s="8" t="s">
        <v>31</v>
      </c>
      <c r="AB28" s="8" t="s">
        <v>260</v>
      </c>
      <c r="AC28" s="29"/>
      <c r="AD28" s="29" t="s">
        <v>2487</v>
      </c>
      <c r="AE28" s="95" t="s">
        <v>28</v>
      </c>
      <c r="AF28" s="30">
        <v>44255</v>
      </c>
      <c r="AG28" s="30">
        <v>44255</v>
      </c>
      <c r="AH28" s="8"/>
      <c r="AI28" s="72">
        <v>44124</v>
      </c>
      <c r="AJ28" s="23" t="s">
        <v>262</v>
      </c>
      <c r="AK28" s="8" t="e">
        <f>VLOOKUP(A28,'[1]Externe MAJ Nov'!$A:$H,8,0)</f>
        <v>#N/A</v>
      </c>
      <c r="AL28" s="29" t="e">
        <f>VLOOKUP(A28,'[1]Externe MAJ Nov'!$A:$G,7,0)</f>
        <v>#N/A</v>
      </c>
      <c r="AM28" s="29" t="s">
        <v>28</v>
      </c>
      <c r="AN28" s="29" t="s">
        <v>77</v>
      </c>
      <c r="AO28" s="58">
        <v>44124</v>
      </c>
      <c r="AP28" s="29" t="e">
        <f>VLOOKUP(A28,'[2]External Scan 02_21'!$B:$J,9,0)</f>
        <v>#N/A</v>
      </c>
      <c r="AQ28" s="29" t="s">
        <v>28</v>
      </c>
      <c r="AR28" s="21"/>
      <c r="AS28" s="21" t="str">
        <f>VLOOKUP(AE28,'ref statu'!A:B,2,0)</f>
        <v>Fixed</v>
      </c>
      <c r="AT28" s="8" t="e">
        <f>VLOOKUP(A28,chk!A:B,2,0)</f>
        <v>#N/A</v>
      </c>
      <c r="AU28" s="29" t="e">
        <f>VLOOKUP(A28,checker!A:B,2,0)</f>
        <v>#N/A</v>
      </c>
      <c r="AV28" s="29" t="e">
        <f>VLOOKUP(A28,checker!B:C,2,0)</f>
        <v>#N/A</v>
      </c>
    </row>
    <row r="29" spans="1:48" x14ac:dyDescent="0.3">
      <c r="A29" s="29" t="str">
        <f t="shared" si="0"/>
        <v>96.692.66.637/443/certificate-common-name-mismatch</v>
      </c>
      <c r="B29" s="29" t="s">
        <v>2995</v>
      </c>
      <c r="C29" s="29" t="s">
        <v>302</v>
      </c>
      <c r="D29" s="148" t="s">
        <v>2961</v>
      </c>
      <c r="E29" s="8" t="s">
        <v>299</v>
      </c>
      <c r="F29" s="29"/>
      <c r="G29" s="21" t="s">
        <v>301</v>
      </c>
      <c r="H29" s="29" t="s">
        <v>256</v>
      </c>
      <c r="I29" s="8" t="s">
        <v>257</v>
      </c>
      <c r="J29" s="8">
        <v>443</v>
      </c>
      <c r="K29" s="29" t="s">
        <v>290</v>
      </c>
      <c r="L29" s="29" t="s">
        <v>31</v>
      </c>
      <c r="M29" s="9">
        <v>7</v>
      </c>
      <c r="N29" s="10" t="s">
        <v>2540</v>
      </c>
      <c r="O29" s="29" t="s">
        <v>148</v>
      </c>
      <c r="P29" s="29" t="s">
        <v>149</v>
      </c>
      <c r="Q29" s="29" t="s">
        <v>150</v>
      </c>
      <c r="R29" s="29" t="s">
        <v>151</v>
      </c>
      <c r="S29" s="29" t="s">
        <v>243</v>
      </c>
      <c r="T29" s="29" t="s">
        <v>31</v>
      </c>
      <c r="U29" s="29" t="s">
        <v>31</v>
      </c>
      <c r="V29" s="29" t="s">
        <v>31</v>
      </c>
      <c r="W29" s="57">
        <v>39297</v>
      </c>
      <c r="X29" s="8" t="s">
        <v>36</v>
      </c>
      <c r="Y29" s="8">
        <v>0</v>
      </c>
      <c r="Z29" s="8" t="s">
        <v>31</v>
      </c>
      <c r="AA29" s="8" t="s">
        <v>31</v>
      </c>
      <c r="AB29" s="8" t="s">
        <v>260</v>
      </c>
      <c r="AC29" s="29"/>
      <c r="AD29" s="29"/>
      <c r="AE29" s="95" t="s">
        <v>299</v>
      </c>
      <c r="AF29" s="22"/>
      <c r="AG29" s="30"/>
      <c r="AH29" s="21"/>
      <c r="AI29" s="72">
        <v>44124</v>
      </c>
      <c r="AJ29" s="23" t="s">
        <v>262</v>
      </c>
      <c r="AK29" s="8" t="e">
        <f>VLOOKUP(A29,'[1]Externe MAJ Nov'!$A:$H,8,0)</f>
        <v>#N/A</v>
      </c>
      <c r="AL29" s="29" t="e">
        <f>VLOOKUP(A29,'[1]Externe MAJ Nov'!$A:$G,7,0)</f>
        <v>#N/A</v>
      </c>
      <c r="AM29" s="29" t="s">
        <v>299</v>
      </c>
      <c r="AN29" s="29" t="s">
        <v>77</v>
      </c>
      <c r="AO29" s="58">
        <v>44124</v>
      </c>
      <c r="AP29" s="29" t="e">
        <f>VLOOKUP(A29,'[2]External Scan 02_21'!$B:$J,9,0)</f>
        <v>#N/A</v>
      </c>
      <c r="AQ29" s="29" t="s">
        <v>299</v>
      </c>
      <c r="AR29" s="21"/>
      <c r="AS29" s="21" t="str">
        <f>VLOOKUP(AE29,'ref statu'!A:B,2,0)</f>
        <v>Faux Positive</v>
      </c>
      <c r="AT29" s="8" t="e">
        <f>VLOOKUP(A29,chk!A:B,2,0)</f>
        <v>#N/A</v>
      </c>
      <c r="AU29" s="29" t="e">
        <f>VLOOKUP(A29,checker!A:B,2,0)</f>
        <v>#N/A</v>
      </c>
      <c r="AV29" s="29" t="e">
        <f>VLOOKUP(A29,checker!B:C,2,0)</f>
        <v>#N/A</v>
      </c>
    </row>
    <row r="30" spans="1:48" x14ac:dyDescent="0.3">
      <c r="A30" s="29" t="str">
        <f t="shared" si="0"/>
        <v>96.692.66.637/443/http-generic-click-jacking</v>
      </c>
      <c r="B30" s="29" t="s">
        <v>2995</v>
      </c>
      <c r="C30" s="29" t="s">
        <v>302</v>
      </c>
      <c r="D30" s="148" t="s">
        <v>2961</v>
      </c>
      <c r="E30" s="8" t="s">
        <v>253</v>
      </c>
      <c r="F30" s="29" t="s">
        <v>303</v>
      </c>
      <c r="G30" s="21" t="s">
        <v>301</v>
      </c>
      <c r="H30" s="29" t="s">
        <v>256</v>
      </c>
      <c r="I30" s="8" t="s">
        <v>257</v>
      </c>
      <c r="J30" s="8">
        <v>443</v>
      </c>
      <c r="K30" s="29" t="s">
        <v>290</v>
      </c>
      <c r="L30" s="29" t="s">
        <v>31</v>
      </c>
      <c r="M30" s="9">
        <v>4</v>
      </c>
      <c r="N30" s="9" t="s">
        <v>29</v>
      </c>
      <c r="O30" s="29" t="s">
        <v>37</v>
      </c>
      <c r="P30" s="29" t="s">
        <v>38</v>
      </c>
      <c r="Q30" s="29" t="s">
        <v>39</v>
      </c>
      <c r="R30" s="29" t="s">
        <v>40</v>
      </c>
      <c r="S30" s="29" t="s">
        <v>304</v>
      </c>
      <c r="T30" s="29" t="s">
        <v>41</v>
      </c>
      <c r="U30" s="29" t="s">
        <v>31</v>
      </c>
      <c r="V30" s="29" t="s">
        <v>31</v>
      </c>
      <c r="W30" s="57">
        <v>39708</v>
      </c>
      <c r="X30" s="8" t="s">
        <v>36</v>
      </c>
      <c r="Y30" s="8">
        <v>0</v>
      </c>
      <c r="Z30" s="8" t="s">
        <v>31</v>
      </c>
      <c r="AA30" s="8" t="s">
        <v>31</v>
      </c>
      <c r="AB30" s="8" t="s">
        <v>305</v>
      </c>
      <c r="AC30" s="29"/>
      <c r="AD30" s="29"/>
      <c r="AE30" s="95" t="s">
        <v>2538</v>
      </c>
      <c r="AF30" s="30">
        <v>44255</v>
      </c>
      <c r="AG30" s="30">
        <v>44255</v>
      </c>
      <c r="AH30" s="8"/>
      <c r="AI30" s="72">
        <v>44124</v>
      </c>
      <c r="AJ30" s="23" t="s">
        <v>262</v>
      </c>
      <c r="AK30" s="8" t="e">
        <f>VLOOKUP(A30,'[1]Externe MAJ Nov'!$A:$H,8,0)</f>
        <v>#N/A</v>
      </c>
      <c r="AL30" s="29" t="e">
        <f>VLOOKUP(A30,'[1]Externe MAJ Nov'!$A:$G,7,0)</f>
        <v>#N/A</v>
      </c>
      <c r="AM30" s="29" t="s">
        <v>95</v>
      </c>
      <c r="AN30" s="29" t="s">
        <v>77</v>
      </c>
      <c r="AO30" s="58">
        <v>44124</v>
      </c>
      <c r="AP30" s="29" t="e">
        <f>VLOOKUP(A30,'[2]External Scan 02_21'!$B:$J,9,0)</f>
        <v>#N/A</v>
      </c>
      <c r="AQ30" s="29" t="s">
        <v>28</v>
      </c>
      <c r="AR30" s="21"/>
      <c r="AS30" s="21" t="str">
        <f>VLOOKUP(AE30,'ref statu'!A:B,2,0)</f>
        <v>Not Fixed en cours d'investigation / Planification</v>
      </c>
      <c r="AT30" s="8" t="e">
        <f>VLOOKUP(A30,chk!A:B,2,0)</f>
        <v>#N/A</v>
      </c>
      <c r="AU30" s="29" t="e">
        <f>VLOOKUP(A30,checker!A:B,2,0)</f>
        <v>#N/A</v>
      </c>
      <c r="AV30" s="29" t="e">
        <f>VLOOKUP(A30,checker!B:C,2,0)</f>
        <v>#N/A</v>
      </c>
    </row>
    <row r="31" spans="1:48" x14ac:dyDescent="0.3">
      <c r="A31" s="29" t="str">
        <f t="shared" si="0"/>
        <v>96.692.66.637/443/ssl-3des-ciphers</v>
      </c>
      <c r="B31" s="29" t="s">
        <v>2995</v>
      </c>
      <c r="C31" s="29" t="s">
        <v>302</v>
      </c>
      <c r="D31" s="148" t="s">
        <v>2961</v>
      </c>
      <c r="E31" s="8" t="s">
        <v>253</v>
      </c>
      <c r="F31" s="29" t="s">
        <v>254</v>
      </c>
      <c r="G31" s="21" t="s">
        <v>301</v>
      </c>
      <c r="H31" s="29" t="s">
        <v>256</v>
      </c>
      <c r="I31" s="8" t="s">
        <v>257</v>
      </c>
      <c r="J31" s="8">
        <v>443</v>
      </c>
      <c r="K31" s="29" t="s">
        <v>290</v>
      </c>
      <c r="L31" s="29" t="s">
        <v>31</v>
      </c>
      <c r="M31" s="9">
        <v>1</v>
      </c>
      <c r="N31" s="9" t="s">
        <v>42</v>
      </c>
      <c r="O31" s="29" t="s">
        <v>100</v>
      </c>
      <c r="P31" s="29" t="s">
        <v>101</v>
      </c>
      <c r="Q31" s="29" t="s">
        <v>102</v>
      </c>
      <c r="R31" s="29" t="s">
        <v>103</v>
      </c>
      <c r="S31" s="29" t="s">
        <v>292</v>
      </c>
      <c r="T31" s="29" t="s">
        <v>104</v>
      </c>
      <c r="U31" s="29" t="s">
        <v>31</v>
      </c>
      <c r="V31" s="29" t="s">
        <v>31</v>
      </c>
      <c r="W31" s="57">
        <v>39845</v>
      </c>
      <c r="X31" s="8" t="s">
        <v>36</v>
      </c>
      <c r="Y31" s="8">
        <v>0</v>
      </c>
      <c r="Z31" s="8" t="s">
        <v>31</v>
      </c>
      <c r="AA31" s="8" t="s">
        <v>31</v>
      </c>
      <c r="AB31" s="8" t="s">
        <v>260</v>
      </c>
      <c r="AC31" s="29"/>
      <c r="AD31" s="29"/>
      <c r="AE31" s="95" t="s">
        <v>28</v>
      </c>
      <c r="AF31" s="30">
        <v>44255</v>
      </c>
      <c r="AG31" s="30">
        <v>44255</v>
      </c>
      <c r="AH31" s="8"/>
      <c r="AI31" s="72">
        <v>44124</v>
      </c>
      <c r="AJ31" s="23" t="s">
        <v>262</v>
      </c>
      <c r="AK31" s="8" t="e">
        <f>VLOOKUP(A31,'[1]Externe MAJ Nov'!$A:$H,8,0)</f>
        <v>#N/A</v>
      </c>
      <c r="AL31" s="29" t="e">
        <f>VLOOKUP(A31,'[1]Externe MAJ Nov'!$A:$G,7,0)</f>
        <v>#N/A</v>
      </c>
      <c r="AM31" s="29" t="s">
        <v>95</v>
      </c>
      <c r="AN31" s="29" t="s">
        <v>77</v>
      </c>
      <c r="AO31" s="58">
        <v>44124</v>
      </c>
      <c r="AP31" s="29" t="e">
        <f>VLOOKUP(A31,'[2]External Scan 02_21'!$B:$J,9,0)</f>
        <v>#N/A</v>
      </c>
      <c r="AQ31" s="29" t="s">
        <v>28</v>
      </c>
      <c r="AR31" s="21"/>
      <c r="AS31" s="21" t="str">
        <f>VLOOKUP(AE31,'ref statu'!A:B,2,0)</f>
        <v>Fixed</v>
      </c>
      <c r="AT31" s="8" t="e">
        <f>VLOOKUP(A31,chk!A:B,2,0)</f>
        <v>#N/A</v>
      </c>
      <c r="AU31" s="29" t="e">
        <f>VLOOKUP(A31,checker!A:B,2,0)</f>
        <v>#N/A</v>
      </c>
      <c r="AV31" s="29" t="e">
        <f>VLOOKUP(A31,checker!B:C,2,0)</f>
        <v>#N/A</v>
      </c>
    </row>
    <row r="32" spans="1:48" x14ac:dyDescent="0.3">
      <c r="A32" s="29" t="str">
        <f t="shared" si="0"/>
        <v>96.692.66.637/443/ssl-cve-2011-3389-beast</v>
      </c>
      <c r="B32" s="29" t="s">
        <v>2995</v>
      </c>
      <c r="C32" s="29" t="s">
        <v>302</v>
      </c>
      <c r="D32" s="148" t="s">
        <v>2961</v>
      </c>
      <c r="E32" s="8" t="s">
        <v>253</v>
      </c>
      <c r="F32" s="29" t="s">
        <v>303</v>
      </c>
      <c r="G32" s="21" t="s">
        <v>301</v>
      </c>
      <c r="H32" s="29" t="s">
        <v>256</v>
      </c>
      <c r="I32" s="8" t="s">
        <v>257</v>
      </c>
      <c r="J32" s="8">
        <v>443</v>
      </c>
      <c r="K32" s="29" t="s">
        <v>290</v>
      </c>
      <c r="L32" s="29" t="s">
        <v>31</v>
      </c>
      <c r="M32" s="9">
        <v>4</v>
      </c>
      <c r="N32" s="9" t="s">
        <v>29</v>
      </c>
      <c r="O32" s="29" t="s">
        <v>105</v>
      </c>
      <c r="P32" s="29" t="s">
        <v>106</v>
      </c>
      <c r="Q32" s="29" t="s">
        <v>107</v>
      </c>
      <c r="R32" s="29" t="s">
        <v>108</v>
      </c>
      <c r="S32" s="29" t="s">
        <v>296</v>
      </c>
      <c r="T32" s="29" t="s">
        <v>109</v>
      </c>
      <c r="U32" s="29" t="s">
        <v>110</v>
      </c>
      <c r="V32" s="29" t="s">
        <v>297</v>
      </c>
      <c r="W32" s="57">
        <v>40792</v>
      </c>
      <c r="X32" s="8" t="s">
        <v>36</v>
      </c>
      <c r="Y32" s="8">
        <v>0</v>
      </c>
      <c r="Z32" s="8" t="s">
        <v>31</v>
      </c>
      <c r="AA32" s="8" t="s">
        <v>31</v>
      </c>
      <c r="AB32" s="8" t="s">
        <v>260</v>
      </c>
      <c r="AC32" s="29"/>
      <c r="AD32" s="29"/>
      <c r="AE32" s="95" t="s">
        <v>28</v>
      </c>
      <c r="AF32" s="30">
        <v>44255</v>
      </c>
      <c r="AG32" s="30">
        <v>44255</v>
      </c>
      <c r="AH32" s="8"/>
      <c r="AI32" s="72">
        <v>44124</v>
      </c>
      <c r="AJ32" s="23" t="s">
        <v>262</v>
      </c>
      <c r="AK32" s="8" t="e">
        <f>VLOOKUP(A32,'[1]Externe MAJ Nov'!$A:$H,8,0)</f>
        <v>#N/A</v>
      </c>
      <c r="AL32" s="29" t="e">
        <f>VLOOKUP(A32,'[1]Externe MAJ Nov'!$A:$G,7,0)</f>
        <v>#N/A</v>
      </c>
      <c r="AM32" s="29" t="s">
        <v>95</v>
      </c>
      <c r="AN32" s="29" t="s">
        <v>77</v>
      </c>
      <c r="AO32" s="58">
        <v>44124</v>
      </c>
      <c r="AP32" s="29" t="e">
        <f>VLOOKUP(A32,'[2]External Scan 02_21'!$B:$J,9,0)</f>
        <v>#N/A</v>
      </c>
      <c r="AQ32" s="29" t="s">
        <v>28</v>
      </c>
      <c r="AR32" s="21"/>
      <c r="AS32" s="21" t="str">
        <f>VLOOKUP(AE32,'ref statu'!A:B,2,0)</f>
        <v>Fixed</v>
      </c>
      <c r="AT32" s="8" t="e">
        <f>VLOOKUP(A32,chk!A:B,2,0)</f>
        <v>#N/A</v>
      </c>
      <c r="AU32" s="29" t="e">
        <f>VLOOKUP(A32,checker!A:B,2,0)</f>
        <v>#N/A</v>
      </c>
      <c r="AV32" s="29" t="e">
        <f>VLOOKUP(A32,checker!B:C,2,0)</f>
        <v>#N/A</v>
      </c>
    </row>
    <row r="33" spans="1:48" x14ac:dyDescent="0.3">
      <c r="A33" s="29" t="str">
        <f t="shared" si="0"/>
        <v>96.692.66.637/443/ssl-cve-2016-2183-sweet32</v>
      </c>
      <c r="B33" s="29" t="s">
        <v>2995</v>
      </c>
      <c r="C33" s="29" t="s">
        <v>302</v>
      </c>
      <c r="D33" s="148" t="s">
        <v>2961</v>
      </c>
      <c r="E33" s="8" t="s">
        <v>253</v>
      </c>
      <c r="F33" s="29" t="s">
        <v>303</v>
      </c>
      <c r="G33" s="21" t="s">
        <v>301</v>
      </c>
      <c r="H33" s="29" t="s">
        <v>256</v>
      </c>
      <c r="I33" s="8" t="s">
        <v>257</v>
      </c>
      <c r="J33" s="8">
        <v>443</v>
      </c>
      <c r="K33" s="29" t="s">
        <v>290</v>
      </c>
      <c r="L33" s="29" t="s">
        <v>31</v>
      </c>
      <c r="M33" s="9">
        <v>5</v>
      </c>
      <c r="N33" s="9" t="s">
        <v>29</v>
      </c>
      <c r="O33" s="29" t="s">
        <v>111</v>
      </c>
      <c r="P33" s="29" t="s">
        <v>112</v>
      </c>
      <c r="Q33" s="29" t="s">
        <v>113</v>
      </c>
      <c r="R33" s="29" t="s">
        <v>103</v>
      </c>
      <c r="S33" s="29" t="s">
        <v>292</v>
      </c>
      <c r="T33" s="29" t="s">
        <v>114</v>
      </c>
      <c r="U33" s="29" t="s">
        <v>71</v>
      </c>
      <c r="V33" s="29" t="s">
        <v>278</v>
      </c>
      <c r="W33" s="57">
        <v>42606</v>
      </c>
      <c r="X33" s="8" t="s">
        <v>36</v>
      </c>
      <c r="Y33" s="8">
        <v>1</v>
      </c>
      <c r="Z33" s="8" t="s">
        <v>279</v>
      </c>
      <c r="AA33" s="8" t="s">
        <v>280</v>
      </c>
      <c r="AB33" s="8" t="s">
        <v>260</v>
      </c>
      <c r="AC33" s="29"/>
      <c r="AD33" s="29"/>
      <c r="AE33" s="95" t="s">
        <v>28</v>
      </c>
      <c r="AF33" s="30">
        <v>44255</v>
      </c>
      <c r="AG33" s="30">
        <v>44255</v>
      </c>
      <c r="AH33" s="8"/>
      <c r="AI33" s="72">
        <v>44124</v>
      </c>
      <c r="AJ33" s="23" t="s">
        <v>262</v>
      </c>
      <c r="AK33" s="8" t="e">
        <f>VLOOKUP(A33,'[1]Externe MAJ Nov'!$A:$H,8,0)</f>
        <v>#N/A</v>
      </c>
      <c r="AL33" s="29" t="e">
        <f>VLOOKUP(A33,'[1]Externe MAJ Nov'!$A:$G,7,0)</f>
        <v>#N/A</v>
      </c>
      <c r="AM33" s="29" t="s">
        <v>95</v>
      </c>
      <c r="AN33" s="29" t="s">
        <v>77</v>
      </c>
      <c r="AO33" s="58">
        <v>44124</v>
      </c>
      <c r="AP33" s="29" t="e">
        <f>VLOOKUP(A33,'[2]External Scan 02_21'!$B:$J,9,0)</f>
        <v>#N/A</v>
      </c>
      <c r="AQ33" s="29" t="s">
        <v>28</v>
      </c>
      <c r="AR33" s="21"/>
      <c r="AS33" s="21" t="str">
        <f>VLOOKUP(AE33,'ref statu'!A:B,2,0)</f>
        <v>Fixed</v>
      </c>
      <c r="AT33" s="8" t="e">
        <f>VLOOKUP(A33,chk!A:B,2,0)</f>
        <v>#N/A</v>
      </c>
      <c r="AU33" s="29" t="e">
        <f>VLOOKUP(A33,checker!A:B,2,0)</f>
        <v>#N/A</v>
      </c>
      <c r="AV33" s="29" t="e">
        <f>VLOOKUP(A33,checker!B:C,2,0)</f>
        <v>#N/A</v>
      </c>
    </row>
    <row r="34" spans="1:48" x14ac:dyDescent="0.3">
      <c r="A34" s="29" t="str">
        <f t="shared" si="0"/>
        <v>96.692.66.637/443/ssl-static-key-ciphers</v>
      </c>
      <c r="B34" s="29" t="s">
        <v>2995</v>
      </c>
      <c r="C34" s="29" t="s">
        <v>302</v>
      </c>
      <c r="D34" s="148" t="s">
        <v>2961</v>
      </c>
      <c r="E34" s="8" t="s">
        <v>253</v>
      </c>
      <c r="F34" s="29" t="s">
        <v>254</v>
      </c>
      <c r="G34" s="21" t="s">
        <v>301</v>
      </c>
      <c r="H34" s="29" t="s">
        <v>256</v>
      </c>
      <c r="I34" s="8" t="s">
        <v>257</v>
      </c>
      <c r="J34" s="8">
        <v>443</v>
      </c>
      <c r="K34" s="29" t="s">
        <v>290</v>
      </c>
      <c r="L34" s="29" t="s">
        <v>31</v>
      </c>
      <c r="M34" s="9">
        <v>3</v>
      </c>
      <c r="N34" s="9" t="s">
        <v>42</v>
      </c>
      <c r="O34" s="29" t="s">
        <v>120</v>
      </c>
      <c r="P34" s="29" t="s">
        <v>121</v>
      </c>
      <c r="Q34" s="29" t="s">
        <v>122</v>
      </c>
      <c r="R34" s="29" t="s">
        <v>123</v>
      </c>
      <c r="S34" s="29" t="s">
        <v>295</v>
      </c>
      <c r="T34" s="29" t="s">
        <v>124</v>
      </c>
      <c r="U34" s="29" t="s">
        <v>31</v>
      </c>
      <c r="V34" s="29" t="s">
        <v>31</v>
      </c>
      <c r="W34" s="57">
        <v>42036</v>
      </c>
      <c r="X34" s="8" t="s">
        <v>36</v>
      </c>
      <c r="Y34" s="8">
        <v>0</v>
      </c>
      <c r="Z34" s="8" t="s">
        <v>31</v>
      </c>
      <c r="AA34" s="8" t="s">
        <v>31</v>
      </c>
      <c r="AB34" s="8" t="s">
        <v>260</v>
      </c>
      <c r="AC34" s="29"/>
      <c r="AD34" s="29"/>
      <c r="AE34" s="95" t="s">
        <v>28</v>
      </c>
      <c r="AF34" s="30">
        <v>44255</v>
      </c>
      <c r="AG34" s="30">
        <v>44255</v>
      </c>
      <c r="AH34" s="8"/>
      <c r="AI34" s="72">
        <v>44124</v>
      </c>
      <c r="AJ34" s="23" t="s">
        <v>262</v>
      </c>
      <c r="AK34" s="8" t="e">
        <f>VLOOKUP(A34,'[1]Externe MAJ Nov'!$A:$H,8,0)</f>
        <v>#N/A</v>
      </c>
      <c r="AL34" s="29" t="e">
        <f>VLOOKUP(A34,'[1]Externe MAJ Nov'!$A:$G,7,0)</f>
        <v>#N/A</v>
      </c>
      <c r="AM34" s="29" t="s">
        <v>95</v>
      </c>
      <c r="AN34" s="29" t="s">
        <v>77</v>
      </c>
      <c r="AO34" s="58">
        <v>44124</v>
      </c>
      <c r="AP34" s="29" t="e">
        <f>VLOOKUP(A34,'[2]External Scan 02_21'!$B:$J,9,0)</f>
        <v>#N/A</v>
      </c>
      <c r="AQ34" s="29" t="s">
        <v>28</v>
      </c>
      <c r="AR34" s="21"/>
      <c r="AS34" s="21" t="str">
        <f>VLOOKUP(AE34,'ref statu'!A:B,2,0)</f>
        <v>Fixed</v>
      </c>
      <c r="AT34" s="8" t="e">
        <f>VLOOKUP(A34,chk!A:B,2,0)</f>
        <v>#N/A</v>
      </c>
      <c r="AU34" s="29" t="e">
        <f>VLOOKUP(A34,checker!A:B,2,0)</f>
        <v>#N/A</v>
      </c>
      <c r="AV34" s="29" t="e">
        <f>VLOOKUP(A34,checker!B:C,2,0)</f>
        <v>#N/A</v>
      </c>
    </row>
    <row r="35" spans="1:48" x14ac:dyDescent="0.3">
      <c r="A35" s="29" t="str">
        <f t="shared" si="0"/>
        <v>96.692.66.637/443/tlsv1_0-enabled</v>
      </c>
      <c r="B35" s="29" t="s">
        <v>2995</v>
      </c>
      <c r="C35" s="29" t="s">
        <v>302</v>
      </c>
      <c r="D35" s="148" t="s">
        <v>2961</v>
      </c>
      <c r="E35" s="8" t="s">
        <v>253</v>
      </c>
      <c r="F35" s="29" t="s">
        <v>303</v>
      </c>
      <c r="G35" s="21" t="s">
        <v>301</v>
      </c>
      <c r="H35" s="29" t="s">
        <v>256</v>
      </c>
      <c r="I35" s="8" t="s">
        <v>257</v>
      </c>
      <c r="J35" s="8">
        <v>443</v>
      </c>
      <c r="K35" s="29" t="s">
        <v>290</v>
      </c>
      <c r="L35" s="29" t="s">
        <v>31</v>
      </c>
      <c r="M35" s="9">
        <v>4</v>
      </c>
      <c r="N35" s="9" t="s">
        <v>29</v>
      </c>
      <c r="O35" s="29" t="s">
        <v>136</v>
      </c>
      <c r="P35" s="29" t="s">
        <v>137</v>
      </c>
      <c r="Q35" s="29" t="s">
        <v>138</v>
      </c>
      <c r="R35" s="29" t="s">
        <v>139</v>
      </c>
      <c r="S35" s="29" t="s">
        <v>140</v>
      </c>
      <c r="T35" s="29" t="s">
        <v>141</v>
      </c>
      <c r="U35" s="29" t="s">
        <v>31</v>
      </c>
      <c r="V35" s="29" t="s">
        <v>31</v>
      </c>
      <c r="W35" s="57">
        <v>41926</v>
      </c>
      <c r="X35" s="8" t="s">
        <v>36</v>
      </c>
      <c r="Y35" s="8">
        <v>0</v>
      </c>
      <c r="Z35" s="8" t="s">
        <v>31</v>
      </c>
      <c r="AA35" s="8" t="s">
        <v>31</v>
      </c>
      <c r="AB35" s="8" t="s">
        <v>260</v>
      </c>
      <c r="AC35" s="29"/>
      <c r="AD35" s="29"/>
      <c r="AE35" s="95" t="s">
        <v>28</v>
      </c>
      <c r="AF35" s="30">
        <v>44255</v>
      </c>
      <c r="AG35" s="30">
        <v>44255</v>
      </c>
      <c r="AH35" s="8"/>
      <c r="AI35" s="72">
        <v>44124</v>
      </c>
      <c r="AJ35" s="23" t="s">
        <v>262</v>
      </c>
      <c r="AK35" s="8" t="e">
        <f>VLOOKUP(A35,'[1]Externe MAJ Nov'!$A:$H,8,0)</f>
        <v>#N/A</v>
      </c>
      <c r="AL35" s="29" t="e">
        <f>VLOOKUP(A35,'[1]Externe MAJ Nov'!$A:$G,7,0)</f>
        <v>#N/A</v>
      </c>
      <c r="AM35" s="29" t="s">
        <v>95</v>
      </c>
      <c r="AN35" s="29" t="s">
        <v>77</v>
      </c>
      <c r="AO35" s="58">
        <v>44124</v>
      </c>
      <c r="AP35" s="29" t="e">
        <f>VLOOKUP(A35,'[2]External Scan 02_21'!$B:$J,9,0)</f>
        <v>#N/A</v>
      </c>
      <c r="AQ35" s="29" t="s">
        <v>28</v>
      </c>
      <c r="AR35" s="21"/>
      <c r="AS35" s="21" t="str">
        <f>VLOOKUP(AE35,'ref statu'!A:B,2,0)</f>
        <v>Fixed</v>
      </c>
      <c r="AT35" s="8" t="e">
        <f>VLOOKUP(A35,chk!A:B,2,0)</f>
        <v>#N/A</v>
      </c>
      <c r="AU35" s="29" t="e">
        <f>VLOOKUP(A35,checker!A:B,2,0)</f>
        <v>#N/A</v>
      </c>
      <c r="AV35" s="29" t="e">
        <f>VLOOKUP(A35,checker!B:C,2,0)</f>
        <v>#N/A</v>
      </c>
    </row>
    <row r="36" spans="1:48" x14ac:dyDescent="0.3">
      <c r="A36" s="29" t="str">
        <f t="shared" si="0"/>
        <v>96.692.66.637/443/tlsv1_1-enabled</v>
      </c>
      <c r="B36" s="29" t="s">
        <v>2995</v>
      </c>
      <c r="C36" s="29" t="s">
        <v>302</v>
      </c>
      <c r="D36" s="148" t="s">
        <v>2961</v>
      </c>
      <c r="E36" s="8" t="s">
        <v>253</v>
      </c>
      <c r="F36" s="29" t="s">
        <v>254</v>
      </c>
      <c r="G36" s="21" t="s">
        <v>301</v>
      </c>
      <c r="H36" s="29" t="s">
        <v>256</v>
      </c>
      <c r="I36" s="8" t="s">
        <v>257</v>
      </c>
      <c r="J36" s="8">
        <v>443</v>
      </c>
      <c r="K36" s="29" t="s">
        <v>290</v>
      </c>
      <c r="L36" s="29" t="s">
        <v>31</v>
      </c>
      <c r="M36" s="9">
        <v>3</v>
      </c>
      <c r="N36" s="9" t="s">
        <v>42</v>
      </c>
      <c r="O36" s="29" t="s">
        <v>142</v>
      </c>
      <c r="P36" s="29" t="s">
        <v>143</v>
      </c>
      <c r="Q36" s="29" t="s">
        <v>138</v>
      </c>
      <c r="R36" s="29" t="s">
        <v>139</v>
      </c>
      <c r="S36" s="29" t="s">
        <v>144</v>
      </c>
      <c r="T36" s="29" t="s">
        <v>141</v>
      </c>
      <c r="U36" s="29" t="s">
        <v>31</v>
      </c>
      <c r="V36" s="29" t="s">
        <v>31</v>
      </c>
      <c r="W36" s="57">
        <v>41926</v>
      </c>
      <c r="X36" s="8" t="s">
        <v>36</v>
      </c>
      <c r="Y36" s="8">
        <v>0</v>
      </c>
      <c r="Z36" s="8" t="s">
        <v>31</v>
      </c>
      <c r="AA36" s="8" t="s">
        <v>31</v>
      </c>
      <c r="AB36" s="8" t="s">
        <v>260</v>
      </c>
      <c r="AC36" s="29"/>
      <c r="AD36" s="29"/>
      <c r="AE36" s="95" t="s">
        <v>28</v>
      </c>
      <c r="AF36" s="30">
        <v>44255</v>
      </c>
      <c r="AG36" s="30">
        <v>44255</v>
      </c>
      <c r="AH36" s="8"/>
      <c r="AI36" s="72">
        <v>44124</v>
      </c>
      <c r="AJ36" s="23" t="s">
        <v>262</v>
      </c>
      <c r="AK36" s="8" t="e">
        <f>VLOOKUP(A36,'[1]Externe MAJ Nov'!$A:$H,8,0)</f>
        <v>#N/A</v>
      </c>
      <c r="AL36" s="29" t="e">
        <f>VLOOKUP(A36,'[1]Externe MAJ Nov'!$A:$G,7,0)</f>
        <v>#N/A</v>
      </c>
      <c r="AM36" s="29" t="s">
        <v>95</v>
      </c>
      <c r="AN36" s="29" t="s">
        <v>77</v>
      </c>
      <c r="AO36" s="58">
        <v>44124</v>
      </c>
      <c r="AP36" s="29" t="e">
        <f>VLOOKUP(A36,'[2]External Scan 02_21'!$B:$J,9,0)</f>
        <v>#N/A</v>
      </c>
      <c r="AQ36" s="29" t="s">
        <v>28</v>
      </c>
      <c r="AR36" s="21"/>
      <c r="AS36" s="21" t="str">
        <f>VLOOKUP(AE36,'ref statu'!A:B,2,0)</f>
        <v>Fixed</v>
      </c>
      <c r="AT36" s="8" t="e">
        <f>VLOOKUP(A36,chk!A:B,2,0)</f>
        <v>#N/A</v>
      </c>
      <c r="AU36" s="29" t="e">
        <f>VLOOKUP(A36,checker!A:B,2,0)</f>
        <v>#N/A</v>
      </c>
      <c r="AV36" s="29" t="e">
        <f>VLOOKUP(A36,checker!B:C,2,0)</f>
        <v>#N/A</v>
      </c>
    </row>
    <row r="37" spans="1:48" x14ac:dyDescent="0.3">
      <c r="A37" s="29" t="str">
        <f t="shared" si="0"/>
        <v>96.692.66.640/0/generic-tcp-timestamp</v>
      </c>
      <c r="B37" s="29" t="s">
        <v>2996</v>
      </c>
      <c r="C37" s="29" t="s">
        <v>264</v>
      </c>
      <c r="D37" s="8" t="s">
        <v>2962</v>
      </c>
      <c r="E37" s="8" t="s">
        <v>253</v>
      </c>
      <c r="F37" s="29" t="s">
        <v>254</v>
      </c>
      <c r="G37" s="21" t="s">
        <v>255</v>
      </c>
      <c r="H37" s="29" t="s">
        <v>256</v>
      </c>
      <c r="I37" s="8" t="s">
        <v>257</v>
      </c>
      <c r="J37" s="8">
        <v>0</v>
      </c>
      <c r="K37" s="29" t="s">
        <v>258</v>
      </c>
      <c r="L37" s="29" t="s">
        <v>31</v>
      </c>
      <c r="M37" s="9">
        <v>1</v>
      </c>
      <c r="N37" s="9" t="s">
        <v>42</v>
      </c>
      <c r="O37" s="29" t="s">
        <v>78</v>
      </c>
      <c r="P37" s="29" t="s">
        <v>79</v>
      </c>
      <c r="Q37" s="29" t="s">
        <v>80</v>
      </c>
      <c r="R37" s="29" t="s">
        <v>259</v>
      </c>
      <c r="S37" s="29" t="s">
        <v>82</v>
      </c>
      <c r="T37" s="29" t="s">
        <v>83</v>
      </c>
      <c r="U37" s="29" t="s">
        <v>31</v>
      </c>
      <c r="V37" s="29" t="s">
        <v>31</v>
      </c>
      <c r="W37" s="57">
        <v>35643</v>
      </c>
      <c r="X37" s="8" t="s">
        <v>36</v>
      </c>
      <c r="Y37" s="8">
        <v>0</v>
      </c>
      <c r="Z37" s="8" t="s">
        <v>31</v>
      </c>
      <c r="AA37" s="8" t="s">
        <v>31</v>
      </c>
      <c r="AB37" s="8" t="s">
        <v>260</v>
      </c>
      <c r="AC37" s="29"/>
      <c r="AD37" s="29" t="s">
        <v>2487</v>
      </c>
      <c r="AE37" s="97" t="s">
        <v>28</v>
      </c>
      <c r="AF37" s="22"/>
      <c r="AG37" s="30"/>
      <c r="AH37" s="21"/>
      <c r="AI37" s="72">
        <v>44124</v>
      </c>
      <c r="AJ37" s="23" t="s">
        <v>262</v>
      </c>
      <c r="AK37" s="8" t="e">
        <f>VLOOKUP(A37,'[1]Externe MAJ Nov'!$A:$H,8,0)</f>
        <v>#N/A</v>
      </c>
      <c r="AL37" s="29" t="e">
        <f>VLOOKUP(A37,'[1]Externe MAJ Nov'!$A:$G,7,0)</f>
        <v>#N/A</v>
      </c>
      <c r="AM37" s="29" t="s">
        <v>95</v>
      </c>
      <c r="AN37" s="29" t="s">
        <v>27</v>
      </c>
      <c r="AO37" s="58">
        <v>44124</v>
      </c>
      <c r="AP37" s="29" t="e">
        <f>VLOOKUP(A37,'[2]External Scan 02_21'!$B:$J,9,0)</f>
        <v>#N/A</v>
      </c>
      <c r="AQ37" s="29" t="s">
        <v>28</v>
      </c>
      <c r="AR37" s="21"/>
      <c r="AS37" s="21" t="str">
        <f>VLOOKUP(AE37,'ref statu'!A:B,2,0)</f>
        <v>Fixed</v>
      </c>
      <c r="AT37" s="8" t="e">
        <f>VLOOKUP(A37,chk!A:B,2,0)</f>
        <v>#N/A</v>
      </c>
      <c r="AU37" s="29" t="e">
        <f>VLOOKUP(A37,checker!A:B,2,0)</f>
        <v>#N/A</v>
      </c>
      <c r="AV37" s="29" t="e">
        <f>VLOOKUP(A37,checker!B:C,2,0)</f>
        <v>#N/A</v>
      </c>
    </row>
    <row r="38" spans="1:48" x14ac:dyDescent="0.3">
      <c r="A38" s="29" t="str">
        <f t="shared" si="0"/>
        <v>96.692.66.640/25/certificate-common-name-mismatch</v>
      </c>
      <c r="B38" s="32" t="s">
        <v>2996</v>
      </c>
      <c r="C38" s="32" t="s">
        <v>264</v>
      </c>
      <c r="D38" s="32" t="s">
        <v>2962</v>
      </c>
      <c r="E38" s="31" t="s">
        <v>494</v>
      </c>
      <c r="F38" s="8" t="s">
        <v>240</v>
      </c>
      <c r="G38" s="32" t="s">
        <v>255</v>
      </c>
      <c r="H38" s="59" t="s">
        <v>256</v>
      </c>
      <c r="I38" s="31" t="s">
        <v>257</v>
      </c>
      <c r="J38" s="31">
        <v>25</v>
      </c>
      <c r="K38" s="32" t="s">
        <v>263</v>
      </c>
      <c r="L38" s="32" t="s">
        <v>31</v>
      </c>
      <c r="M38" s="9">
        <v>7</v>
      </c>
      <c r="N38" s="20" t="s">
        <v>2540</v>
      </c>
      <c r="O38" s="32" t="s">
        <v>148</v>
      </c>
      <c r="P38" s="59" t="s">
        <v>149</v>
      </c>
      <c r="Q38" s="59" t="s">
        <v>518</v>
      </c>
      <c r="R38" s="59" t="s">
        <v>151</v>
      </c>
      <c r="S38" s="59" t="s">
        <v>519</v>
      </c>
      <c r="T38" s="59" t="s">
        <v>31</v>
      </c>
      <c r="U38" s="59" t="s">
        <v>31</v>
      </c>
      <c r="V38" s="59" t="s">
        <v>31</v>
      </c>
      <c r="W38" s="60">
        <v>39297</v>
      </c>
      <c r="X38" s="31" t="s">
        <v>36</v>
      </c>
      <c r="Y38" s="31">
        <v>0</v>
      </c>
      <c r="Z38" s="31" t="s">
        <v>31</v>
      </c>
      <c r="AA38" s="31" t="s">
        <v>31</v>
      </c>
      <c r="AB38" s="31" t="s">
        <v>513</v>
      </c>
      <c r="AC38" s="32"/>
      <c r="AD38" s="34"/>
      <c r="AE38" s="95" t="s">
        <v>28</v>
      </c>
      <c r="AF38" s="31"/>
      <c r="AG38" s="35">
        <v>44505</v>
      </c>
      <c r="AH38" s="32"/>
      <c r="AI38" s="72">
        <v>44155</v>
      </c>
      <c r="AJ38" s="23" t="s">
        <v>262</v>
      </c>
      <c r="AK38" s="8" t="e">
        <f>VLOOKUP(A38,'[1]Externe MAJ Nov'!$A:$H,8,0)</f>
        <v>#N/A</v>
      </c>
      <c r="AL38" s="8" t="e">
        <f>VLOOKUP(A38,'[1]Externe MAJ Nov'!$A:$G,7,0)</f>
        <v>#N/A</v>
      </c>
      <c r="AM38" s="31"/>
      <c r="AN38" s="31"/>
      <c r="AO38" s="58">
        <v>44155</v>
      </c>
      <c r="AP38" s="8" t="e">
        <f>VLOOKUP(A38,'[2]External Scan 02_21'!$B:$J,9,0)</f>
        <v>#N/A</v>
      </c>
      <c r="AQ38" s="8" t="s">
        <v>520</v>
      </c>
      <c r="AR38" s="8"/>
      <c r="AS38" s="21" t="str">
        <f>VLOOKUP(AE38,'ref statu'!A:B,2,0)</f>
        <v>Fixed</v>
      </c>
      <c r="AT38" s="8" t="e">
        <f>VLOOKUP(A38,chk!A:B,2,0)</f>
        <v>#N/A</v>
      </c>
      <c r="AU38" s="29" t="e">
        <f>VLOOKUP(A38,checker!A:B,2,0)</f>
        <v>#N/A</v>
      </c>
      <c r="AV38" s="29" t="e">
        <f>VLOOKUP(A38,checker!B:C,2,0)</f>
        <v>#N/A</v>
      </c>
    </row>
    <row r="39" spans="1:48" x14ac:dyDescent="0.3">
      <c r="A39" s="29" t="str">
        <f t="shared" si="0"/>
        <v>96.692.66.640/25/ssl-self-signed-certificate</v>
      </c>
      <c r="B39" s="32" t="s">
        <v>2996</v>
      </c>
      <c r="C39" s="32" t="s">
        <v>264</v>
      </c>
      <c r="D39" s="32" t="s">
        <v>2962</v>
      </c>
      <c r="E39" s="31" t="s">
        <v>494</v>
      </c>
      <c r="F39" s="8" t="s">
        <v>240</v>
      </c>
      <c r="G39" s="32" t="s">
        <v>255</v>
      </c>
      <c r="H39" s="59" t="s">
        <v>256</v>
      </c>
      <c r="I39" s="31" t="s">
        <v>257</v>
      </c>
      <c r="J39" s="31">
        <v>25</v>
      </c>
      <c r="K39" s="32" t="s">
        <v>263</v>
      </c>
      <c r="L39" s="32" t="s">
        <v>31</v>
      </c>
      <c r="M39" s="9">
        <v>4</v>
      </c>
      <c r="N39" s="19" t="s">
        <v>29</v>
      </c>
      <c r="O39" s="32" t="s">
        <v>115</v>
      </c>
      <c r="P39" s="59" t="s">
        <v>116</v>
      </c>
      <c r="Q39" s="59" t="s">
        <v>117</v>
      </c>
      <c r="R39" s="59" t="s">
        <v>118</v>
      </c>
      <c r="S39" s="59" t="s">
        <v>119</v>
      </c>
      <c r="T39" s="59" t="s">
        <v>31</v>
      </c>
      <c r="U39" s="59" t="s">
        <v>31</v>
      </c>
      <c r="V39" s="59" t="s">
        <v>31</v>
      </c>
      <c r="W39" s="60">
        <v>34700</v>
      </c>
      <c r="X39" s="31" t="s">
        <v>36</v>
      </c>
      <c r="Y39" s="31">
        <v>0</v>
      </c>
      <c r="Z39" s="31" t="s">
        <v>31</v>
      </c>
      <c r="AA39" s="31" t="s">
        <v>31</v>
      </c>
      <c r="AB39" s="31" t="s">
        <v>513</v>
      </c>
      <c r="AC39" s="32"/>
      <c r="AD39" s="34"/>
      <c r="AE39" s="95" t="s">
        <v>261</v>
      </c>
      <c r="AF39" s="31"/>
      <c r="AG39" s="35">
        <v>44505</v>
      </c>
      <c r="AH39" s="32"/>
      <c r="AI39" s="72">
        <v>44155</v>
      </c>
      <c r="AJ39" s="23" t="s">
        <v>262</v>
      </c>
      <c r="AK39" s="8" t="e">
        <f>VLOOKUP(A39,'[1]Externe MAJ Nov'!$A:$H,8,0)</f>
        <v>#N/A</v>
      </c>
      <c r="AL39" s="29" t="e">
        <f>VLOOKUP(A39,'[1]Externe MAJ Nov'!$A:$G,7,0)</f>
        <v>#N/A</v>
      </c>
      <c r="AM39" s="59"/>
      <c r="AN39" s="59"/>
      <c r="AO39" s="58">
        <v>44155</v>
      </c>
      <c r="AP39" s="29" t="e">
        <f>VLOOKUP(A39,'[2]External Scan 02_21'!$B:$J,9,0)</f>
        <v>#N/A</v>
      </c>
      <c r="AQ39" s="29" t="s">
        <v>520</v>
      </c>
      <c r="AR39" s="21"/>
      <c r="AS39" s="21" t="str">
        <f>VLOOKUP(AE39,'ref statu'!A:B,2,0)</f>
        <v>(Relais Mail)</v>
      </c>
      <c r="AT39" s="8" t="e">
        <f>VLOOKUP(A39,chk!A:B,2,0)</f>
        <v>#N/A</v>
      </c>
      <c r="AU39" s="29" t="e">
        <f>VLOOKUP(A39,checker!A:B,2,0)</f>
        <v>#N/A</v>
      </c>
      <c r="AV39" s="29" t="e">
        <f>VLOOKUP(A39,checker!B:C,2,0)</f>
        <v>#N/A</v>
      </c>
    </row>
    <row r="40" spans="1:48" x14ac:dyDescent="0.3">
      <c r="A40" s="29" t="str">
        <f t="shared" si="0"/>
        <v>96.692.66.640/25/tls-untrusted-ca</v>
      </c>
      <c r="B40" s="32" t="s">
        <v>2996</v>
      </c>
      <c r="C40" s="32" t="s">
        <v>264</v>
      </c>
      <c r="D40" s="32" t="s">
        <v>2962</v>
      </c>
      <c r="E40" s="31" t="s">
        <v>494</v>
      </c>
      <c r="F40" s="8" t="s">
        <v>240</v>
      </c>
      <c r="G40" s="32" t="s">
        <v>255</v>
      </c>
      <c r="H40" s="59" t="s">
        <v>256</v>
      </c>
      <c r="I40" s="31" t="s">
        <v>257</v>
      </c>
      <c r="J40" s="31">
        <v>25</v>
      </c>
      <c r="K40" s="32" t="s">
        <v>263</v>
      </c>
      <c r="L40" s="32" t="s">
        <v>31</v>
      </c>
      <c r="M40" s="9">
        <v>6</v>
      </c>
      <c r="N40" s="19" t="s">
        <v>29</v>
      </c>
      <c r="O40" s="32" t="s">
        <v>131</v>
      </c>
      <c r="P40" s="59" t="s">
        <v>132</v>
      </c>
      <c r="Q40" s="59" t="s">
        <v>133</v>
      </c>
      <c r="R40" s="59" t="s">
        <v>134</v>
      </c>
      <c r="S40" s="59" t="s">
        <v>516</v>
      </c>
      <c r="T40" s="59" t="s">
        <v>135</v>
      </c>
      <c r="U40" s="59" t="s">
        <v>31</v>
      </c>
      <c r="V40" s="59" t="s">
        <v>31</v>
      </c>
      <c r="W40" s="60">
        <v>34700</v>
      </c>
      <c r="X40" s="31" t="s">
        <v>36</v>
      </c>
      <c r="Y40" s="31">
        <v>0</v>
      </c>
      <c r="Z40" s="31" t="s">
        <v>31</v>
      </c>
      <c r="AA40" s="31" t="s">
        <v>31</v>
      </c>
      <c r="AB40" s="31" t="s">
        <v>513</v>
      </c>
      <c r="AC40" s="32"/>
      <c r="AD40" s="34"/>
      <c r="AE40" s="95" t="s">
        <v>28</v>
      </c>
      <c r="AF40" s="31"/>
      <c r="AG40" s="35">
        <v>44505</v>
      </c>
      <c r="AH40" s="32"/>
      <c r="AI40" s="72">
        <v>44155</v>
      </c>
      <c r="AJ40" s="23" t="s">
        <v>262</v>
      </c>
      <c r="AK40" s="8" t="e">
        <f>VLOOKUP(A40,'[1]Externe MAJ Nov'!$A:$H,8,0)</f>
        <v>#N/A</v>
      </c>
      <c r="AL40" s="29" t="e">
        <f>VLOOKUP(A40,'[1]Externe MAJ Nov'!$A:$G,7,0)</f>
        <v>#N/A</v>
      </c>
      <c r="AM40" s="59"/>
      <c r="AN40" s="59"/>
      <c r="AO40" s="58">
        <v>44155</v>
      </c>
      <c r="AP40" s="29" t="e">
        <f>VLOOKUP(A40,'[2]External Scan 02_21'!$B:$J,9,0)</f>
        <v>#N/A</v>
      </c>
      <c r="AQ40" s="29" t="s">
        <v>520</v>
      </c>
      <c r="AR40" s="21"/>
      <c r="AS40" s="21" t="str">
        <f>VLOOKUP(AE40,'ref statu'!A:B,2,0)</f>
        <v>Fixed</v>
      </c>
      <c r="AT40" s="8" t="e">
        <f>VLOOKUP(A40,chk!A:B,2,0)</f>
        <v>#N/A</v>
      </c>
      <c r="AU40" s="29" t="e">
        <f>VLOOKUP(A40,checker!A:B,2,0)</f>
        <v>#N/A</v>
      </c>
      <c r="AV40" s="29" t="e">
        <f>VLOOKUP(A40,checker!B:C,2,0)</f>
        <v>#N/A</v>
      </c>
    </row>
    <row r="41" spans="1:48" x14ac:dyDescent="0.3">
      <c r="A41" s="29" t="str">
        <f t="shared" si="0"/>
        <v>96.692.66.640/25/tlsv1_0-enabled</v>
      </c>
      <c r="B41" s="29" t="s">
        <v>2996</v>
      </c>
      <c r="C41" s="29" t="s">
        <v>264</v>
      </c>
      <c r="D41" s="8" t="s">
        <v>2963</v>
      </c>
      <c r="E41" s="8" t="s">
        <v>253</v>
      </c>
      <c r="F41" s="29" t="s">
        <v>254</v>
      </c>
      <c r="G41" s="21" t="s">
        <v>255</v>
      </c>
      <c r="H41" s="29" t="s">
        <v>256</v>
      </c>
      <c r="I41" s="8" t="s">
        <v>257</v>
      </c>
      <c r="J41" s="8">
        <v>25</v>
      </c>
      <c r="K41" s="29" t="s">
        <v>263</v>
      </c>
      <c r="L41" s="29" t="s">
        <v>31</v>
      </c>
      <c r="M41" s="9">
        <v>4</v>
      </c>
      <c r="N41" s="9" t="s">
        <v>29</v>
      </c>
      <c r="O41" s="29" t="s">
        <v>136</v>
      </c>
      <c r="P41" s="29" t="s">
        <v>137</v>
      </c>
      <c r="Q41" s="29" t="s">
        <v>138</v>
      </c>
      <c r="R41" s="29" t="s">
        <v>139</v>
      </c>
      <c r="S41" s="29" t="s">
        <v>140</v>
      </c>
      <c r="T41" s="29" t="s">
        <v>141</v>
      </c>
      <c r="U41" s="29" t="s">
        <v>31</v>
      </c>
      <c r="V41" s="29" t="s">
        <v>31</v>
      </c>
      <c r="W41" s="57">
        <v>41926</v>
      </c>
      <c r="X41" s="8" t="s">
        <v>36</v>
      </c>
      <c r="Y41" s="8">
        <v>0</v>
      </c>
      <c r="Z41" s="8" t="s">
        <v>31</v>
      </c>
      <c r="AA41" s="8" t="s">
        <v>31</v>
      </c>
      <c r="AB41" s="8" t="s">
        <v>260</v>
      </c>
      <c r="AC41" s="29"/>
      <c r="AD41" s="29"/>
      <c r="AE41" s="95" t="s">
        <v>261</v>
      </c>
      <c r="AF41" s="22"/>
      <c r="AG41" s="30"/>
      <c r="AH41" s="21"/>
      <c r="AI41" s="72">
        <v>44124</v>
      </c>
      <c r="AJ41" s="23" t="s">
        <v>262</v>
      </c>
      <c r="AK41" s="8" t="e">
        <f>VLOOKUP(A41,'[1]Externe MAJ Nov'!$A:$H,8,0)</f>
        <v>#N/A</v>
      </c>
      <c r="AL41" s="29" t="e">
        <f>VLOOKUP(A41,'[1]Externe MAJ Nov'!$A:$G,7,0)</f>
        <v>#N/A</v>
      </c>
      <c r="AM41" s="29" t="s">
        <v>95</v>
      </c>
      <c r="AN41" s="29" t="s">
        <v>27</v>
      </c>
      <c r="AO41" s="58">
        <v>44124</v>
      </c>
      <c r="AP41" s="29" t="e">
        <f>VLOOKUP(A41,'[2]External Scan 02_21'!$B:$J,9,0)</f>
        <v>#N/A</v>
      </c>
      <c r="AQ41" s="29" t="s">
        <v>261</v>
      </c>
      <c r="AR41" s="21"/>
      <c r="AS41" s="21" t="str">
        <f>VLOOKUP(AE41,'ref statu'!A:B,2,0)</f>
        <v>(Relais Mail)</v>
      </c>
      <c r="AT41" s="8" t="e">
        <f>VLOOKUP(A41,chk!A:B,2,0)</f>
        <v>#N/A</v>
      </c>
      <c r="AU41" s="29" t="e">
        <f>VLOOKUP(A41,checker!A:B,2,0)</f>
        <v>#N/A</v>
      </c>
      <c r="AV41" s="29" t="e">
        <f>VLOOKUP(A41,checker!B:C,2,0)</f>
        <v>#N/A</v>
      </c>
    </row>
    <row r="42" spans="1:48" x14ac:dyDescent="0.3">
      <c r="A42" s="29" t="str">
        <f t="shared" si="0"/>
        <v>96.692.66.640/25/tlsv1_1-enabled</v>
      </c>
      <c r="B42" s="29" t="s">
        <v>2996</v>
      </c>
      <c r="C42" s="29" t="s">
        <v>264</v>
      </c>
      <c r="D42" s="8" t="s">
        <v>2963</v>
      </c>
      <c r="E42" s="8" t="s">
        <v>253</v>
      </c>
      <c r="F42" s="29" t="s">
        <v>254</v>
      </c>
      <c r="G42" s="21" t="s">
        <v>255</v>
      </c>
      <c r="H42" s="29" t="s">
        <v>256</v>
      </c>
      <c r="I42" s="8" t="s">
        <v>257</v>
      </c>
      <c r="J42" s="8">
        <v>25</v>
      </c>
      <c r="K42" s="29" t="s">
        <v>263</v>
      </c>
      <c r="L42" s="29" t="s">
        <v>31</v>
      </c>
      <c r="M42" s="9">
        <v>3</v>
      </c>
      <c r="N42" s="9" t="s">
        <v>42</v>
      </c>
      <c r="O42" s="29" t="s">
        <v>142</v>
      </c>
      <c r="P42" s="29" t="s">
        <v>143</v>
      </c>
      <c r="Q42" s="29" t="s">
        <v>138</v>
      </c>
      <c r="R42" s="29" t="s">
        <v>139</v>
      </c>
      <c r="S42" s="29" t="s">
        <v>144</v>
      </c>
      <c r="T42" s="29" t="s">
        <v>141</v>
      </c>
      <c r="U42" s="29" t="s">
        <v>31</v>
      </c>
      <c r="V42" s="29" t="s">
        <v>31</v>
      </c>
      <c r="W42" s="57">
        <v>41926</v>
      </c>
      <c r="X42" s="8" t="s">
        <v>36</v>
      </c>
      <c r="Y42" s="8">
        <v>0</v>
      </c>
      <c r="Z42" s="8" t="s">
        <v>31</v>
      </c>
      <c r="AA42" s="8" t="s">
        <v>31</v>
      </c>
      <c r="AB42" s="8" t="s">
        <v>260</v>
      </c>
      <c r="AC42" s="29"/>
      <c r="AD42" s="29"/>
      <c r="AE42" s="95" t="s">
        <v>261</v>
      </c>
      <c r="AF42" s="22"/>
      <c r="AG42" s="30"/>
      <c r="AH42" s="21"/>
      <c r="AI42" s="72">
        <v>44124</v>
      </c>
      <c r="AJ42" s="23" t="s">
        <v>262</v>
      </c>
      <c r="AK42" s="8" t="e">
        <f>VLOOKUP(A42,'[1]Externe MAJ Nov'!$A:$H,8,0)</f>
        <v>#N/A</v>
      </c>
      <c r="AL42" s="29" t="e">
        <f>VLOOKUP(A42,'[1]Externe MAJ Nov'!$A:$G,7,0)</f>
        <v>#N/A</v>
      </c>
      <c r="AM42" s="29" t="s">
        <v>95</v>
      </c>
      <c r="AN42" s="29" t="s">
        <v>27</v>
      </c>
      <c r="AO42" s="58">
        <v>44124</v>
      </c>
      <c r="AP42" s="29" t="e">
        <f>VLOOKUP(A42,'[2]External Scan 02_21'!$B:$J,9,0)</f>
        <v>#N/A</v>
      </c>
      <c r="AQ42" s="29" t="s">
        <v>261</v>
      </c>
      <c r="AR42" s="21"/>
      <c r="AS42" s="21" t="str">
        <f>VLOOKUP(AE42,'ref statu'!A:B,2,0)</f>
        <v>(Relais Mail)</v>
      </c>
      <c r="AT42" s="8" t="e">
        <f>VLOOKUP(A42,chk!A:B,2,0)</f>
        <v>#N/A</v>
      </c>
      <c r="AU42" s="29" t="e">
        <f>VLOOKUP(A42,checker!A:B,2,0)</f>
        <v>#N/A</v>
      </c>
      <c r="AV42" s="29" t="e">
        <f>VLOOKUP(A42,checker!B:C,2,0)</f>
        <v>#N/A</v>
      </c>
    </row>
    <row r="43" spans="1:48" x14ac:dyDescent="0.3">
      <c r="A43" s="29" t="str">
        <f t="shared" si="0"/>
        <v>96.692.66.646/0/oracle_linux-cve-2015-5327</v>
      </c>
      <c r="B43" s="61" t="s">
        <v>2997</v>
      </c>
      <c r="C43" s="61" t="s">
        <v>528</v>
      </c>
      <c r="D43" s="61" t="s">
        <v>2964</v>
      </c>
      <c r="E43" s="61" t="s">
        <v>28</v>
      </c>
      <c r="F43" s="61" t="s">
        <v>529</v>
      </c>
      <c r="G43" s="61" t="s">
        <v>530</v>
      </c>
      <c r="H43" s="61" t="s">
        <v>531</v>
      </c>
      <c r="I43" s="37" t="s">
        <v>532</v>
      </c>
      <c r="J43" s="37">
        <v>0</v>
      </c>
      <c r="K43" s="61" t="s">
        <v>258</v>
      </c>
      <c r="L43" s="61" t="s">
        <v>31</v>
      </c>
      <c r="M43" s="9">
        <v>4</v>
      </c>
      <c r="N43" s="9" t="s">
        <v>29</v>
      </c>
      <c r="O43" s="61" t="s">
        <v>533</v>
      </c>
      <c r="P43" s="61" t="s">
        <v>534</v>
      </c>
      <c r="Q43" s="61" t="s">
        <v>535</v>
      </c>
      <c r="R43" s="61" t="s">
        <v>536</v>
      </c>
      <c r="S43" s="61" t="s">
        <v>537</v>
      </c>
      <c r="T43" s="61" t="s">
        <v>31</v>
      </c>
      <c r="U43" s="61" t="s">
        <v>538</v>
      </c>
      <c r="V43" s="61" t="s">
        <v>539</v>
      </c>
      <c r="W43" s="62">
        <v>43003</v>
      </c>
      <c r="X43" s="37" t="s">
        <v>30</v>
      </c>
      <c r="Y43" s="37">
        <v>0</v>
      </c>
      <c r="Z43" s="37" t="s">
        <v>31</v>
      </c>
      <c r="AA43" s="37" t="s">
        <v>31</v>
      </c>
      <c r="AB43" s="37" t="s">
        <v>513</v>
      </c>
      <c r="AC43" s="61"/>
      <c r="AD43" s="34"/>
      <c r="AE43" s="98" t="s">
        <v>28</v>
      </c>
      <c r="AF43" s="36">
        <v>44191</v>
      </c>
      <c r="AG43" s="36">
        <v>44191</v>
      </c>
      <c r="AH43" s="37"/>
      <c r="AI43" s="72">
        <v>44185</v>
      </c>
      <c r="AJ43" s="38" t="s">
        <v>27</v>
      </c>
      <c r="AK43" s="39" t="e">
        <f>VLOOKUP(A43,'[1]Externe MAJ Nov'!$A:$H,8,0)</f>
        <v>#N/A</v>
      </c>
      <c r="AL43" s="61"/>
      <c r="AM43" s="61"/>
      <c r="AN43" s="61"/>
      <c r="AO43" s="58">
        <v>44185</v>
      </c>
      <c r="AP43" s="29" t="e">
        <f>VLOOKUP(A43,'[2]External Scan 02_21'!$B:$J,9,0)</f>
        <v>#N/A</v>
      </c>
      <c r="AQ43" s="29" t="s">
        <v>28</v>
      </c>
      <c r="AR43" s="21"/>
      <c r="AS43" s="21" t="str">
        <f>VLOOKUP(AE43,'ref statu'!A:B,2,0)</f>
        <v>Fixed</v>
      </c>
      <c r="AT43" s="8" t="e">
        <f>VLOOKUP(A43,chk!A:B,2,0)</f>
        <v>#N/A</v>
      </c>
      <c r="AU43" s="29" t="e">
        <f>VLOOKUP(A43,checker!A:B,2,0)</f>
        <v>#N/A</v>
      </c>
      <c r="AV43" s="29" t="e">
        <f>VLOOKUP(A43,checker!B:C,2,0)</f>
        <v>#N/A</v>
      </c>
    </row>
    <row r="44" spans="1:48" x14ac:dyDescent="0.3">
      <c r="A44" s="29" t="str">
        <f t="shared" si="0"/>
        <v>96.692.66.646/0/oracle_linux-cve-2016-10200</v>
      </c>
      <c r="B44" s="61" t="s">
        <v>2997</v>
      </c>
      <c r="C44" s="61" t="s">
        <v>528</v>
      </c>
      <c r="D44" s="61" t="s">
        <v>2964</v>
      </c>
      <c r="E44" s="61" t="s">
        <v>28</v>
      </c>
      <c r="F44" s="61" t="s">
        <v>529</v>
      </c>
      <c r="G44" s="61" t="s">
        <v>530</v>
      </c>
      <c r="H44" s="61" t="s">
        <v>531</v>
      </c>
      <c r="I44" s="37" t="s">
        <v>532</v>
      </c>
      <c r="J44" s="37">
        <v>0</v>
      </c>
      <c r="K44" s="61" t="s">
        <v>258</v>
      </c>
      <c r="L44" s="61" t="s">
        <v>31</v>
      </c>
      <c r="M44" s="9">
        <v>7</v>
      </c>
      <c r="N44" s="10" t="s">
        <v>2540</v>
      </c>
      <c r="O44" s="61" t="s">
        <v>540</v>
      </c>
      <c r="P44" s="61" t="s">
        <v>541</v>
      </c>
      <c r="Q44" s="61" t="s">
        <v>542</v>
      </c>
      <c r="R44" s="61" t="s">
        <v>543</v>
      </c>
      <c r="S44" s="61" t="s">
        <v>544</v>
      </c>
      <c r="T44" s="61" t="s">
        <v>31</v>
      </c>
      <c r="U44" s="61" t="s">
        <v>545</v>
      </c>
      <c r="V44" s="61" t="s">
        <v>546</v>
      </c>
      <c r="W44" s="62">
        <v>42801</v>
      </c>
      <c r="X44" s="37" t="s">
        <v>30</v>
      </c>
      <c r="Y44" s="37">
        <v>0</v>
      </c>
      <c r="Z44" s="37" t="s">
        <v>31</v>
      </c>
      <c r="AA44" s="37" t="s">
        <v>31</v>
      </c>
      <c r="AB44" s="37" t="s">
        <v>513</v>
      </c>
      <c r="AC44" s="61"/>
      <c r="AD44" s="34"/>
      <c r="AE44" s="98" t="s">
        <v>28</v>
      </c>
      <c r="AF44" s="36">
        <v>44191</v>
      </c>
      <c r="AG44" s="36">
        <v>44191</v>
      </c>
      <c r="AH44" s="37"/>
      <c r="AI44" s="72">
        <v>44185</v>
      </c>
      <c r="AJ44" s="38" t="s">
        <v>27</v>
      </c>
      <c r="AK44" s="39" t="e">
        <f>VLOOKUP(A44,'[1]Externe MAJ Nov'!$A:$H,8,0)</f>
        <v>#N/A</v>
      </c>
      <c r="AL44" s="61"/>
      <c r="AM44" s="61"/>
      <c r="AN44" s="61"/>
      <c r="AO44" s="58">
        <v>44185</v>
      </c>
      <c r="AP44" s="29" t="e">
        <f>VLOOKUP(A44,'[2]External Scan 02_21'!$B:$J,9,0)</f>
        <v>#N/A</v>
      </c>
      <c r="AQ44" s="29" t="s">
        <v>28</v>
      </c>
      <c r="AR44" s="21"/>
      <c r="AS44" s="21" t="str">
        <f>VLOOKUP(AE44,'ref statu'!A:B,2,0)</f>
        <v>Fixed</v>
      </c>
      <c r="AT44" s="8" t="e">
        <f>VLOOKUP(A44,chk!A:B,2,0)</f>
        <v>#N/A</v>
      </c>
      <c r="AU44" s="29" t="e">
        <f>VLOOKUP(A44,checker!A:B,2,0)</f>
        <v>#N/A</v>
      </c>
      <c r="AV44" s="29" t="e">
        <f>VLOOKUP(A44,checker!B:C,2,0)</f>
        <v>#N/A</v>
      </c>
    </row>
    <row r="45" spans="1:48" x14ac:dyDescent="0.3">
      <c r="A45" s="29" t="str">
        <f t="shared" si="0"/>
        <v>96.692.66.646/0/oracle_linux-cve-2016-10318</v>
      </c>
      <c r="B45" s="61" t="s">
        <v>2997</v>
      </c>
      <c r="C45" s="61" t="s">
        <v>528</v>
      </c>
      <c r="D45" s="61" t="s">
        <v>2964</v>
      </c>
      <c r="E45" s="61" t="s">
        <v>28</v>
      </c>
      <c r="F45" s="61" t="s">
        <v>529</v>
      </c>
      <c r="G45" s="61" t="s">
        <v>530</v>
      </c>
      <c r="H45" s="61" t="s">
        <v>531</v>
      </c>
      <c r="I45" s="37" t="s">
        <v>532</v>
      </c>
      <c r="J45" s="37">
        <v>0</v>
      </c>
      <c r="K45" s="61" t="s">
        <v>258</v>
      </c>
      <c r="L45" s="61" t="s">
        <v>31</v>
      </c>
      <c r="M45" s="9">
        <v>4</v>
      </c>
      <c r="N45" s="9" t="s">
        <v>29</v>
      </c>
      <c r="O45" s="61" t="s">
        <v>547</v>
      </c>
      <c r="P45" s="61" t="s">
        <v>548</v>
      </c>
      <c r="Q45" s="61" t="s">
        <v>549</v>
      </c>
      <c r="R45" s="61" t="s">
        <v>536</v>
      </c>
      <c r="S45" s="61" t="s">
        <v>550</v>
      </c>
      <c r="T45" s="61" t="s">
        <v>31</v>
      </c>
      <c r="U45" s="61" t="s">
        <v>551</v>
      </c>
      <c r="V45" s="61" t="s">
        <v>552</v>
      </c>
      <c r="W45" s="62">
        <v>42829</v>
      </c>
      <c r="X45" s="37" t="s">
        <v>30</v>
      </c>
      <c r="Y45" s="37">
        <v>0</v>
      </c>
      <c r="Z45" s="37" t="s">
        <v>31</v>
      </c>
      <c r="AA45" s="37" t="s">
        <v>31</v>
      </c>
      <c r="AB45" s="37" t="s">
        <v>513</v>
      </c>
      <c r="AC45" s="61"/>
      <c r="AD45" s="33"/>
      <c r="AE45" s="98" t="s">
        <v>28</v>
      </c>
      <c r="AF45" s="36">
        <v>44191</v>
      </c>
      <c r="AG45" s="36">
        <v>44191</v>
      </c>
      <c r="AH45" s="37"/>
      <c r="AI45" s="72">
        <v>44185</v>
      </c>
      <c r="AJ45" s="38" t="s">
        <v>27</v>
      </c>
      <c r="AK45" s="39" t="e">
        <f>VLOOKUP(A45,'[1]Externe MAJ Nov'!$A:$H,8,0)</f>
        <v>#N/A</v>
      </c>
      <c r="AL45" s="61"/>
      <c r="AM45" s="61"/>
      <c r="AN45" s="61"/>
      <c r="AO45" s="58">
        <v>44185</v>
      </c>
      <c r="AP45" s="29" t="e">
        <f>VLOOKUP(A45,'[2]External Scan 02_21'!$B:$J,9,0)</f>
        <v>#N/A</v>
      </c>
      <c r="AQ45" s="29" t="s">
        <v>28</v>
      </c>
      <c r="AR45" s="21"/>
      <c r="AS45" s="21" t="str">
        <f>VLOOKUP(AE45,'ref statu'!A:B,2,0)</f>
        <v>Fixed</v>
      </c>
      <c r="AT45" s="8" t="e">
        <f>VLOOKUP(A45,chk!A:B,2,0)</f>
        <v>#N/A</v>
      </c>
      <c r="AU45" s="29" t="e">
        <f>VLOOKUP(A45,checker!A:B,2,0)</f>
        <v>#N/A</v>
      </c>
      <c r="AV45" s="29" t="e">
        <f>VLOOKUP(A45,checker!B:C,2,0)</f>
        <v>#N/A</v>
      </c>
    </row>
    <row r="46" spans="1:48" x14ac:dyDescent="0.3">
      <c r="A46" s="29" t="str">
        <f t="shared" si="0"/>
        <v>96.692.66.646/0/oracle_linux-cve-2016-10905</v>
      </c>
      <c r="B46" s="61" t="s">
        <v>2997</v>
      </c>
      <c r="C46" s="61" t="s">
        <v>528</v>
      </c>
      <c r="D46" s="61" t="s">
        <v>2964</v>
      </c>
      <c r="E46" s="61" t="s">
        <v>28</v>
      </c>
      <c r="F46" s="61" t="s">
        <v>529</v>
      </c>
      <c r="G46" s="61" t="s">
        <v>530</v>
      </c>
      <c r="H46" s="61" t="s">
        <v>531</v>
      </c>
      <c r="I46" s="37" t="s">
        <v>532</v>
      </c>
      <c r="J46" s="37">
        <v>0</v>
      </c>
      <c r="K46" s="61" t="s">
        <v>258</v>
      </c>
      <c r="L46" s="61" t="s">
        <v>31</v>
      </c>
      <c r="M46" s="9">
        <v>6</v>
      </c>
      <c r="N46" s="9" t="s">
        <v>29</v>
      </c>
      <c r="O46" s="61" t="s">
        <v>553</v>
      </c>
      <c r="P46" s="61" t="s">
        <v>554</v>
      </c>
      <c r="Q46" s="61" t="s">
        <v>555</v>
      </c>
      <c r="R46" s="61" t="s">
        <v>556</v>
      </c>
      <c r="S46" s="61" t="s">
        <v>557</v>
      </c>
      <c r="T46" s="61" t="s">
        <v>31</v>
      </c>
      <c r="U46" s="61" t="s">
        <v>558</v>
      </c>
      <c r="V46" s="61" t="s">
        <v>559</v>
      </c>
      <c r="W46" s="62">
        <v>43696</v>
      </c>
      <c r="X46" s="37" t="s">
        <v>30</v>
      </c>
      <c r="Y46" s="37">
        <v>0</v>
      </c>
      <c r="Z46" s="37" t="s">
        <v>31</v>
      </c>
      <c r="AA46" s="37" t="s">
        <v>31</v>
      </c>
      <c r="AB46" s="37" t="s">
        <v>513</v>
      </c>
      <c r="AC46" s="61"/>
      <c r="AD46" s="34"/>
      <c r="AE46" s="98" t="s">
        <v>28</v>
      </c>
      <c r="AF46" s="36">
        <v>44191</v>
      </c>
      <c r="AG46" s="36">
        <v>44191</v>
      </c>
      <c r="AH46" s="37"/>
      <c r="AI46" s="72">
        <v>44185</v>
      </c>
      <c r="AJ46" s="38" t="s">
        <v>27</v>
      </c>
      <c r="AK46" s="39" t="e">
        <f>VLOOKUP(A46,'[1]Externe MAJ Nov'!$A:$H,8,0)</f>
        <v>#N/A</v>
      </c>
      <c r="AL46" s="61"/>
      <c r="AM46" s="61"/>
      <c r="AN46" s="61"/>
      <c r="AO46" s="58">
        <v>44185</v>
      </c>
      <c r="AP46" s="29" t="e">
        <f>VLOOKUP(A46,'[2]External Scan 02_21'!$B:$J,9,0)</f>
        <v>#N/A</v>
      </c>
      <c r="AQ46" s="29" t="s">
        <v>28</v>
      </c>
      <c r="AR46" s="21"/>
      <c r="AS46" s="21" t="str">
        <f>VLOOKUP(AE46,'ref statu'!A:B,2,0)</f>
        <v>Fixed</v>
      </c>
      <c r="AT46" s="8" t="e">
        <f>VLOOKUP(A46,chk!A:B,2,0)</f>
        <v>#N/A</v>
      </c>
      <c r="AU46" s="29" t="e">
        <f>VLOOKUP(A46,checker!A:B,2,0)</f>
        <v>#N/A</v>
      </c>
      <c r="AV46" s="29" t="e">
        <f>VLOOKUP(A46,checker!B:C,2,0)</f>
        <v>#N/A</v>
      </c>
    </row>
    <row r="47" spans="1:48" x14ac:dyDescent="0.3">
      <c r="A47" s="29" t="str">
        <f t="shared" si="0"/>
        <v>96.692.66.646/0/oracle_linux-cve-2016-10906</v>
      </c>
      <c r="B47" s="61" t="s">
        <v>2997</v>
      </c>
      <c r="C47" s="61" t="s">
        <v>528</v>
      </c>
      <c r="D47" s="61" t="s">
        <v>2964</v>
      </c>
      <c r="E47" s="61" t="s">
        <v>28</v>
      </c>
      <c r="F47" s="61" t="s">
        <v>529</v>
      </c>
      <c r="G47" s="61" t="s">
        <v>530</v>
      </c>
      <c r="H47" s="61" t="s">
        <v>531</v>
      </c>
      <c r="I47" s="37" t="s">
        <v>532</v>
      </c>
      <c r="J47" s="37">
        <v>0</v>
      </c>
      <c r="K47" s="61" t="s">
        <v>258</v>
      </c>
      <c r="L47" s="61" t="s">
        <v>31</v>
      </c>
      <c r="M47" s="9">
        <v>4</v>
      </c>
      <c r="N47" s="9" t="s">
        <v>29</v>
      </c>
      <c r="O47" s="61" t="s">
        <v>560</v>
      </c>
      <c r="P47" s="61" t="s">
        <v>561</v>
      </c>
      <c r="Q47" s="61" t="s">
        <v>562</v>
      </c>
      <c r="R47" s="61" t="s">
        <v>536</v>
      </c>
      <c r="S47" s="61" t="s">
        <v>563</v>
      </c>
      <c r="T47" s="61" t="s">
        <v>31</v>
      </c>
      <c r="U47" s="61" t="s">
        <v>564</v>
      </c>
      <c r="V47" s="61" t="s">
        <v>565</v>
      </c>
      <c r="W47" s="62">
        <v>43696</v>
      </c>
      <c r="X47" s="37" t="s">
        <v>30</v>
      </c>
      <c r="Y47" s="37">
        <v>0</v>
      </c>
      <c r="Z47" s="37" t="s">
        <v>31</v>
      </c>
      <c r="AA47" s="37" t="s">
        <v>31</v>
      </c>
      <c r="AB47" s="37" t="s">
        <v>513</v>
      </c>
      <c r="AC47" s="61"/>
      <c r="AD47" s="34"/>
      <c r="AE47" s="98" t="s">
        <v>28</v>
      </c>
      <c r="AF47" s="36">
        <v>44191</v>
      </c>
      <c r="AG47" s="36">
        <v>44191</v>
      </c>
      <c r="AH47" s="37"/>
      <c r="AI47" s="72">
        <v>44185</v>
      </c>
      <c r="AJ47" s="38" t="s">
        <v>27</v>
      </c>
      <c r="AK47" s="39" t="e">
        <f>VLOOKUP(A47,'[1]Externe MAJ Nov'!$A:$H,8,0)</f>
        <v>#N/A</v>
      </c>
      <c r="AL47" s="61"/>
      <c r="AM47" s="61"/>
      <c r="AN47" s="61"/>
      <c r="AO47" s="58">
        <v>44185</v>
      </c>
      <c r="AP47" s="29" t="e">
        <f>VLOOKUP(A47,'[2]External Scan 02_21'!$B:$J,9,0)</f>
        <v>#N/A</v>
      </c>
      <c r="AQ47" s="29" t="s">
        <v>28</v>
      </c>
      <c r="AR47" s="21"/>
      <c r="AS47" s="21" t="str">
        <f>VLOOKUP(AE47,'ref statu'!A:B,2,0)</f>
        <v>Fixed</v>
      </c>
      <c r="AT47" s="8" t="e">
        <f>VLOOKUP(A47,chk!A:B,2,0)</f>
        <v>#N/A</v>
      </c>
      <c r="AU47" s="29" t="e">
        <f>VLOOKUP(A47,checker!A:B,2,0)</f>
        <v>#N/A</v>
      </c>
      <c r="AV47" s="29" t="e">
        <f>VLOOKUP(A47,checker!B:C,2,0)</f>
        <v>#N/A</v>
      </c>
    </row>
    <row r="48" spans="1:48" x14ac:dyDescent="0.3">
      <c r="A48" s="29" t="str">
        <f t="shared" si="0"/>
        <v>96.692.66.646/0/oracle_linux-cve-2016-5244</v>
      </c>
      <c r="B48" s="61" t="s">
        <v>2997</v>
      </c>
      <c r="C48" s="61" t="s">
        <v>528</v>
      </c>
      <c r="D48" s="61" t="s">
        <v>2964</v>
      </c>
      <c r="E48" s="61" t="s">
        <v>28</v>
      </c>
      <c r="F48" s="61" t="s">
        <v>529</v>
      </c>
      <c r="G48" s="61" t="s">
        <v>530</v>
      </c>
      <c r="H48" s="61" t="s">
        <v>531</v>
      </c>
      <c r="I48" s="37" t="s">
        <v>532</v>
      </c>
      <c r="J48" s="37">
        <v>0</v>
      </c>
      <c r="K48" s="61" t="s">
        <v>258</v>
      </c>
      <c r="L48" s="61" t="s">
        <v>31</v>
      </c>
      <c r="M48" s="9">
        <v>5</v>
      </c>
      <c r="N48" s="9" t="s">
        <v>29</v>
      </c>
      <c r="O48" s="61" t="s">
        <v>566</v>
      </c>
      <c r="P48" s="61" t="s">
        <v>567</v>
      </c>
      <c r="Q48" s="61" t="s">
        <v>568</v>
      </c>
      <c r="R48" s="61" t="s">
        <v>536</v>
      </c>
      <c r="S48" s="61" t="s">
        <v>569</v>
      </c>
      <c r="T48" s="61" t="s">
        <v>31</v>
      </c>
      <c r="U48" s="61" t="s">
        <v>570</v>
      </c>
      <c r="V48" s="61" t="s">
        <v>571</v>
      </c>
      <c r="W48" s="62">
        <v>42548</v>
      </c>
      <c r="X48" s="37" t="s">
        <v>30</v>
      </c>
      <c r="Y48" s="37">
        <v>0</v>
      </c>
      <c r="Z48" s="37" t="s">
        <v>31</v>
      </c>
      <c r="AA48" s="37" t="s">
        <v>31</v>
      </c>
      <c r="AB48" s="37" t="s">
        <v>513</v>
      </c>
      <c r="AC48" s="61"/>
      <c r="AD48" s="33"/>
      <c r="AE48" s="98" t="s">
        <v>28</v>
      </c>
      <c r="AF48" s="36">
        <v>44191</v>
      </c>
      <c r="AG48" s="36">
        <v>44191</v>
      </c>
      <c r="AH48" s="37"/>
      <c r="AI48" s="72">
        <v>44185</v>
      </c>
      <c r="AJ48" s="38" t="s">
        <v>27</v>
      </c>
      <c r="AK48" s="39" t="e">
        <f>VLOOKUP(A48,'[1]Externe MAJ Nov'!$A:$H,8,0)</f>
        <v>#N/A</v>
      </c>
      <c r="AL48" s="61"/>
      <c r="AM48" s="61"/>
      <c r="AN48" s="61"/>
      <c r="AO48" s="58">
        <v>44185</v>
      </c>
      <c r="AP48" s="29" t="e">
        <f>VLOOKUP(A48,'[2]External Scan 02_21'!$B:$J,9,0)</f>
        <v>#N/A</v>
      </c>
      <c r="AQ48" s="29" t="s">
        <v>28</v>
      </c>
      <c r="AR48" s="21"/>
      <c r="AS48" s="21" t="str">
        <f>VLOOKUP(AE48,'ref statu'!A:B,2,0)</f>
        <v>Fixed</v>
      </c>
      <c r="AT48" s="8" t="e">
        <f>VLOOKUP(A48,chk!A:B,2,0)</f>
        <v>#N/A</v>
      </c>
      <c r="AU48" s="29" t="e">
        <f>VLOOKUP(A48,checker!A:B,2,0)</f>
        <v>#N/A</v>
      </c>
      <c r="AV48" s="29" t="e">
        <f>VLOOKUP(A48,checker!B:C,2,0)</f>
        <v>#N/A</v>
      </c>
    </row>
    <row r="49" spans="1:48" x14ac:dyDescent="0.3">
      <c r="A49" s="29" t="str">
        <f t="shared" si="0"/>
        <v>96.692.66.646/0/oracle_linux-cve-2016-6213</v>
      </c>
      <c r="B49" s="61" t="s">
        <v>2997</v>
      </c>
      <c r="C49" s="61" t="s">
        <v>528</v>
      </c>
      <c r="D49" s="61" t="s">
        <v>2964</v>
      </c>
      <c r="E49" s="61" t="s">
        <v>28</v>
      </c>
      <c r="F49" s="61" t="s">
        <v>529</v>
      </c>
      <c r="G49" s="61" t="s">
        <v>530</v>
      </c>
      <c r="H49" s="61" t="s">
        <v>531</v>
      </c>
      <c r="I49" s="37" t="s">
        <v>532</v>
      </c>
      <c r="J49" s="37">
        <v>0</v>
      </c>
      <c r="K49" s="61" t="s">
        <v>258</v>
      </c>
      <c r="L49" s="61" t="s">
        <v>31</v>
      </c>
      <c r="M49" s="9">
        <v>5</v>
      </c>
      <c r="N49" s="9" t="s">
        <v>29</v>
      </c>
      <c r="O49" s="61" t="s">
        <v>572</v>
      </c>
      <c r="P49" s="61" t="s">
        <v>573</v>
      </c>
      <c r="Q49" s="61" t="s">
        <v>574</v>
      </c>
      <c r="R49" s="61" t="s">
        <v>543</v>
      </c>
      <c r="S49" s="61" t="s">
        <v>575</v>
      </c>
      <c r="T49" s="61" t="s">
        <v>31</v>
      </c>
      <c r="U49" s="61" t="s">
        <v>576</v>
      </c>
      <c r="V49" s="61" t="s">
        <v>577</v>
      </c>
      <c r="W49" s="62">
        <v>42732</v>
      </c>
      <c r="X49" s="37" t="s">
        <v>30</v>
      </c>
      <c r="Y49" s="37">
        <v>0</v>
      </c>
      <c r="Z49" s="37" t="s">
        <v>31</v>
      </c>
      <c r="AA49" s="37" t="s">
        <v>31</v>
      </c>
      <c r="AB49" s="37" t="s">
        <v>513</v>
      </c>
      <c r="AC49" s="61"/>
      <c r="AD49" s="34"/>
      <c r="AE49" s="98" t="s">
        <v>28</v>
      </c>
      <c r="AF49" s="36">
        <v>44191</v>
      </c>
      <c r="AG49" s="36">
        <v>44191</v>
      </c>
      <c r="AH49" s="37"/>
      <c r="AI49" s="72">
        <v>44185</v>
      </c>
      <c r="AJ49" s="38" t="s">
        <v>27</v>
      </c>
      <c r="AK49" s="39" t="e">
        <f>VLOOKUP(A49,'[1]Externe MAJ Nov'!$A:$H,8,0)</f>
        <v>#N/A</v>
      </c>
      <c r="AL49" s="61"/>
      <c r="AM49" s="61"/>
      <c r="AN49" s="61"/>
      <c r="AO49" s="58">
        <v>44185</v>
      </c>
      <c r="AP49" s="29" t="e">
        <f>VLOOKUP(A49,'[2]External Scan 02_21'!$B:$J,9,0)</f>
        <v>#N/A</v>
      </c>
      <c r="AQ49" s="29" t="s">
        <v>28</v>
      </c>
      <c r="AR49" s="21"/>
      <c r="AS49" s="21" t="str">
        <f>VLOOKUP(AE49,'ref statu'!A:B,2,0)</f>
        <v>Fixed</v>
      </c>
      <c r="AT49" s="8" t="e">
        <f>VLOOKUP(A49,chk!A:B,2,0)</f>
        <v>#N/A</v>
      </c>
      <c r="AU49" s="29" t="e">
        <f>VLOOKUP(A49,checker!A:B,2,0)</f>
        <v>#N/A</v>
      </c>
      <c r="AV49" s="29" t="e">
        <f>VLOOKUP(A49,checker!B:C,2,0)</f>
        <v>#N/A</v>
      </c>
    </row>
    <row r="50" spans="1:48" x14ac:dyDescent="0.3">
      <c r="A50" s="29" t="str">
        <f t="shared" si="0"/>
        <v>96.692.66.646/0/oracle_linux-cve-2016-7913</v>
      </c>
      <c r="B50" s="61" t="s">
        <v>2997</v>
      </c>
      <c r="C50" s="61" t="s">
        <v>528</v>
      </c>
      <c r="D50" s="61" t="s">
        <v>2964</v>
      </c>
      <c r="E50" s="61" t="s">
        <v>28</v>
      </c>
      <c r="F50" s="61" t="s">
        <v>529</v>
      </c>
      <c r="G50" s="61" t="s">
        <v>530</v>
      </c>
      <c r="H50" s="61" t="s">
        <v>531</v>
      </c>
      <c r="I50" s="37" t="s">
        <v>532</v>
      </c>
      <c r="J50" s="37">
        <v>0</v>
      </c>
      <c r="K50" s="61" t="s">
        <v>258</v>
      </c>
      <c r="L50" s="61" t="s">
        <v>31</v>
      </c>
      <c r="M50" s="9">
        <v>9</v>
      </c>
      <c r="N50" s="10" t="s">
        <v>164</v>
      </c>
      <c r="O50" s="61" t="s">
        <v>578</v>
      </c>
      <c r="P50" s="61" t="s">
        <v>579</v>
      </c>
      <c r="Q50" s="61" t="s">
        <v>580</v>
      </c>
      <c r="R50" s="61" t="s">
        <v>581</v>
      </c>
      <c r="S50" s="61" t="s">
        <v>582</v>
      </c>
      <c r="T50" s="61" t="s">
        <v>31</v>
      </c>
      <c r="U50" s="61" t="s">
        <v>583</v>
      </c>
      <c r="V50" s="61" t="s">
        <v>584</v>
      </c>
      <c r="W50" s="62">
        <v>42690</v>
      </c>
      <c r="X50" s="37" t="s">
        <v>30</v>
      </c>
      <c r="Y50" s="37">
        <v>0</v>
      </c>
      <c r="Z50" s="37" t="s">
        <v>31</v>
      </c>
      <c r="AA50" s="37" t="s">
        <v>31</v>
      </c>
      <c r="AB50" s="37" t="s">
        <v>513</v>
      </c>
      <c r="AC50" s="61"/>
      <c r="AD50" s="34"/>
      <c r="AE50" s="98" t="s">
        <v>28</v>
      </c>
      <c r="AF50" s="36">
        <v>44191</v>
      </c>
      <c r="AG50" s="36">
        <v>44191</v>
      </c>
      <c r="AH50" s="37"/>
      <c r="AI50" s="72">
        <v>44185</v>
      </c>
      <c r="AJ50" s="38" t="s">
        <v>27</v>
      </c>
      <c r="AK50" s="39" t="e">
        <f>VLOOKUP(A50,'[1]Externe MAJ Nov'!$A:$H,8,0)</f>
        <v>#N/A</v>
      </c>
      <c r="AL50" s="61"/>
      <c r="AM50" s="61"/>
      <c r="AN50" s="61"/>
      <c r="AO50" s="58">
        <v>44185</v>
      </c>
      <c r="AP50" s="29" t="e">
        <f>VLOOKUP(A50,'[2]External Scan 02_21'!$B:$J,9,0)</f>
        <v>#N/A</v>
      </c>
      <c r="AQ50" s="29" t="s">
        <v>28</v>
      </c>
      <c r="AR50" s="21"/>
      <c r="AS50" s="21" t="str">
        <f>VLOOKUP(AE50,'ref statu'!A:B,2,0)</f>
        <v>Fixed</v>
      </c>
      <c r="AT50" s="8" t="e">
        <f>VLOOKUP(A50,chk!A:B,2,0)</f>
        <v>#N/A</v>
      </c>
      <c r="AU50" s="29" t="e">
        <f>VLOOKUP(A50,checker!A:B,2,0)</f>
        <v>#N/A</v>
      </c>
      <c r="AV50" s="29" t="e">
        <f>VLOOKUP(A50,checker!B:C,2,0)</f>
        <v>#N/A</v>
      </c>
    </row>
    <row r="51" spans="1:48" x14ac:dyDescent="0.3">
      <c r="A51" s="29" t="str">
        <f t="shared" si="0"/>
        <v>96.692.66.646/0/oracle_linux-cve-2016-7917</v>
      </c>
      <c r="B51" s="61" t="s">
        <v>2997</v>
      </c>
      <c r="C51" s="61" t="s">
        <v>528</v>
      </c>
      <c r="D51" s="61" t="s">
        <v>2964</v>
      </c>
      <c r="E51" s="61" t="s">
        <v>28</v>
      </c>
      <c r="F51" s="61" t="s">
        <v>529</v>
      </c>
      <c r="G51" s="61" t="s">
        <v>530</v>
      </c>
      <c r="H51" s="61" t="s">
        <v>531</v>
      </c>
      <c r="I51" s="37" t="s">
        <v>532</v>
      </c>
      <c r="J51" s="37">
        <v>0</v>
      </c>
      <c r="K51" s="61" t="s">
        <v>258</v>
      </c>
      <c r="L51" s="61" t="s">
        <v>31</v>
      </c>
      <c r="M51" s="9">
        <v>4</v>
      </c>
      <c r="N51" s="9" t="s">
        <v>29</v>
      </c>
      <c r="O51" s="61" t="s">
        <v>585</v>
      </c>
      <c r="P51" s="61" t="s">
        <v>586</v>
      </c>
      <c r="Q51" s="61" t="s">
        <v>587</v>
      </c>
      <c r="R51" s="61" t="s">
        <v>536</v>
      </c>
      <c r="S51" s="61" t="s">
        <v>588</v>
      </c>
      <c r="T51" s="61" t="s">
        <v>31</v>
      </c>
      <c r="U51" s="61" t="s">
        <v>589</v>
      </c>
      <c r="V51" s="61" t="s">
        <v>590</v>
      </c>
      <c r="W51" s="62">
        <v>42690</v>
      </c>
      <c r="X51" s="37" t="s">
        <v>30</v>
      </c>
      <c r="Y51" s="37">
        <v>0</v>
      </c>
      <c r="Z51" s="37" t="s">
        <v>31</v>
      </c>
      <c r="AA51" s="37" t="s">
        <v>31</v>
      </c>
      <c r="AB51" s="37" t="s">
        <v>513</v>
      </c>
      <c r="AC51" s="61"/>
      <c r="AD51" s="33"/>
      <c r="AE51" s="98" t="s">
        <v>28</v>
      </c>
      <c r="AF51" s="36">
        <v>44191</v>
      </c>
      <c r="AG51" s="36">
        <v>44191</v>
      </c>
      <c r="AH51" s="37"/>
      <c r="AI51" s="72">
        <v>44185</v>
      </c>
      <c r="AJ51" s="38" t="s">
        <v>27</v>
      </c>
      <c r="AK51" s="39" t="e">
        <f>VLOOKUP(A51,'[1]Externe MAJ Nov'!$A:$H,8,0)</f>
        <v>#N/A</v>
      </c>
      <c r="AL51" s="61"/>
      <c r="AM51" s="61"/>
      <c r="AN51" s="61"/>
      <c r="AO51" s="58">
        <v>44185</v>
      </c>
      <c r="AP51" s="29" t="e">
        <f>VLOOKUP(A51,'[2]External Scan 02_21'!$B:$J,9,0)</f>
        <v>#N/A</v>
      </c>
      <c r="AQ51" s="29" t="s">
        <v>28</v>
      </c>
      <c r="AR51" s="21"/>
      <c r="AS51" s="21" t="str">
        <f>VLOOKUP(AE51,'ref statu'!A:B,2,0)</f>
        <v>Fixed</v>
      </c>
      <c r="AT51" s="8" t="e">
        <f>VLOOKUP(A51,chk!A:B,2,0)</f>
        <v>#N/A</v>
      </c>
      <c r="AU51" s="29" t="e">
        <f>VLOOKUP(A51,checker!A:B,2,0)</f>
        <v>#N/A</v>
      </c>
      <c r="AV51" s="29" t="e">
        <f>VLOOKUP(A51,checker!B:C,2,0)</f>
        <v>#N/A</v>
      </c>
    </row>
    <row r="52" spans="1:48" x14ac:dyDescent="0.3">
      <c r="A52" s="29" t="str">
        <f t="shared" si="0"/>
        <v>96.692.66.646/0/oracle_linux-cve-2016-9191</v>
      </c>
      <c r="B52" s="61" t="s">
        <v>2997</v>
      </c>
      <c r="C52" s="61" t="s">
        <v>528</v>
      </c>
      <c r="D52" s="61" t="s">
        <v>2964</v>
      </c>
      <c r="E52" s="61" t="s">
        <v>28</v>
      </c>
      <c r="F52" s="61" t="s">
        <v>529</v>
      </c>
      <c r="G52" s="61" t="s">
        <v>530</v>
      </c>
      <c r="H52" s="61" t="s">
        <v>531</v>
      </c>
      <c r="I52" s="37" t="s">
        <v>532</v>
      </c>
      <c r="J52" s="37">
        <v>0</v>
      </c>
      <c r="K52" s="61" t="s">
        <v>258</v>
      </c>
      <c r="L52" s="61" t="s">
        <v>31</v>
      </c>
      <c r="M52" s="9">
        <v>5</v>
      </c>
      <c r="N52" s="9" t="s">
        <v>29</v>
      </c>
      <c r="O52" s="61" t="s">
        <v>591</v>
      </c>
      <c r="P52" s="61" t="s">
        <v>592</v>
      </c>
      <c r="Q52" s="61" t="s">
        <v>593</v>
      </c>
      <c r="R52" s="61" t="s">
        <v>536</v>
      </c>
      <c r="S52" s="61" t="s">
        <v>594</v>
      </c>
      <c r="T52" s="61" t="s">
        <v>31</v>
      </c>
      <c r="U52" s="61" t="s">
        <v>595</v>
      </c>
      <c r="V52" s="61" t="s">
        <v>596</v>
      </c>
      <c r="W52" s="62">
        <v>42701</v>
      </c>
      <c r="X52" s="37" t="s">
        <v>30</v>
      </c>
      <c r="Y52" s="37">
        <v>0</v>
      </c>
      <c r="Z52" s="37" t="s">
        <v>31</v>
      </c>
      <c r="AA52" s="37" t="s">
        <v>31</v>
      </c>
      <c r="AB52" s="37" t="s">
        <v>513</v>
      </c>
      <c r="AC52" s="61"/>
      <c r="AD52" s="34"/>
      <c r="AE52" s="98" t="s">
        <v>28</v>
      </c>
      <c r="AF52" s="36">
        <v>44191</v>
      </c>
      <c r="AG52" s="36">
        <v>44191</v>
      </c>
      <c r="AH52" s="37"/>
      <c r="AI52" s="72">
        <v>44185</v>
      </c>
      <c r="AJ52" s="38" t="s">
        <v>27</v>
      </c>
      <c r="AK52" s="39" t="e">
        <f>VLOOKUP(A52,'[1]Externe MAJ Nov'!$A:$H,8,0)</f>
        <v>#N/A</v>
      </c>
      <c r="AL52" s="61"/>
      <c r="AM52" s="61"/>
      <c r="AN52" s="61"/>
      <c r="AO52" s="58">
        <v>44185</v>
      </c>
      <c r="AP52" s="29" t="e">
        <f>VLOOKUP(A52,'[2]External Scan 02_21'!$B:$J,9,0)</f>
        <v>#N/A</v>
      </c>
      <c r="AQ52" s="29" t="s">
        <v>28</v>
      </c>
      <c r="AR52" s="21"/>
      <c r="AS52" s="21" t="str">
        <f>VLOOKUP(AE52,'ref statu'!A:B,2,0)</f>
        <v>Fixed</v>
      </c>
      <c r="AT52" s="8" t="e">
        <f>VLOOKUP(A52,chk!A:B,2,0)</f>
        <v>#N/A</v>
      </c>
      <c r="AU52" s="29" t="e">
        <f>VLOOKUP(A52,checker!A:B,2,0)</f>
        <v>#N/A</v>
      </c>
      <c r="AV52" s="29" t="e">
        <f>VLOOKUP(A52,checker!B:C,2,0)</f>
        <v>#N/A</v>
      </c>
    </row>
    <row r="53" spans="1:48" s="24" customFormat="1" x14ac:dyDescent="0.3">
      <c r="A53" s="29" t="str">
        <f t="shared" si="0"/>
        <v>96.692.66.646/0/oracle_linux-cve-2016-9604</v>
      </c>
      <c r="B53" s="61" t="s">
        <v>2997</v>
      </c>
      <c r="C53" s="61" t="s">
        <v>528</v>
      </c>
      <c r="D53" s="61" t="s">
        <v>2964</v>
      </c>
      <c r="E53" s="61" t="s">
        <v>28</v>
      </c>
      <c r="F53" s="61" t="s">
        <v>529</v>
      </c>
      <c r="G53" s="61" t="s">
        <v>530</v>
      </c>
      <c r="H53" s="61" t="s">
        <v>531</v>
      </c>
      <c r="I53" s="37" t="s">
        <v>532</v>
      </c>
      <c r="J53" s="37">
        <v>0</v>
      </c>
      <c r="K53" s="61" t="s">
        <v>258</v>
      </c>
      <c r="L53" s="61" t="s">
        <v>31</v>
      </c>
      <c r="M53" s="9">
        <v>2</v>
      </c>
      <c r="N53" s="9" t="s">
        <v>42</v>
      </c>
      <c r="O53" s="61" t="s">
        <v>597</v>
      </c>
      <c r="P53" s="61" t="s">
        <v>598</v>
      </c>
      <c r="Q53" s="61" t="s">
        <v>599</v>
      </c>
      <c r="R53" s="61" t="s">
        <v>543</v>
      </c>
      <c r="S53" s="61" t="s">
        <v>600</v>
      </c>
      <c r="T53" s="61" t="s">
        <v>31</v>
      </c>
      <c r="U53" s="61" t="s">
        <v>601</v>
      </c>
      <c r="V53" s="61" t="s">
        <v>602</v>
      </c>
      <c r="W53" s="62">
        <v>42853</v>
      </c>
      <c r="X53" s="37" t="s">
        <v>30</v>
      </c>
      <c r="Y53" s="37">
        <v>0</v>
      </c>
      <c r="Z53" s="37" t="s">
        <v>31</v>
      </c>
      <c r="AA53" s="37" t="s">
        <v>31</v>
      </c>
      <c r="AB53" s="37" t="s">
        <v>513</v>
      </c>
      <c r="AC53" s="61"/>
      <c r="AD53" s="34"/>
      <c r="AE53" s="98" t="s">
        <v>28</v>
      </c>
      <c r="AF53" s="36">
        <v>44191</v>
      </c>
      <c r="AG53" s="36">
        <v>44191</v>
      </c>
      <c r="AH53" s="37"/>
      <c r="AI53" s="72">
        <v>44185</v>
      </c>
      <c r="AJ53" s="38" t="s">
        <v>27</v>
      </c>
      <c r="AK53" s="39" t="e">
        <f>VLOOKUP(A53,'[1]Externe MAJ Nov'!$A:$H,8,0)</f>
        <v>#N/A</v>
      </c>
      <c r="AL53" s="61"/>
      <c r="AM53" s="61"/>
      <c r="AN53" s="61"/>
      <c r="AO53" s="58">
        <v>44185</v>
      </c>
      <c r="AP53" s="29" t="e">
        <f>VLOOKUP(A53,'[2]External Scan 02_21'!$B:$J,9,0)</f>
        <v>#N/A</v>
      </c>
      <c r="AQ53" s="29" t="s">
        <v>28</v>
      </c>
      <c r="AR53" s="21"/>
      <c r="AS53" s="21" t="str">
        <f>VLOOKUP(AE53,'ref statu'!A:B,2,0)</f>
        <v>Fixed</v>
      </c>
      <c r="AT53" s="8" t="e">
        <f>VLOOKUP(A53,chk!A:B,2,0)</f>
        <v>#N/A</v>
      </c>
      <c r="AU53" s="29" t="e">
        <f>VLOOKUP(A53,checker!A:B,2,0)</f>
        <v>#N/A</v>
      </c>
      <c r="AV53" s="29" t="e">
        <f>VLOOKUP(A53,checker!B:C,2,0)</f>
        <v>#N/A</v>
      </c>
    </row>
    <row r="54" spans="1:48" x14ac:dyDescent="0.3">
      <c r="A54" s="29" t="str">
        <f t="shared" si="0"/>
        <v>96.692.66.646/0/oracle_linux-cve-2017-0861</v>
      </c>
      <c r="B54" s="61" t="s">
        <v>2997</v>
      </c>
      <c r="C54" s="61" t="s">
        <v>528</v>
      </c>
      <c r="D54" s="61" t="s">
        <v>2964</v>
      </c>
      <c r="E54" s="61" t="s">
        <v>28</v>
      </c>
      <c r="F54" s="61" t="s">
        <v>529</v>
      </c>
      <c r="G54" s="61" t="s">
        <v>530</v>
      </c>
      <c r="H54" s="61" t="s">
        <v>531</v>
      </c>
      <c r="I54" s="37" t="s">
        <v>532</v>
      </c>
      <c r="J54" s="37">
        <v>0</v>
      </c>
      <c r="K54" s="61" t="s">
        <v>258</v>
      </c>
      <c r="L54" s="61" t="s">
        <v>31</v>
      </c>
      <c r="M54" s="9">
        <v>5</v>
      </c>
      <c r="N54" s="9" t="s">
        <v>29</v>
      </c>
      <c r="O54" s="61" t="s">
        <v>603</v>
      </c>
      <c r="P54" s="61" t="s">
        <v>604</v>
      </c>
      <c r="Q54" s="61" t="s">
        <v>605</v>
      </c>
      <c r="R54" s="61" t="s">
        <v>606</v>
      </c>
      <c r="S54" s="61" t="s">
        <v>607</v>
      </c>
      <c r="T54" s="61" t="s">
        <v>31</v>
      </c>
      <c r="U54" s="61" t="s">
        <v>608</v>
      </c>
      <c r="V54" s="61" t="s">
        <v>609</v>
      </c>
      <c r="W54" s="62">
        <v>43055</v>
      </c>
      <c r="X54" s="37" t="s">
        <v>30</v>
      </c>
      <c r="Y54" s="37">
        <v>0</v>
      </c>
      <c r="Z54" s="37" t="s">
        <v>31</v>
      </c>
      <c r="AA54" s="37" t="s">
        <v>31</v>
      </c>
      <c r="AB54" s="37" t="s">
        <v>513</v>
      </c>
      <c r="AC54" s="61"/>
      <c r="AD54" s="33"/>
      <c r="AE54" s="98" t="s">
        <v>28</v>
      </c>
      <c r="AF54" s="36">
        <v>44191</v>
      </c>
      <c r="AG54" s="36">
        <v>44191</v>
      </c>
      <c r="AH54" s="37"/>
      <c r="AI54" s="72">
        <v>44185</v>
      </c>
      <c r="AJ54" s="38" t="s">
        <v>27</v>
      </c>
      <c r="AK54" s="39" t="e">
        <f>VLOOKUP(A54,'[1]Externe MAJ Nov'!$A:$H,8,0)</f>
        <v>#N/A</v>
      </c>
      <c r="AL54" s="61"/>
      <c r="AM54" s="61"/>
      <c r="AN54" s="61"/>
      <c r="AO54" s="58">
        <v>44185</v>
      </c>
      <c r="AP54" s="29" t="e">
        <f>VLOOKUP(A54,'[2]External Scan 02_21'!$B:$J,9,0)</f>
        <v>#N/A</v>
      </c>
      <c r="AQ54" s="29" t="s">
        <v>28</v>
      </c>
      <c r="AR54" s="21"/>
      <c r="AS54" s="21" t="str">
        <f>VLOOKUP(AE54,'ref statu'!A:B,2,0)</f>
        <v>Fixed</v>
      </c>
      <c r="AT54" s="8" t="e">
        <f>VLOOKUP(A54,chk!A:B,2,0)</f>
        <v>#N/A</v>
      </c>
      <c r="AU54" s="29" t="e">
        <f>VLOOKUP(A54,checker!A:B,2,0)</f>
        <v>#N/A</v>
      </c>
      <c r="AV54" s="29" t="e">
        <f>VLOOKUP(A54,checker!B:C,2,0)</f>
        <v>#N/A</v>
      </c>
    </row>
    <row r="55" spans="1:48" x14ac:dyDescent="0.3">
      <c r="A55" s="29" t="str">
        <f t="shared" si="0"/>
        <v>96.692.66.646/0/oracle_linux-cve-2017-1000112</v>
      </c>
      <c r="B55" s="61" t="s">
        <v>2997</v>
      </c>
      <c r="C55" s="61" t="s">
        <v>528</v>
      </c>
      <c r="D55" s="61" t="s">
        <v>2964</v>
      </c>
      <c r="E55" s="61" t="s">
        <v>28</v>
      </c>
      <c r="F55" s="61" t="s">
        <v>529</v>
      </c>
      <c r="G55" s="61" t="s">
        <v>530</v>
      </c>
      <c r="H55" s="61" t="s">
        <v>531</v>
      </c>
      <c r="I55" s="37" t="s">
        <v>532</v>
      </c>
      <c r="J55" s="37">
        <v>0</v>
      </c>
      <c r="K55" s="61" t="s">
        <v>258</v>
      </c>
      <c r="L55" s="61" t="s">
        <v>31</v>
      </c>
      <c r="M55" s="9">
        <v>7</v>
      </c>
      <c r="N55" s="10" t="s">
        <v>2540</v>
      </c>
      <c r="O55" s="61" t="s">
        <v>610</v>
      </c>
      <c r="P55" s="61" t="s">
        <v>611</v>
      </c>
      <c r="Q55" s="61" t="s">
        <v>612</v>
      </c>
      <c r="R55" s="61" t="s">
        <v>613</v>
      </c>
      <c r="S55" s="61" t="s">
        <v>614</v>
      </c>
      <c r="T55" s="61" t="s">
        <v>31</v>
      </c>
      <c r="U55" s="61" t="s">
        <v>615</v>
      </c>
      <c r="V55" s="61" t="s">
        <v>616</v>
      </c>
      <c r="W55" s="62">
        <v>43012</v>
      </c>
      <c r="X55" s="37" t="s">
        <v>30</v>
      </c>
      <c r="Y55" s="37">
        <v>3</v>
      </c>
      <c r="Z55" s="37" t="s">
        <v>241</v>
      </c>
      <c r="AA55" s="37" t="s">
        <v>617</v>
      </c>
      <c r="AB55" s="37" t="s">
        <v>513</v>
      </c>
      <c r="AC55" s="61"/>
      <c r="AD55" s="34"/>
      <c r="AE55" s="98" t="s">
        <v>28</v>
      </c>
      <c r="AF55" s="36">
        <v>44191</v>
      </c>
      <c r="AG55" s="36">
        <v>44191</v>
      </c>
      <c r="AH55" s="37"/>
      <c r="AI55" s="72">
        <v>44185</v>
      </c>
      <c r="AJ55" s="38" t="s">
        <v>27</v>
      </c>
      <c r="AK55" s="39" t="e">
        <f>VLOOKUP(A55,'[1]Externe MAJ Nov'!$A:$H,8,0)</f>
        <v>#N/A</v>
      </c>
      <c r="AL55" s="61"/>
      <c r="AM55" s="61"/>
      <c r="AN55" s="61"/>
      <c r="AO55" s="58">
        <v>44185</v>
      </c>
      <c r="AP55" s="29" t="e">
        <f>VLOOKUP(A55,'[2]External Scan 02_21'!$B:$J,9,0)</f>
        <v>#N/A</v>
      </c>
      <c r="AQ55" s="29" t="s">
        <v>28</v>
      </c>
      <c r="AR55" s="21"/>
      <c r="AS55" s="21" t="str">
        <f>VLOOKUP(AE55,'ref statu'!A:B,2,0)</f>
        <v>Fixed</v>
      </c>
      <c r="AT55" s="8" t="e">
        <f>VLOOKUP(A55,chk!A:B,2,0)</f>
        <v>#N/A</v>
      </c>
      <c r="AU55" s="29" t="e">
        <f>VLOOKUP(A55,checker!A:B,2,0)</f>
        <v>#N/A</v>
      </c>
      <c r="AV55" s="29" t="e">
        <f>VLOOKUP(A55,checker!B:C,2,0)</f>
        <v>#N/A</v>
      </c>
    </row>
    <row r="56" spans="1:48" x14ac:dyDescent="0.3">
      <c r="A56" s="29" t="str">
        <f t="shared" si="0"/>
        <v>96.692.66.646/0/oracle_linux-cve-2017-1000251</v>
      </c>
      <c r="B56" s="61" t="s">
        <v>2997</v>
      </c>
      <c r="C56" s="61" t="s">
        <v>528</v>
      </c>
      <c r="D56" s="61" t="s">
        <v>2964</v>
      </c>
      <c r="E56" s="61" t="s">
        <v>28</v>
      </c>
      <c r="F56" s="61" t="s">
        <v>529</v>
      </c>
      <c r="G56" s="61" t="s">
        <v>530</v>
      </c>
      <c r="H56" s="61" t="s">
        <v>531</v>
      </c>
      <c r="I56" s="37" t="s">
        <v>532</v>
      </c>
      <c r="J56" s="37">
        <v>0</v>
      </c>
      <c r="K56" s="61" t="s">
        <v>258</v>
      </c>
      <c r="L56" s="61" t="s">
        <v>31</v>
      </c>
      <c r="M56" s="9">
        <v>8</v>
      </c>
      <c r="N56" s="10" t="s">
        <v>2540</v>
      </c>
      <c r="O56" s="61" t="s">
        <v>618</v>
      </c>
      <c r="P56" s="61" t="s">
        <v>619</v>
      </c>
      <c r="Q56" s="61" t="s">
        <v>620</v>
      </c>
      <c r="R56" s="61" t="s">
        <v>606</v>
      </c>
      <c r="S56" s="61" t="s">
        <v>621</v>
      </c>
      <c r="T56" s="61" t="s">
        <v>31</v>
      </c>
      <c r="U56" s="61" t="s">
        <v>622</v>
      </c>
      <c r="V56" s="61" t="s">
        <v>623</v>
      </c>
      <c r="W56" s="62">
        <v>42990</v>
      </c>
      <c r="X56" s="37" t="s">
        <v>30</v>
      </c>
      <c r="Y56" s="37">
        <v>1</v>
      </c>
      <c r="Z56" s="37" t="s">
        <v>279</v>
      </c>
      <c r="AA56" s="37" t="s">
        <v>624</v>
      </c>
      <c r="AB56" s="37" t="s">
        <v>513</v>
      </c>
      <c r="AC56" s="61"/>
      <c r="AD56" s="34"/>
      <c r="AE56" s="98" t="s">
        <v>28</v>
      </c>
      <c r="AF56" s="36">
        <v>44191</v>
      </c>
      <c r="AG56" s="36">
        <v>44191</v>
      </c>
      <c r="AH56" s="37"/>
      <c r="AI56" s="72">
        <v>44185</v>
      </c>
      <c r="AJ56" s="38" t="s">
        <v>27</v>
      </c>
      <c r="AK56" s="39" t="e">
        <f>VLOOKUP(A56,'[1]Externe MAJ Nov'!$A:$H,8,0)</f>
        <v>#N/A</v>
      </c>
      <c r="AL56" s="61"/>
      <c r="AM56" s="61"/>
      <c r="AN56" s="61"/>
      <c r="AO56" s="58">
        <v>44185</v>
      </c>
      <c r="AP56" s="29" t="e">
        <f>VLOOKUP(A56,'[2]External Scan 02_21'!$B:$J,9,0)</f>
        <v>#N/A</v>
      </c>
      <c r="AQ56" s="29" t="s">
        <v>28</v>
      </c>
      <c r="AR56" s="21"/>
      <c r="AS56" s="21" t="str">
        <f>VLOOKUP(AE56,'ref statu'!A:B,2,0)</f>
        <v>Fixed</v>
      </c>
      <c r="AT56" s="8" t="e">
        <f>VLOOKUP(A56,chk!A:B,2,0)</f>
        <v>#N/A</v>
      </c>
      <c r="AU56" s="29" t="e">
        <f>VLOOKUP(A56,checker!A:B,2,0)</f>
        <v>#N/A</v>
      </c>
      <c r="AV56" s="29" t="e">
        <f>VLOOKUP(A56,checker!B:C,2,0)</f>
        <v>#N/A</v>
      </c>
    </row>
    <row r="57" spans="1:48" x14ac:dyDescent="0.3">
      <c r="A57" s="29" t="str">
        <f t="shared" si="0"/>
        <v>96.692.66.646/0/oracle_linux-cve-2017-1000363</v>
      </c>
      <c r="B57" s="61" t="s">
        <v>2997</v>
      </c>
      <c r="C57" s="61" t="s">
        <v>528</v>
      </c>
      <c r="D57" s="61" t="s">
        <v>2964</v>
      </c>
      <c r="E57" s="61" t="s">
        <v>28</v>
      </c>
      <c r="F57" s="61" t="s">
        <v>529</v>
      </c>
      <c r="G57" s="61" t="s">
        <v>530</v>
      </c>
      <c r="H57" s="61" t="s">
        <v>531</v>
      </c>
      <c r="I57" s="37" t="s">
        <v>532</v>
      </c>
      <c r="J57" s="37">
        <v>0</v>
      </c>
      <c r="K57" s="61" t="s">
        <v>258</v>
      </c>
      <c r="L57" s="61" t="s">
        <v>31</v>
      </c>
      <c r="M57" s="9">
        <v>7</v>
      </c>
      <c r="N57" s="10" t="s">
        <v>2540</v>
      </c>
      <c r="O57" s="61" t="s">
        <v>625</v>
      </c>
      <c r="P57" s="61" t="s">
        <v>626</v>
      </c>
      <c r="Q57" s="61" t="s">
        <v>627</v>
      </c>
      <c r="R57" s="61" t="s">
        <v>543</v>
      </c>
      <c r="S57" s="61" t="s">
        <v>628</v>
      </c>
      <c r="T57" s="61" t="s">
        <v>31</v>
      </c>
      <c r="U57" s="61" t="s">
        <v>629</v>
      </c>
      <c r="V57" s="61" t="s">
        <v>630</v>
      </c>
      <c r="W57" s="62">
        <v>42933</v>
      </c>
      <c r="X57" s="37" t="s">
        <v>30</v>
      </c>
      <c r="Y57" s="37">
        <v>0</v>
      </c>
      <c r="Z57" s="37" t="s">
        <v>31</v>
      </c>
      <c r="AA57" s="37" t="s">
        <v>31</v>
      </c>
      <c r="AB57" s="37" t="s">
        <v>513</v>
      </c>
      <c r="AC57" s="61"/>
      <c r="AD57" s="33"/>
      <c r="AE57" s="98" t="s">
        <v>28</v>
      </c>
      <c r="AF57" s="36">
        <v>44191</v>
      </c>
      <c r="AG57" s="36">
        <v>44191</v>
      </c>
      <c r="AH57" s="37"/>
      <c r="AI57" s="72">
        <v>44185</v>
      </c>
      <c r="AJ57" s="38" t="s">
        <v>27</v>
      </c>
      <c r="AK57" s="39" t="e">
        <f>VLOOKUP(A57,'[1]Externe MAJ Nov'!$A:$H,8,0)</f>
        <v>#N/A</v>
      </c>
      <c r="AL57" s="61"/>
      <c r="AM57" s="61"/>
      <c r="AN57" s="61"/>
      <c r="AO57" s="58">
        <v>44185</v>
      </c>
      <c r="AP57" s="29" t="e">
        <f>VLOOKUP(A57,'[2]External Scan 02_21'!$B:$J,9,0)</f>
        <v>#N/A</v>
      </c>
      <c r="AQ57" s="29" t="s">
        <v>28</v>
      </c>
      <c r="AR57" s="21"/>
      <c r="AS57" s="21" t="str">
        <f>VLOOKUP(AE57,'ref statu'!A:B,2,0)</f>
        <v>Fixed</v>
      </c>
      <c r="AT57" s="8" t="e">
        <f>VLOOKUP(A57,chk!A:B,2,0)</f>
        <v>#N/A</v>
      </c>
      <c r="AU57" s="29" t="e">
        <f>VLOOKUP(A57,checker!A:B,2,0)</f>
        <v>#N/A</v>
      </c>
      <c r="AV57" s="29" t="e">
        <f>VLOOKUP(A57,checker!B:C,2,0)</f>
        <v>#N/A</v>
      </c>
    </row>
    <row r="58" spans="1:48" x14ac:dyDescent="0.3">
      <c r="A58" s="29" t="str">
        <f t="shared" si="0"/>
        <v>96.692.66.646/0/oracle_linux-cve-2017-1000365</v>
      </c>
      <c r="B58" s="61" t="s">
        <v>2997</v>
      </c>
      <c r="C58" s="61" t="s">
        <v>528</v>
      </c>
      <c r="D58" s="61" t="s">
        <v>2964</v>
      </c>
      <c r="E58" s="61" t="s">
        <v>28</v>
      </c>
      <c r="F58" s="61" t="s">
        <v>529</v>
      </c>
      <c r="G58" s="61" t="s">
        <v>530</v>
      </c>
      <c r="H58" s="61" t="s">
        <v>531</v>
      </c>
      <c r="I58" s="37" t="s">
        <v>532</v>
      </c>
      <c r="J58" s="37">
        <v>0</v>
      </c>
      <c r="K58" s="61" t="s">
        <v>258</v>
      </c>
      <c r="L58" s="61" t="s">
        <v>31</v>
      </c>
      <c r="M58" s="9">
        <v>7</v>
      </c>
      <c r="N58" s="10" t="s">
        <v>2540</v>
      </c>
      <c r="O58" s="61" t="s">
        <v>631</v>
      </c>
      <c r="P58" s="61" t="s">
        <v>632</v>
      </c>
      <c r="Q58" s="61" t="s">
        <v>633</v>
      </c>
      <c r="R58" s="61" t="s">
        <v>543</v>
      </c>
      <c r="S58" s="61" t="s">
        <v>634</v>
      </c>
      <c r="T58" s="61" t="s">
        <v>31</v>
      </c>
      <c r="U58" s="61" t="s">
        <v>635</v>
      </c>
      <c r="V58" s="61" t="s">
        <v>636</v>
      </c>
      <c r="W58" s="62">
        <v>42905</v>
      </c>
      <c r="X58" s="37" t="s">
        <v>30</v>
      </c>
      <c r="Y58" s="37">
        <v>0</v>
      </c>
      <c r="Z58" s="37" t="s">
        <v>31</v>
      </c>
      <c r="AA58" s="37" t="s">
        <v>31</v>
      </c>
      <c r="AB58" s="37" t="s">
        <v>513</v>
      </c>
      <c r="AC58" s="61"/>
      <c r="AD58" s="34"/>
      <c r="AE58" s="98" t="s">
        <v>28</v>
      </c>
      <c r="AF58" s="36">
        <v>44191</v>
      </c>
      <c r="AG58" s="36">
        <v>44191</v>
      </c>
      <c r="AH58" s="37"/>
      <c r="AI58" s="72">
        <v>44185</v>
      </c>
      <c r="AJ58" s="38" t="s">
        <v>27</v>
      </c>
      <c r="AK58" s="39" t="e">
        <f>VLOOKUP(A58,'[1]Externe MAJ Nov'!$A:$H,8,0)</f>
        <v>#N/A</v>
      </c>
      <c r="AL58" s="61"/>
      <c r="AM58" s="61"/>
      <c r="AN58" s="61"/>
      <c r="AO58" s="58">
        <v>44185</v>
      </c>
      <c r="AP58" s="29" t="e">
        <f>VLOOKUP(A58,'[2]External Scan 02_21'!$B:$J,9,0)</f>
        <v>#N/A</v>
      </c>
      <c r="AQ58" s="29" t="s">
        <v>28</v>
      </c>
      <c r="AR58" s="21"/>
      <c r="AS58" s="21" t="str">
        <f>VLOOKUP(AE58,'ref statu'!A:B,2,0)</f>
        <v>Fixed</v>
      </c>
      <c r="AT58" s="8" t="e">
        <f>VLOOKUP(A58,chk!A:B,2,0)</f>
        <v>#N/A</v>
      </c>
      <c r="AU58" s="29" t="e">
        <f>VLOOKUP(A58,checker!A:B,2,0)</f>
        <v>#N/A</v>
      </c>
      <c r="AV58" s="29" t="e">
        <f>VLOOKUP(A58,checker!B:C,2,0)</f>
        <v>#N/A</v>
      </c>
    </row>
    <row r="59" spans="1:48" x14ac:dyDescent="0.3">
      <c r="A59" s="29" t="str">
        <f t="shared" si="0"/>
        <v>96.692.66.646/0/oracle_linux-cve-2017-1000370</v>
      </c>
      <c r="B59" s="61" t="s">
        <v>2997</v>
      </c>
      <c r="C59" s="61" t="s">
        <v>528</v>
      </c>
      <c r="D59" s="61" t="s">
        <v>2964</v>
      </c>
      <c r="E59" s="61" t="s">
        <v>28</v>
      </c>
      <c r="F59" s="61" t="s">
        <v>529</v>
      </c>
      <c r="G59" s="61" t="s">
        <v>530</v>
      </c>
      <c r="H59" s="61" t="s">
        <v>531</v>
      </c>
      <c r="I59" s="37" t="s">
        <v>532</v>
      </c>
      <c r="J59" s="37">
        <v>0</v>
      </c>
      <c r="K59" s="61" t="s">
        <v>258</v>
      </c>
      <c r="L59" s="61" t="s">
        <v>31</v>
      </c>
      <c r="M59" s="9">
        <v>7</v>
      </c>
      <c r="N59" s="10" t="s">
        <v>2540</v>
      </c>
      <c r="O59" s="61" t="s">
        <v>637</v>
      </c>
      <c r="P59" s="61" t="s">
        <v>638</v>
      </c>
      <c r="Q59" s="61" t="s">
        <v>639</v>
      </c>
      <c r="R59" s="61" t="s">
        <v>536</v>
      </c>
      <c r="S59" s="61" t="s">
        <v>640</v>
      </c>
      <c r="T59" s="61" t="s">
        <v>31</v>
      </c>
      <c r="U59" s="61" t="s">
        <v>641</v>
      </c>
      <c r="V59" s="61" t="s">
        <v>642</v>
      </c>
      <c r="W59" s="62">
        <v>42905</v>
      </c>
      <c r="X59" s="37" t="s">
        <v>30</v>
      </c>
      <c r="Y59" s="37">
        <v>2</v>
      </c>
      <c r="Z59" s="37" t="s">
        <v>279</v>
      </c>
      <c r="AA59" s="37" t="s">
        <v>643</v>
      </c>
      <c r="AB59" s="37" t="s">
        <v>513</v>
      </c>
      <c r="AC59" s="61"/>
      <c r="AD59" s="34"/>
      <c r="AE59" s="98" t="s">
        <v>28</v>
      </c>
      <c r="AF59" s="36">
        <v>44191</v>
      </c>
      <c r="AG59" s="36">
        <v>44191</v>
      </c>
      <c r="AH59" s="37"/>
      <c r="AI59" s="72">
        <v>44185</v>
      </c>
      <c r="AJ59" s="38" t="s">
        <v>27</v>
      </c>
      <c r="AK59" s="39" t="e">
        <f>VLOOKUP(A59,'[1]Externe MAJ Nov'!$A:$H,8,0)</f>
        <v>#N/A</v>
      </c>
      <c r="AL59" s="61"/>
      <c r="AM59" s="61"/>
      <c r="AN59" s="61"/>
      <c r="AO59" s="58">
        <v>44185</v>
      </c>
      <c r="AP59" s="29" t="e">
        <f>VLOOKUP(A59,'[2]External Scan 02_21'!$B:$J,9,0)</f>
        <v>#N/A</v>
      </c>
      <c r="AQ59" s="29" t="s">
        <v>28</v>
      </c>
      <c r="AR59" s="21"/>
      <c r="AS59" s="21" t="str">
        <f>VLOOKUP(AE59,'ref statu'!A:B,2,0)</f>
        <v>Fixed</v>
      </c>
      <c r="AT59" s="8" t="e">
        <f>VLOOKUP(A59,chk!A:B,2,0)</f>
        <v>#N/A</v>
      </c>
      <c r="AU59" s="29" t="e">
        <f>VLOOKUP(A59,checker!A:B,2,0)</f>
        <v>#N/A</v>
      </c>
      <c r="AV59" s="29" t="e">
        <f>VLOOKUP(A59,checker!B:C,2,0)</f>
        <v>#N/A</v>
      </c>
    </row>
    <row r="60" spans="1:48" x14ac:dyDescent="0.3">
      <c r="A60" s="29" t="str">
        <f t="shared" si="0"/>
        <v>96.692.66.646/0/oracle_linux-cve-2017-1000380</v>
      </c>
      <c r="B60" s="61" t="s">
        <v>2997</v>
      </c>
      <c r="C60" s="61" t="s">
        <v>528</v>
      </c>
      <c r="D60" s="61" t="s">
        <v>2964</v>
      </c>
      <c r="E60" s="61" t="s">
        <v>28</v>
      </c>
      <c r="F60" s="61" t="s">
        <v>529</v>
      </c>
      <c r="G60" s="61" t="s">
        <v>530</v>
      </c>
      <c r="H60" s="61" t="s">
        <v>531</v>
      </c>
      <c r="I60" s="37" t="s">
        <v>532</v>
      </c>
      <c r="J60" s="37">
        <v>0</v>
      </c>
      <c r="K60" s="61" t="s">
        <v>258</v>
      </c>
      <c r="L60" s="61" t="s">
        <v>31</v>
      </c>
      <c r="M60" s="9">
        <v>2</v>
      </c>
      <c r="N60" s="9" t="s">
        <v>42</v>
      </c>
      <c r="O60" s="61" t="s">
        <v>644</v>
      </c>
      <c r="P60" s="61" t="s">
        <v>645</v>
      </c>
      <c r="Q60" s="61" t="s">
        <v>646</v>
      </c>
      <c r="R60" s="61" t="s">
        <v>647</v>
      </c>
      <c r="S60" s="61" t="s">
        <v>648</v>
      </c>
      <c r="T60" s="61" t="s">
        <v>31</v>
      </c>
      <c r="U60" s="61" t="s">
        <v>649</v>
      </c>
      <c r="V60" s="61" t="s">
        <v>650</v>
      </c>
      <c r="W60" s="62">
        <v>42903</v>
      </c>
      <c r="X60" s="37" t="s">
        <v>30</v>
      </c>
      <c r="Y60" s="37">
        <v>0</v>
      </c>
      <c r="Z60" s="37" t="s">
        <v>31</v>
      </c>
      <c r="AA60" s="37" t="s">
        <v>31</v>
      </c>
      <c r="AB60" s="37" t="s">
        <v>513</v>
      </c>
      <c r="AC60" s="61"/>
      <c r="AD60" s="33"/>
      <c r="AE60" s="98" t="s">
        <v>28</v>
      </c>
      <c r="AF60" s="36">
        <v>44191</v>
      </c>
      <c r="AG60" s="36">
        <v>44191</v>
      </c>
      <c r="AH60" s="37"/>
      <c r="AI60" s="72">
        <v>44185</v>
      </c>
      <c r="AJ60" s="38" t="s">
        <v>27</v>
      </c>
      <c r="AK60" s="39" t="e">
        <f>VLOOKUP(A60,'[1]Externe MAJ Nov'!$A:$H,8,0)</f>
        <v>#N/A</v>
      </c>
      <c r="AL60" s="61"/>
      <c r="AM60" s="61"/>
      <c r="AN60" s="61"/>
      <c r="AO60" s="58">
        <v>44185</v>
      </c>
      <c r="AP60" s="29" t="e">
        <f>VLOOKUP(A60,'[2]External Scan 02_21'!$B:$J,9,0)</f>
        <v>#N/A</v>
      </c>
      <c r="AQ60" s="29" t="s">
        <v>28</v>
      </c>
      <c r="AR60" s="21"/>
      <c r="AS60" s="21" t="str">
        <f>VLOOKUP(AE60,'ref statu'!A:B,2,0)</f>
        <v>Fixed</v>
      </c>
      <c r="AT60" s="8" t="e">
        <f>VLOOKUP(A60,chk!A:B,2,0)</f>
        <v>#N/A</v>
      </c>
      <c r="AU60" s="29" t="e">
        <f>VLOOKUP(A60,checker!A:B,2,0)</f>
        <v>#N/A</v>
      </c>
      <c r="AV60" s="29" t="e">
        <f>VLOOKUP(A60,checker!B:C,2,0)</f>
        <v>#N/A</v>
      </c>
    </row>
    <row r="61" spans="1:48" x14ac:dyDescent="0.3">
      <c r="A61" s="29" t="str">
        <f t="shared" si="0"/>
        <v>96.692.66.646/0/oracle_linux-cve-2017-1000405</v>
      </c>
      <c r="B61" s="61" t="s">
        <v>2997</v>
      </c>
      <c r="C61" s="61" t="s">
        <v>528</v>
      </c>
      <c r="D61" s="61" t="s">
        <v>2964</v>
      </c>
      <c r="E61" s="61" t="s">
        <v>28</v>
      </c>
      <c r="F61" s="61" t="s">
        <v>529</v>
      </c>
      <c r="G61" s="61" t="s">
        <v>530</v>
      </c>
      <c r="H61" s="61" t="s">
        <v>531</v>
      </c>
      <c r="I61" s="37" t="s">
        <v>532</v>
      </c>
      <c r="J61" s="37">
        <v>0</v>
      </c>
      <c r="K61" s="61" t="s">
        <v>258</v>
      </c>
      <c r="L61" s="61" t="s">
        <v>31</v>
      </c>
      <c r="M61" s="9">
        <v>7</v>
      </c>
      <c r="N61" s="10" t="s">
        <v>2540</v>
      </c>
      <c r="O61" s="61" t="s">
        <v>651</v>
      </c>
      <c r="P61" s="61" t="s">
        <v>652</v>
      </c>
      <c r="Q61" s="61" t="s">
        <v>653</v>
      </c>
      <c r="R61" s="61" t="s">
        <v>536</v>
      </c>
      <c r="S61" s="61" t="s">
        <v>654</v>
      </c>
      <c r="T61" s="61" t="s">
        <v>31</v>
      </c>
      <c r="U61" s="61" t="s">
        <v>655</v>
      </c>
      <c r="V61" s="61" t="s">
        <v>656</v>
      </c>
      <c r="W61" s="62">
        <v>43069</v>
      </c>
      <c r="X61" s="37" t="s">
        <v>30</v>
      </c>
      <c r="Y61" s="37">
        <v>1</v>
      </c>
      <c r="Z61" s="37" t="s">
        <v>279</v>
      </c>
      <c r="AA61" s="37" t="s">
        <v>657</v>
      </c>
      <c r="AB61" s="37" t="s">
        <v>513</v>
      </c>
      <c r="AC61" s="61"/>
      <c r="AD61" s="34"/>
      <c r="AE61" s="98" t="s">
        <v>28</v>
      </c>
      <c r="AF61" s="36">
        <v>44191</v>
      </c>
      <c r="AG61" s="36">
        <v>44191</v>
      </c>
      <c r="AH61" s="37"/>
      <c r="AI61" s="72">
        <v>44185</v>
      </c>
      <c r="AJ61" s="38" t="s">
        <v>27</v>
      </c>
      <c r="AK61" s="39" t="e">
        <f>VLOOKUP(A61,'[1]Externe MAJ Nov'!$A:$H,8,0)</f>
        <v>#N/A</v>
      </c>
      <c r="AL61" s="61"/>
      <c r="AM61" s="61"/>
      <c r="AN61" s="61"/>
      <c r="AO61" s="58">
        <v>44185</v>
      </c>
      <c r="AP61" s="29" t="e">
        <f>VLOOKUP(A61,'[2]External Scan 02_21'!$B:$J,9,0)</f>
        <v>#N/A</v>
      </c>
      <c r="AQ61" s="29" t="s">
        <v>28</v>
      </c>
      <c r="AR61" s="21"/>
      <c r="AS61" s="21" t="str">
        <f>VLOOKUP(AE61,'ref statu'!A:B,2,0)</f>
        <v>Fixed</v>
      </c>
      <c r="AT61" s="8" t="e">
        <f>VLOOKUP(A61,chk!A:B,2,0)</f>
        <v>#N/A</v>
      </c>
      <c r="AU61" s="29" t="e">
        <f>VLOOKUP(A61,checker!A:B,2,0)</f>
        <v>#N/A</v>
      </c>
      <c r="AV61" s="29" t="e">
        <f>VLOOKUP(A61,checker!B:C,2,0)</f>
        <v>#N/A</v>
      </c>
    </row>
    <row r="62" spans="1:48" x14ac:dyDescent="0.3">
      <c r="A62" s="29" t="str">
        <f t="shared" si="0"/>
        <v>96.692.66.646/0/oracle_linux-cve-2017-1000407</v>
      </c>
      <c r="B62" s="61" t="s">
        <v>2997</v>
      </c>
      <c r="C62" s="61" t="s">
        <v>528</v>
      </c>
      <c r="D62" s="61" t="s">
        <v>2964</v>
      </c>
      <c r="E62" s="61" t="s">
        <v>28</v>
      </c>
      <c r="F62" s="61" t="s">
        <v>529</v>
      </c>
      <c r="G62" s="61" t="s">
        <v>530</v>
      </c>
      <c r="H62" s="61" t="s">
        <v>531</v>
      </c>
      <c r="I62" s="37" t="s">
        <v>532</v>
      </c>
      <c r="J62" s="37">
        <v>0</v>
      </c>
      <c r="K62" s="61" t="s">
        <v>258</v>
      </c>
      <c r="L62" s="61" t="s">
        <v>31</v>
      </c>
      <c r="M62" s="9">
        <v>6</v>
      </c>
      <c r="N62" s="9" t="s">
        <v>29</v>
      </c>
      <c r="O62" s="61" t="s">
        <v>658</v>
      </c>
      <c r="P62" s="61" t="s">
        <v>659</v>
      </c>
      <c r="Q62" s="61" t="s">
        <v>660</v>
      </c>
      <c r="R62" s="61" t="s">
        <v>661</v>
      </c>
      <c r="S62" s="61" t="s">
        <v>662</v>
      </c>
      <c r="T62" s="61" t="s">
        <v>31</v>
      </c>
      <c r="U62" s="61" t="s">
        <v>663</v>
      </c>
      <c r="V62" s="61" t="s">
        <v>664</v>
      </c>
      <c r="W62" s="62">
        <v>43080</v>
      </c>
      <c r="X62" s="37" t="s">
        <v>30</v>
      </c>
      <c r="Y62" s="37">
        <v>0</v>
      </c>
      <c r="Z62" s="37" t="s">
        <v>31</v>
      </c>
      <c r="AA62" s="37" t="s">
        <v>31</v>
      </c>
      <c r="AB62" s="37" t="s">
        <v>513</v>
      </c>
      <c r="AC62" s="61"/>
      <c r="AD62" s="34"/>
      <c r="AE62" s="98" t="s">
        <v>28</v>
      </c>
      <c r="AF62" s="36">
        <v>44191</v>
      </c>
      <c r="AG62" s="36">
        <v>44191</v>
      </c>
      <c r="AH62" s="37"/>
      <c r="AI62" s="72">
        <v>44185</v>
      </c>
      <c r="AJ62" s="38" t="s">
        <v>27</v>
      </c>
      <c r="AK62" s="39" t="e">
        <f>VLOOKUP(A62,'[1]Externe MAJ Nov'!$A:$H,8,0)</f>
        <v>#N/A</v>
      </c>
      <c r="AL62" s="61"/>
      <c r="AM62" s="61"/>
      <c r="AN62" s="61"/>
      <c r="AO62" s="58">
        <v>44185</v>
      </c>
      <c r="AP62" s="29" t="e">
        <f>VLOOKUP(A62,'[2]External Scan 02_21'!$B:$J,9,0)</f>
        <v>#N/A</v>
      </c>
      <c r="AQ62" s="29" t="s">
        <v>28</v>
      </c>
      <c r="AR62" s="21"/>
      <c r="AS62" s="21" t="str">
        <f>VLOOKUP(AE62,'ref statu'!A:B,2,0)</f>
        <v>Fixed</v>
      </c>
      <c r="AT62" s="8" t="e">
        <f>VLOOKUP(A62,chk!A:B,2,0)</f>
        <v>#N/A</v>
      </c>
      <c r="AU62" s="29" t="e">
        <f>VLOOKUP(A62,checker!A:B,2,0)</f>
        <v>#N/A</v>
      </c>
      <c r="AV62" s="29" t="e">
        <f>VLOOKUP(A62,checker!B:C,2,0)</f>
        <v>#N/A</v>
      </c>
    </row>
    <row r="63" spans="1:48" x14ac:dyDescent="0.3">
      <c r="A63" s="29" t="str">
        <f t="shared" si="0"/>
        <v>96.692.66.646/0/oracle_linux-cve-2017-1000410</v>
      </c>
      <c r="B63" s="61" t="s">
        <v>2997</v>
      </c>
      <c r="C63" s="61" t="s">
        <v>528</v>
      </c>
      <c r="D63" s="61" t="s">
        <v>2964</v>
      </c>
      <c r="E63" s="61" t="s">
        <v>28</v>
      </c>
      <c r="F63" s="61" t="s">
        <v>529</v>
      </c>
      <c r="G63" s="61" t="s">
        <v>530</v>
      </c>
      <c r="H63" s="61" t="s">
        <v>531</v>
      </c>
      <c r="I63" s="37" t="s">
        <v>532</v>
      </c>
      <c r="J63" s="37">
        <v>0</v>
      </c>
      <c r="K63" s="61" t="s">
        <v>258</v>
      </c>
      <c r="L63" s="61" t="s">
        <v>31</v>
      </c>
      <c r="M63" s="9">
        <v>5</v>
      </c>
      <c r="N63" s="9" t="s">
        <v>29</v>
      </c>
      <c r="O63" s="61" t="s">
        <v>665</v>
      </c>
      <c r="P63" s="61" t="s">
        <v>666</v>
      </c>
      <c r="Q63" s="61" t="s">
        <v>667</v>
      </c>
      <c r="R63" s="61" t="s">
        <v>668</v>
      </c>
      <c r="S63" s="61" t="s">
        <v>669</v>
      </c>
      <c r="T63" s="61" t="s">
        <v>31</v>
      </c>
      <c r="U63" s="61" t="s">
        <v>670</v>
      </c>
      <c r="V63" s="61" t="s">
        <v>671</v>
      </c>
      <c r="W63" s="62">
        <v>43076</v>
      </c>
      <c r="X63" s="37" t="s">
        <v>30</v>
      </c>
      <c r="Y63" s="37">
        <v>0</v>
      </c>
      <c r="Z63" s="37" t="s">
        <v>31</v>
      </c>
      <c r="AA63" s="37" t="s">
        <v>31</v>
      </c>
      <c r="AB63" s="37" t="s">
        <v>513</v>
      </c>
      <c r="AC63" s="61"/>
      <c r="AD63" s="33"/>
      <c r="AE63" s="98" t="s">
        <v>28</v>
      </c>
      <c r="AF63" s="36">
        <v>44191</v>
      </c>
      <c r="AG63" s="36">
        <v>44191</v>
      </c>
      <c r="AH63" s="37"/>
      <c r="AI63" s="72">
        <v>44185</v>
      </c>
      <c r="AJ63" s="38" t="s">
        <v>27</v>
      </c>
      <c r="AK63" s="39" t="e">
        <f>VLOOKUP(A63,'[1]Externe MAJ Nov'!$A:$H,8,0)</f>
        <v>#N/A</v>
      </c>
      <c r="AL63" s="61"/>
      <c r="AM63" s="61"/>
      <c r="AN63" s="61"/>
      <c r="AO63" s="58">
        <v>44185</v>
      </c>
      <c r="AP63" s="29" t="e">
        <f>VLOOKUP(A63,'[2]External Scan 02_21'!$B:$J,9,0)</f>
        <v>#N/A</v>
      </c>
      <c r="AQ63" s="29" t="s">
        <v>28</v>
      </c>
      <c r="AR63" s="21"/>
      <c r="AS63" s="21" t="str">
        <f>VLOOKUP(AE63,'ref statu'!A:B,2,0)</f>
        <v>Fixed</v>
      </c>
      <c r="AT63" s="8" t="e">
        <f>VLOOKUP(A63,chk!A:B,2,0)</f>
        <v>#N/A</v>
      </c>
      <c r="AU63" s="29" t="e">
        <f>VLOOKUP(A63,checker!A:B,2,0)</f>
        <v>#N/A</v>
      </c>
      <c r="AV63" s="29" t="e">
        <f>VLOOKUP(A63,checker!B:C,2,0)</f>
        <v>#N/A</v>
      </c>
    </row>
    <row r="64" spans="1:48" x14ac:dyDescent="0.3">
      <c r="A64" s="29" t="str">
        <f t="shared" si="0"/>
        <v>96.692.66.646/0/oracle_linux-cve-2017-11600</v>
      </c>
      <c r="B64" s="61" t="s">
        <v>2997</v>
      </c>
      <c r="C64" s="61" t="s">
        <v>528</v>
      </c>
      <c r="D64" s="61" t="s">
        <v>2964</v>
      </c>
      <c r="E64" s="61" t="s">
        <v>28</v>
      </c>
      <c r="F64" s="61" t="s">
        <v>529</v>
      </c>
      <c r="G64" s="61" t="s">
        <v>530</v>
      </c>
      <c r="H64" s="61" t="s">
        <v>531</v>
      </c>
      <c r="I64" s="37" t="s">
        <v>532</v>
      </c>
      <c r="J64" s="37">
        <v>0</v>
      </c>
      <c r="K64" s="61" t="s">
        <v>258</v>
      </c>
      <c r="L64" s="61" t="s">
        <v>31</v>
      </c>
      <c r="M64" s="9">
        <v>7</v>
      </c>
      <c r="N64" s="10" t="s">
        <v>2540</v>
      </c>
      <c r="O64" s="61" t="s">
        <v>672</v>
      </c>
      <c r="P64" s="61" t="s">
        <v>673</v>
      </c>
      <c r="Q64" s="61" t="s">
        <v>674</v>
      </c>
      <c r="R64" s="61" t="s">
        <v>606</v>
      </c>
      <c r="S64" s="61" t="s">
        <v>675</v>
      </c>
      <c r="T64" s="61" t="s">
        <v>31</v>
      </c>
      <c r="U64" s="61" t="s">
        <v>676</v>
      </c>
      <c r="V64" s="61" t="s">
        <v>677</v>
      </c>
      <c r="W64" s="62">
        <v>42940</v>
      </c>
      <c r="X64" s="37" t="s">
        <v>30</v>
      </c>
      <c r="Y64" s="37">
        <v>0</v>
      </c>
      <c r="Z64" s="37" t="s">
        <v>31</v>
      </c>
      <c r="AA64" s="37" t="s">
        <v>31</v>
      </c>
      <c r="AB64" s="37" t="s">
        <v>513</v>
      </c>
      <c r="AC64" s="61"/>
      <c r="AD64" s="34"/>
      <c r="AE64" s="98" t="s">
        <v>28</v>
      </c>
      <c r="AF64" s="36">
        <v>44191</v>
      </c>
      <c r="AG64" s="36">
        <v>44191</v>
      </c>
      <c r="AH64" s="37"/>
      <c r="AI64" s="72">
        <v>44185</v>
      </c>
      <c r="AJ64" s="38" t="s">
        <v>27</v>
      </c>
      <c r="AK64" s="39" t="e">
        <f>VLOOKUP(A64,'[1]Externe MAJ Nov'!$A:$H,8,0)</f>
        <v>#N/A</v>
      </c>
      <c r="AL64" s="61"/>
      <c r="AM64" s="61"/>
      <c r="AN64" s="61"/>
      <c r="AO64" s="58">
        <v>44185</v>
      </c>
      <c r="AP64" s="29" t="e">
        <f>VLOOKUP(A64,'[2]External Scan 02_21'!$B:$J,9,0)</f>
        <v>#N/A</v>
      </c>
      <c r="AQ64" s="29" t="s">
        <v>28</v>
      </c>
      <c r="AR64" s="21"/>
      <c r="AS64" s="21" t="str">
        <f>VLOOKUP(AE64,'ref statu'!A:B,2,0)</f>
        <v>Fixed</v>
      </c>
      <c r="AT64" s="8" t="e">
        <f>VLOOKUP(A64,chk!A:B,2,0)</f>
        <v>#N/A</v>
      </c>
      <c r="AU64" s="29" t="e">
        <f>VLOOKUP(A64,checker!A:B,2,0)</f>
        <v>#N/A</v>
      </c>
      <c r="AV64" s="29" t="e">
        <f>VLOOKUP(A64,checker!B:C,2,0)</f>
        <v>#N/A</v>
      </c>
    </row>
    <row r="65" spans="1:48" x14ac:dyDescent="0.3">
      <c r="A65" s="29" t="str">
        <f t="shared" si="0"/>
        <v>96.692.66.646/0/oracle_linux-cve-2017-12134</v>
      </c>
      <c r="B65" s="61" t="s">
        <v>2997</v>
      </c>
      <c r="C65" s="61" t="s">
        <v>528</v>
      </c>
      <c r="D65" s="61" t="s">
        <v>2964</v>
      </c>
      <c r="E65" s="61" t="s">
        <v>28</v>
      </c>
      <c r="F65" s="61" t="s">
        <v>529</v>
      </c>
      <c r="G65" s="61" t="s">
        <v>530</v>
      </c>
      <c r="H65" s="61" t="s">
        <v>531</v>
      </c>
      <c r="I65" s="37" t="s">
        <v>532</v>
      </c>
      <c r="J65" s="37">
        <v>0</v>
      </c>
      <c r="K65" s="61" t="s">
        <v>258</v>
      </c>
      <c r="L65" s="61" t="s">
        <v>31</v>
      </c>
      <c r="M65" s="9">
        <v>7</v>
      </c>
      <c r="N65" s="10" t="s">
        <v>2540</v>
      </c>
      <c r="O65" s="61" t="s">
        <v>678</v>
      </c>
      <c r="P65" s="61" t="s">
        <v>679</v>
      </c>
      <c r="Q65" s="61" t="s">
        <v>680</v>
      </c>
      <c r="R65" s="61" t="s">
        <v>543</v>
      </c>
      <c r="S65" s="61" t="s">
        <v>681</v>
      </c>
      <c r="T65" s="61" t="s">
        <v>31</v>
      </c>
      <c r="U65" s="61" t="s">
        <v>682</v>
      </c>
      <c r="V65" s="61" t="s">
        <v>683</v>
      </c>
      <c r="W65" s="62">
        <v>42970</v>
      </c>
      <c r="X65" s="37" t="s">
        <v>30</v>
      </c>
      <c r="Y65" s="37">
        <v>0</v>
      </c>
      <c r="Z65" s="37" t="s">
        <v>31</v>
      </c>
      <c r="AA65" s="37" t="s">
        <v>31</v>
      </c>
      <c r="AB65" s="37" t="s">
        <v>513</v>
      </c>
      <c r="AC65" s="61"/>
      <c r="AD65" s="34"/>
      <c r="AE65" s="98" t="s">
        <v>28</v>
      </c>
      <c r="AF65" s="36">
        <v>44191</v>
      </c>
      <c r="AG65" s="36">
        <v>44191</v>
      </c>
      <c r="AH65" s="37"/>
      <c r="AI65" s="72">
        <v>44185</v>
      </c>
      <c r="AJ65" s="38" t="s">
        <v>27</v>
      </c>
      <c r="AK65" s="39" t="e">
        <f>VLOOKUP(A65,'[1]Externe MAJ Nov'!$A:$H,8,0)</f>
        <v>#N/A</v>
      </c>
      <c r="AL65" s="61"/>
      <c r="AM65" s="61"/>
      <c r="AN65" s="61"/>
      <c r="AO65" s="58">
        <v>44185</v>
      </c>
      <c r="AP65" s="29" t="e">
        <f>VLOOKUP(A65,'[2]External Scan 02_21'!$B:$J,9,0)</f>
        <v>#N/A</v>
      </c>
      <c r="AQ65" s="29" t="s">
        <v>28</v>
      </c>
      <c r="AR65" s="21"/>
      <c r="AS65" s="21" t="str">
        <f>VLOOKUP(AE65,'ref statu'!A:B,2,0)</f>
        <v>Fixed</v>
      </c>
      <c r="AT65" s="8" t="e">
        <f>VLOOKUP(A65,chk!A:B,2,0)</f>
        <v>#N/A</v>
      </c>
      <c r="AU65" s="29" t="e">
        <f>VLOOKUP(A65,checker!A:B,2,0)</f>
        <v>#N/A</v>
      </c>
      <c r="AV65" s="29" t="e">
        <f>VLOOKUP(A65,checker!B:C,2,0)</f>
        <v>#N/A</v>
      </c>
    </row>
    <row r="66" spans="1:48" x14ac:dyDescent="0.3">
      <c r="A66" s="29" t="str">
        <f t="shared" ref="A66:A129" si="1">B66&amp;"/"&amp;J66&amp;"/"&amp;O66</f>
        <v>96.692.66.646/0/oracle_linux-cve-2017-12146</v>
      </c>
      <c r="B66" s="61" t="s">
        <v>2997</v>
      </c>
      <c r="C66" s="61" t="s">
        <v>528</v>
      </c>
      <c r="D66" s="61" t="s">
        <v>2964</v>
      </c>
      <c r="E66" s="61" t="s">
        <v>28</v>
      </c>
      <c r="F66" s="61" t="s">
        <v>529</v>
      </c>
      <c r="G66" s="61" t="s">
        <v>530</v>
      </c>
      <c r="H66" s="61" t="s">
        <v>531</v>
      </c>
      <c r="I66" s="37" t="s">
        <v>532</v>
      </c>
      <c r="J66" s="37">
        <v>0</v>
      </c>
      <c r="K66" s="61" t="s">
        <v>258</v>
      </c>
      <c r="L66" s="61" t="s">
        <v>31</v>
      </c>
      <c r="M66" s="9">
        <v>7</v>
      </c>
      <c r="N66" s="10" t="s">
        <v>2540</v>
      </c>
      <c r="O66" s="61" t="s">
        <v>684</v>
      </c>
      <c r="P66" s="61" t="s">
        <v>685</v>
      </c>
      <c r="Q66" s="61" t="s">
        <v>686</v>
      </c>
      <c r="R66" s="61" t="s">
        <v>536</v>
      </c>
      <c r="S66" s="61" t="s">
        <v>687</v>
      </c>
      <c r="T66" s="61" t="s">
        <v>31</v>
      </c>
      <c r="U66" s="61" t="s">
        <v>688</v>
      </c>
      <c r="V66" s="61" t="s">
        <v>689</v>
      </c>
      <c r="W66" s="62">
        <v>42986</v>
      </c>
      <c r="X66" s="37" t="s">
        <v>30</v>
      </c>
      <c r="Y66" s="37">
        <v>0</v>
      </c>
      <c r="Z66" s="37" t="s">
        <v>31</v>
      </c>
      <c r="AA66" s="37" t="s">
        <v>31</v>
      </c>
      <c r="AB66" s="37" t="s">
        <v>513</v>
      </c>
      <c r="AC66" s="61"/>
      <c r="AD66" s="33"/>
      <c r="AE66" s="98" t="s">
        <v>28</v>
      </c>
      <c r="AF66" s="36">
        <v>44191</v>
      </c>
      <c r="AG66" s="36">
        <v>44191</v>
      </c>
      <c r="AH66" s="37"/>
      <c r="AI66" s="72">
        <v>44185</v>
      </c>
      <c r="AJ66" s="38" t="s">
        <v>27</v>
      </c>
      <c r="AK66" s="39" t="e">
        <f>VLOOKUP(A66,'[1]Externe MAJ Nov'!$A:$H,8,0)</f>
        <v>#N/A</v>
      </c>
      <c r="AL66" s="61"/>
      <c r="AM66" s="61"/>
      <c r="AN66" s="61"/>
      <c r="AO66" s="58">
        <v>44185</v>
      </c>
      <c r="AP66" s="29" t="e">
        <f>VLOOKUP(A66,'[2]External Scan 02_21'!$B:$J,9,0)</f>
        <v>#N/A</v>
      </c>
      <c r="AQ66" s="29" t="s">
        <v>28</v>
      </c>
      <c r="AR66" s="21"/>
      <c r="AS66" s="21" t="str">
        <f>VLOOKUP(AE66,'ref statu'!A:B,2,0)</f>
        <v>Fixed</v>
      </c>
      <c r="AT66" s="8" t="e">
        <f>VLOOKUP(A66,chk!A:B,2,0)</f>
        <v>#N/A</v>
      </c>
      <c r="AU66" s="29" t="e">
        <f>VLOOKUP(A66,checker!A:B,2,0)</f>
        <v>#N/A</v>
      </c>
      <c r="AV66" s="29" t="e">
        <f>VLOOKUP(A66,checker!B:C,2,0)</f>
        <v>#N/A</v>
      </c>
    </row>
    <row r="67" spans="1:48" x14ac:dyDescent="0.3">
      <c r="A67" s="29" t="str">
        <f t="shared" si="1"/>
        <v>96.692.66.646/0/oracle_linux-cve-2017-12153</v>
      </c>
      <c r="B67" s="61" t="s">
        <v>2997</v>
      </c>
      <c r="C67" s="61" t="s">
        <v>528</v>
      </c>
      <c r="D67" s="61" t="s">
        <v>2964</v>
      </c>
      <c r="E67" s="61" t="s">
        <v>28</v>
      </c>
      <c r="F67" s="61" t="s">
        <v>529</v>
      </c>
      <c r="G67" s="61" t="s">
        <v>530</v>
      </c>
      <c r="H67" s="61" t="s">
        <v>531</v>
      </c>
      <c r="I67" s="37" t="s">
        <v>532</v>
      </c>
      <c r="J67" s="37">
        <v>0</v>
      </c>
      <c r="K67" s="61" t="s">
        <v>258</v>
      </c>
      <c r="L67" s="61" t="s">
        <v>31</v>
      </c>
      <c r="M67" s="9">
        <v>5</v>
      </c>
      <c r="N67" s="9" t="s">
        <v>29</v>
      </c>
      <c r="O67" s="61" t="s">
        <v>690</v>
      </c>
      <c r="P67" s="61" t="s">
        <v>691</v>
      </c>
      <c r="Q67" s="61" t="s">
        <v>692</v>
      </c>
      <c r="R67" s="61" t="s">
        <v>536</v>
      </c>
      <c r="S67" s="61" t="s">
        <v>693</v>
      </c>
      <c r="T67" s="61" t="s">
        <v>31</v>
      </c>
      <c r="U67" s="61" t="s">
        <v>694</v>
      </c>
      <c r="V67" s="61" t="s">
        <v>695</v>
      </c>
      <c r="W67" s="62">
        <v>42999</v>
      </c>
      <c r="X67" s="37" t="s">
        <v>30</v>
      </c>
      <c r="Y67" s="37">
        <v>0</v>
      </c>
      <c r="Z67" s="37" t="s">
        <v>31</v>
      </c>
      <c r="AA67" s="37" t="s">
        <v>31</v>
      </c>
      <c r="AB67" s="37" t="s">
        <v>513</v>
      </c>
      <c r="AC67" s="61"/>
      <c r="AD67" s="34"/>
      <c r="AE67" s="98" t="s">
        <v>28</v>
      </c>
      <c r="AF67" s="36">
        <v>44191</v>
      </c>
      <c r="AG67" s="36">
        <v>44191</v>
      </c>
      <c r="AH67" s="37"/>
      <c r="AI67" s="72">
        <v>44185</v>
      </c>
      <c r="AJ67" s="38" t="s">
        <v>27</v>
      </c>
      <c r="AK67" s="39" t="e">
        <f>VLOOKUP(A67,'[1]Externe MAJ Nov'!$A:$H,8,0)</f>
        <v>#N/A</v>
      </c>
      <c r="AL67" s="61"/>
      <c r="AM67" s="61"/>
      <c r="AN67" s="61"/>
      <c r="AO67" s="58">
        <v>44185</v>
      </c>
      <c r="AP67" s="29" t="e">
        <f>VLOOKUP(A67,'[2]External Scan 02_21'!$B:$J,9,0)</f>
        <v>#N/A</v>
      </c>
      <c r="AQ67" s="29" t="s">
        <v>28</v>
      </c>
      <c r="AR67" s="21"/>
      <c r="AS67" s="21" t="str">
        <f>VLOOKUP(AE67,'ref statu'!A:B,2,0)</f>
        <v>Fixed</v>
      </c>
      <c r="AT67" s="8" t="e">
        <f>VLOOKUP(A67,chk!A:B,2,0)</f>
        <v>#N/A</v>
      </c>
      <c r="AU67" s="29" t="e">
        <f>VLOOKUP(A67,checker!A:B,2,0)</f>
        <v>#N/A</v>
      </c>
      <c r="AV67" s="29" t="e">
        <f>VLOOKUP(A67,checker!B:C,2,0)</f>
        <v>#N/A</v>
      </c>
    </row>
    <row r="68" spans="1:48" x14ac:dyDescent="0.3">
      <c r="A68" s="29" t="str">
        <f t="shared" si="1"/>
        <v>96.692.66.646/0/oracle_linux-cve-2017-12154</v>
      </c>
      <c r="B68" s="61" t="s">
        <v>2997</v>
      </c>
      <c r="C68" s="61" t="s">
        <v>528</v>
      </c>
      <c r="D68" s="61" t="s">
        <v>2964</v>
      </c>
      <c r="E68" s="61" t="s">
        <v>28</v>
      </c>
      <c r="F68" s="61" t="s">
        <v>529</v>
      </c>
      <c r="G68" s="61" t="s">
        <v>530</v>
      </c>
      <c r="H68" s="61" t="s">
        <v>531</v>
      </c>
      <c r="I68" s="37" t="s">
        <v>532</v>
      </c>
      <c r="J68" s="37">
        <v>0</v>
      </c>
      <c r="K68" s="61" t="s">
        <v>258</v>
      </c>
      <c r="L68" s="61" t="s">
        <v>31</v>
      </c>
      <c r="M68" s="9">
        <v>4</v>
      </c>
      <c r="N68" s="9" t="s">
        <v>29</v>
      </c>
      <c r="O68" s="61" t="s">
        <v>696</v>
      </c>
      <c r="P68" s="61" t="s">
        <v>697</v>
      </c>
      <c r="Q68" s="61" t="s">
        <v>698</v>
      </c>
      <c r="R68" s="61" t="s">
        <v>661</v>
      </c>
      <c r="S68" s="61" t="s">
        <v>699</v>
      </c>
      <c r="T68" s="61" t="s">
        <v>31</v>
      </c>
      <c r="U68" s="61" t="s">
        <v>700</v>
      </c>
      <c r="V68" s="61" t="s">
        <v>701</v>
      </c>
      <c r="W68" s="62">
        <v>42998</v>
      </c>
      <c r="X68" s="37" t="s">
        <v>30</v>
      </c>
      <c r="Y68" s="37">
        <v>0</v>
      </c>
      <c r="Z68" s="37" t="s">
        <v>31</v>
      </c>
      <c r="AA68" s="37" t="s">
        <v>31</v>
      </c>
      <c r="AB68" s="37" t="s">
        <v>513</v>
      </c>
      <c r="AC68" s="61"/>
      <c r="AD68" s="34"/>
      <c r="AE68" s="98" t="s">
        <v>28</v>
      </c>
      <c r="AF68" s="36">
        <v>44191</v>
      </c>
      <c r="AG68" s="36">
        <v>44191</v>
      </c>
      <c r="AH68" s="37"/>
      <c r="AI68" s="72">
        <v>44185</v>
      </c>
      <c r="AJ68" s="38" t="s">
        <v>27</v>
      </c>
      <c r="AK68" s="39" t="e">
        <f>VLOOKUP(A68,'[1]Externe MAJ Nov'!$A:$H,8,0)</f>
        <v>#N/A</v>
      </c>
      <c r="AL68" s="61"/>
      <c r="AM68" s="61"/>
      <c r="AN68" s="61"/>
      <c r="AO68" s="58">
        <v>44185</v>
      </c>
      <c r="AP68" s="29" t="e">
        <f>VLOOKUP(A68,'[2]External Scan 02_21'!$B:$J,9,0)</f>
        <v>#N/A</v>
      </c>
      <c r="AQ68" s="29" t="s">
        <v>28</v>
      </c>
      <c r="AR68" s="21"/>
      <c r="AS68" s="21" t="str">
        <f>VLOOKUP(AE68,'ref statu'!A:B,2,0)</f>
        <v>Fixed</v>
      </c>
      <c r="AT68" s="8" t="e">
        <f>VLOOKUP(A68,chk!A:B,2,0)</f>
        <v>#N/A</v>
      </c>
      <c r="AU68" s="29" t="e">
        <f>VLOOKUP(A68,checker!A:B,2,0)</f>
        <v>#N/A</v>
      </c>
      <c r="AV68" s="29" t="e">
        <f>VLOOKUP(A68,checker!B:C,2,0)</f>
        <v>#N/A</v>
      </c>
    </row>
    <row r="69" spans="1:48" x14ac:dyDescent="0.3">
      <c r="A69" s="29" t="str">
        <f t="shared" si="1"/>
        <v>96.692.66.646/0/oracle_linux-cve-2017-12190</v>
      </c>
      <c r="B69" s="61" t="s">
        <v>2997</v>
      </c>
      <c r="C69" s="61" t="s">
        <v>528</v>
      </c>
      <c r="D69" s="61" t="s">
        <v>2964</v>
      </c>
      <c r="E69" s="61" t="s">
        <v>28</v>
      </c>
      <c r="F69" s="61" t="s">
        <v>529</v>
      </c>
      <c r="G69" s="61" t="s">
        <v>530</v>
      </c>
      <c r="H69" s="61" t="s">
        <v>531</v>
      </c>
      <c r="I69" s="37" t="s">
        <v>532</v>
      </c>
      <c r="J69" s="37">
        <v>0</v>
      </c>
      <c r="K69" s="61" t="s">
        <v>258</v>
      </c>
      <c r="L69" s="61" t="s">
        <v>31</v>
      </c>
      <c r="M69" s="9">
        <v>5</v>
      </c>
      <c r="N69" s="9" t="s">
        <v>29</v>
      </c>
      <c r="O69" s="61" t="s">
        <v>702</v>
      </c>
      <c r="P69" s="61" t="s">
        <v>703</v>
      </c>
      <c r="Q69" s="61" t="s">
        <v>704</v>
      </c>
      <c r="R69" s="61" t="s">
        <v>668</v>
      </c>
      <c r="S69" s="61" t="s">
        <v>705</v>
      </c>
      <c r="T69" s="61" t="s">
        <v>31</v>
      </c>
      <c r="U69" s="61" t="s">
        <v>706</v>
      </c>
      <c r="V69" s="61" t="s">
        <v>707</v>
      </c>
      <c r="W69" s="62">
        <v>43057</v>
      </c>
      <c r="X69" s="37" t="s">
        <v>30</v>
      </c>
      <c r="Y69" s="37">
        <v>0</v>
      </c>
      <c r="Z69" s="37" t="s">
        <v>31</v>
      </c>
      <c r="AA69" s="37" t="s">
        <v>31</v>
      </c>
      <c r="AB69" s="37" t="s">
        <v>513</v>
      </c>
      <c r="AC69" s="61"/>
      <c r="AD69" s="33"/>
      <c r="AE69" s="98" t="s">
        <v>28</v>
      </c>
      <c r="AF69" s="36">
        <v>44191</v>
      </c>
      <c r="AG69" s="36">
        <v>44191</v>
      </c>
      <c r="AH69" s="37"/>
      <c r="AI69" s="72">
        <v>44185</v>
      </c>
      <c r="AJ69" s="38" t="s">
        <v>27</v>
      </c>
      <c r="AK69" s="39" t="e">
        <f>VLOOKUP(A69,'[1]Externe MAJ Nov'!$A:$H,8,0)</f>
        <v>#N/A</v>
      </c>
      <c r="AL69" s="61"/>
      <c r="AM69" s="61"/>
      <c r="AN69" s="61"/>
      <c r="AO69" s="58">
        <v>44185</v>
      </c>
      <c r="AP69" s="29" t="e">
        <f>VLOOKUP(A69,'[2]External Scan 02_21'!$B:$J,9,0)</f>
        <v>#N/A</v>
      </c>
      <c r="AQ69" s="29" t="s">
        <v>28</v>
      </c>
      <c r="AR69" s="21"/>
      <c r="AS69" s="21" t="str">
        <f>VLOOKUP(AE69,'ref statu'!A:B,2,0)</f>
        <v>Fixed</v>
      </c>
      <c r="AT69" s="8" t="e">
        <f>VLOOKUP(A69,chk!A:B,2,0)</f>
        <v>#N/A</v>
      </c>
      <c r="AU69" s="29" t="e">
        <f>VLOOKUP(A69,checker!A:B,2,0)</f>
        <v>#N/A</v>
      </c>
      <c r="AV69" s="29" t="e">
        <f>VLOOKUP(A69,checker!B:C,2,0)</f>
        <v>#N/A</v>
      </c>
    </row>
    <row r="70" spans="1:48" x14ac:dyDescent="0.3">
      <c r="A70" s="29" t="str">
        <f t="shared" si="1"/>
        <v>96.692.66.646/0/oracle_linux-cve-2017-12192</v>
      </c>
      <c r="B70" s="61" t="s">
        <v>2997</v>
      </c>
      <c r="C70" s="61" t="s">
        <v>528</v>
      </c>
      <c r="D70" s="61" t="s">
        <v>2964</v>
      </c>
      <c r="E70" s="61" t="s">
        <v>28</v>
      </c>
      <c r="F70" s="61" t="s">
        <v>529</v>
      </c>
      <c r="G70" s="61" t="s">
        <v>530</v>
      </c>
      <c r="H70" s="61" t="s">
        <v>531</v>
      </c>
      <c r="I70" s="37" t="s">
        <v>532</v>
      </c>
      <c r="J70" s="37">
        <v>0</v>
      </c>
      <c r="K70" s="61" t="s">
        <v>258</v>
      </c>
      <c r="L70" s="61" t="s">
        <v>31</v>
      </c>
      <c r="M70" s="9">
        <v>5</v>
      </c>
      <c r="N70" s="9" t="s">
        <v>29</v>
      </c>
      <c r="O70" s="61" t="s">
        <v>708</v>
      </c>
      <c r="P70" s="61" t="s">
        <v>709</v>
      </c>
      <c r="Q70" s="61" t="s">
        <v>710</v>
      </c>
      <c r="R70" s="61" t="s">
        <v>581</v>
      </c>
      <c r="S70" s="61" t="s">
        <v>711</v>
      </c>
      <c r="T70" s="61" t="s">
        <v>31</v>
      </c>
      <c r="U70" s="61" t="s">
        <v>712</v>
      </c>
      <c r="V70" s="61" t="s">
        <v>713</v>
      </c>
      <c r="W70" s="62">
        <v>43019</v>
      </c>
      <c r="X70" s="37" t="s">
        <v>30</v>
      </c>
      <c r="Y70" s="37">
        <v>0</v>
      </c>
      <c r="Z70" s="37" t="s">
        <v>31</v>
      </c>
      <c r="AA70" s="37" t="s">
        <v>31</v>
      </c>
      <c r="AB70" s="37" t="s">
        <v>513</v>
      </c>
      <c r="AC70" s="61"/>
      <c r="AD70" s="34"/>
      <c r="AE70" s="98" t="s">
        <v>28</v>
      </c>
      <c r="AF70" s="36">
        <v>44191</v>
      </c>
      <c r="AG70" s="36">
        <v>44191</v>
      </c>
      <c r="AH70" s="37"/>
      <c r="AI70" s="72">
        <v>44185</v>
      </c>
      <c r="AJ70" s="38" t="s">
        <v>27</v>
      </c>
      <c r="AK70" s="39" t="e">
        <f>VLOOKUP(A70,'[1]Externe MAJ Nov'!$A:$H,8,0)</f>
        <v>#N/A</v>
      </c>
      <c r="AL70" s="61"/>
      <c r="AM70" s="61"/>
      <c r="AN70" s="61"/>
      <c r="AO70" s="58">
        <v>44185</v>
      </c>
      <c r="AP70" s="29" t="e">
        <f>VLOOKUP(A70,'[2]External Scan 02_21'!$B:$J,9,0)</f>
        <v>#N/A</v>
      </c>
      <c r="AQ70" s="29" t="s">
        <v>28</v>
      </c>
      <c r="AR70" s="21"/>
      <c r="AS70" s="21" t="str">
        <f>VLOOKUP(AE70,'ref statu'!A:B,2,0)</f>
        <v>Fixed</v>
      </c>
      <c r="AT70" s="8" t="e">
        <f>VLOOKUP(A70,chk!A:B,2,0)</f>
        <v>#N/A</v>
      </c>
      <c r="AU70" s="29" t="e">
        <f>VLOOKUP(A70,checker!A:B,2,0)</f>
        <v>#N/A</v>
      </c>
      <c r="AV70" s="29" t="e">
        <f>VLOOKUP(A70,checker!B:C,2,0)</f>
        <v>#N/A</v>
      </c>
    </row>
    <row r="71" spans="1:48" x14ac:dyDescent="0.3">
      <c r="A71" s="29" t="str">
        <f t="shared" si="1"/>
        <v>96.692.66.646/0/oracle_linux-cve-2017-12193</v>
      </c>
      <c r="B71" s="61" t="s">
        <v>2997</v>
      </c>
      <c r="C71" s="61" t="s">
        <v>528</v>
      </c>
      <c r="D71" s="61" t="s">
        <v>2964</v>
      </c>
      <c r="E71" s="61" t="s">
        <v>28</v>
      </c>
      <c r="F71" s="61" t="s">
        <v>529</v>
      </c>
      <c r="G71" s="61" t="s">
        <v>530</v>
      </c>
      <c r="H71" s="61" t="s">
        <v>531</v>
      </c>
      <c r="I71" s="37" t="s">
        <v>532</v>
      </c>
      <c r="J71" s="37">
        <v>0</v>
      </c>
      <c r="K71" s="61" t="s">
        <v>258</v>
      </c>
      <c r="L71" s="61" t="s">
        <v>31</v>
      </c>
      <c r="M71" s="9">
        <v>5</v>
      </c>
      <c r="N71" s="9" t="s">
        <v>29</v>
      </c>
      <c r="O71" s="61" t="s">
        <v>714</v>
      </c>
      <c r="P71" s="61" t="s">
        <v>715</v>
      </c>
      <c r="Q71" s="61" t="s">
        <v>716</v>
      </c>
      <c r="R71" s="61" t="s">
        <v>661</v>
      </c>
      <c r="S71" s="61" t="s">
        <v>717</v>
      </c>
      <c r="T71" s="61" t="s">
        <v>31</v>
      </c>
      <c r="U71" s="61" t="s">
        <v>718</v>
      </c>
      <c r="V71" s="61" t="s">
        <v>719</v>
      </c>
      <c r="W71" s="62">
        <v>43057</v>
      </c>
      <c r="X71" s="37" t="s">
        <v>30</v>
      </c>
      <c r="Y71" s="37">
        <v>0</v>
      </c>
      <c r="Z71" s="37" t="s">
        <v>31</v>
      </c>
      <c r="AA71" s="37" t="s">
        <v>31</v>
      </c>
      <c r="AB71" s="37" t="s">
        <v>513</v>
      </c>
      <c r="AC71" s="61"/>
      <c r="AD71" s="34"/>
      <c r="AE71" s="98" t="s">
        <v>28</v>
      </c>
      <c r="AF71" s="36">
        <v>44191</v>
      </c>
      <c r="AG71" s="36">
        <v>44191</v>
      </c>
      <c r="AH71" s="37"/>
      <c r="AI71" s="72">
        <v>44185</v>
      </c>
      <c r="AJ71" s="38" t="s">
        <v>27</v>
      </c>
      <c r="AK71" s="39" t="e">
        <f>VLOOKUP(A71,'[1]Externe MAJ Nov'!$A:$H,8,0)</f>
        <v>#N/A</v>
      </c>
      <c r="AL71" s="61"/>
      <c r="AM71" s="61"/>
      <c r="AN71" s="61"/>
      <c r="AO71" s="58">
        <v>44185</v>
      </c>
      <c r="AP71" s="29" t="e">
        <f>VLOOKUP(A71,'[2]External Scan 02_21'!$B:$J,9,0)</f>
        <v>#N/A</v>
      </c>
      <c r="AQ71" s="29" t="s">
        <v>28</v>
      </c>
      <c r="AR71" s="21"/>
      <c r="AS71" s="21" t="str">
        <f>VLOOKUP(AE71,'ref statu'!A:B,2,0)</f>
        <v>Fixed</v>
      </c>
      <c r="AT71" s="8" t="e">
        <f>VLOOKUP(A71,chk!A:B,2,0)</f>
        <v>#N/A</v>
      </c>
      <c r="AU71" s="29" t="e">
        <f>VLOOKUP(A71,checker!A:B,2,0)</f>
        <v>#N/A</v>
      </c>
      <c r="AV71" s="29" t="e">
        <f>VLOOKUP(A71,checker!B:C,2,0)</f>
        <v>#N/A</v>
      </c>
    </row>
    <row r="72" spans="1:48" ht="15.25" customHeight="1" x14ac:dyDescent="0.3">
      <c r="A72" s="29" t="str">
        <f t="shared" si="1"/>
        <v>96.692.66.646/0/oracle_linux-cve-2017-13168</v>
      </c>
      <c r="B72" s="61" t="s">
        <v>2997</v>
      </c>
      <c r="C72" s="61" t="s">
        <v>528</v>
      </c>
      <c r="D72" s="61" t="s">
        <v>2964</v>
      </c>
      <c r="E72" s="61" t="s">
        <v>28</v>
      </c>
      <c r="F72" s="61" t="s">
        <v>529</v>
      </c>
      <c r="G72" s="61" t="s">
        <v>530</v>
      </c>
      <c r="H72" s="61" t="s">
        <v>531</v>
      </c>
      <c r="I72" s="37" t="s">
        <v>532</v>
      </c>
      <c r="J72" s="37">
        <v>0</v>
      </c>
      <c r="K72" s="61" t="s">
        <v>258</v>
      </c>
      <c r="L72" s="61" t="s">
        <v>31</v>
      </c>
      <c r="M72" s="9">
        <v>5</v>
      </c>
      <c r="N72" s="9" t="s">
        <v>29</v>
      </c>
      <c r="O72" s="61" t="s">
        <v>720</v>
      </c>
      <c r="P72" s="61" t="s">
        <v>721</v>
      </c>
      <c r="Q72" s="61" t="s">
        <v>722</v>
      </c>
      <c r="R72" s="61" t="s">
        <v>723</v>
      </c>
      <c r="S72" s="61" t="s">
        <v>724</v>
      </c>
      <c r="T72" s="61" t="s">
        <v>31</v>
      </c>
      <c r="U72" s="61" t="s">
        <v>725</v>
      </c>
      <c r="V72" s="61" t="s">
        <v>726</v>
      </c>
      <c r="W72" s="62">
        <v>43075</v>
      </c>
      <c r="X72" s="37" t="s">
        <v>30</v>
      </c>
      <c r="Y72" s="37">
        <v>0</v>
      </c>
      <c r="Z72" s="37" t="s">
        <v>31</v>
      </c>
      <c r="AA72" s="37" t="s">
        <v>31</v>
      </c>
      <c r="AB72" s="37" t="s">
        <v>513</v>
      </c>
      <c r="AC72" s="61"/>
      <c r="AD72" s="33"/>
      <c r="AE72" s="98" t="s">
        <v>28</v>
      </c>
      <c r="AF72" s="36">
        <v>44191</v>
      </c>
      <c r="AG72" s="36">
        <v>44191</v>
      </c>
      <c r="AH72" s="37"/>
      <c r="AI72" s="72">
        <v>44185</v>
      </c>
      <c r="AJ72" s="38" t="s">
        <v>27</v>
      </c>
      <c r="AK72" s="39" t="e">
        <f>VLOOKUP(A72,'[1]Externe MAJ Nov'!$A:$H,8,0)</f>
        <v>#N/A</v>
      </c>
      <c r="AL72" s="61"/>
      <c r="AM72" s="61"/>
      <c r="AN72" s="61"/>
      <c r="AO72" s="58">
        <v>44185</v>
      </c>
      <c r="AP72" s="29" t="e">
        <f>VLOOKUP(A72,'[2]External Scan 02_21'!$B:$J,9,0)</f>
        <v>#N/A</v>
      </c>
      <c r="AQ72" s="29" t="s">
        <v>28</v>
      </c>
      <c r="AR72" s="21"/>
      <c r="AS72" s="21" t="str">
        <f>VLOOKUP(AE72,'ref statu'!A:B,2,0)</f>
        <v>Fixed</v>
      </c>
      <c r="AT72" s="8" t="e">
        <f>VLOOKUP(A72,chk!A:B,2,0)</f>
        <v>#N/A</v>
      </c>
      <c r="AU72" s="29" t="e">
        <f>VLOOKUP(A72,checker!A:B,2,0)</f>
        <v>#N/A</v>
      </c>
      <c r="AV72" s="29" t="e">
        <f>VLOOKUP(A72,checker!B:C,2,0)</f>
        <v>#N/A</v>
      </c>
    </row>
    <row r="73" spans="1:48" x14ac:dyDescent="0.3">
      <c r="A73" s="29" t="str">
        <f t="shared" si="1"/>
        <v>96.692.66.646/0/oracle_linux-cve-2017-13305</v>
      </c>
      <c r="B73" s="61" t="s">
        <v>2997</v>
      </c>
      <c r="C73" s="61" t="s">
        <v>528</v>
      </c>
      <c r="D73" s="61" t="s">
        <v>2964</v>
      </c>
      <c r="E73" s="61" t="s">
        <v>28</v>
      </c>
      <c r="F73" s="61" t="s">
        <v>529</v>
      </c>
      <c r="G73" s="61" t="s">
        <v>530</v>
      </c>
      <c r="H73" s="61" t="s">
        <v>531</v>
      </c>
      <c r="I73" s="37" t="s">
        <v>532</v>
      </c>
      <c r="J73" s="37">
        <v>0</v>
      </c>
      <c r="K73" s="61" t="s">
        <v>258</v>
      </c>
      <c r="L73" s="61" t="s">
        <v>31</v>
      </c>
      <c r="M73" s="9">
        <v>4</v>
      </c>
      <c r="N73" s="9" t="s">
        <v>29</v>
      </c>
      <c r="O73" s="61" t="s">
        <v>727</v>
      </c>
      <c r="P73" s="61" t="s">
        <v>728</v>
      </c>
      <c r="Q73" s="61" t="s">
        <v>729</v>
      </c>
      <c r="R73" s="61" t="s">
        <v>556</v>
      </c>
      <c r="S73" s="61" t="s">
        <v>730</v>
      </c>
      <c r="T73" s="61" t="s">
        <v>31</v>
      </c>
      <c r="U73" s="61" t="s">
        <v>731</v>
      </c>
      <c r="V73" s="61" t="s">
        <v>732</v>
      </c>
      <c r="W73" s="62">
        <v>43194</v>
      </c>
      <c r="X73" s="37" t="s">
        <v>30</v>
      </c>
      <c r="Y73" s="37">
        <v>0</v>
      </c>
      <c r="Z73" s="37" t="s">
        <v>31</v>
      </c>
      <c r="AA73" s="37" t="s">
        <v>31</v>
      </c>
      <c r="AB73" s="37" t="s">
        <v>513</v>
      </c>
      <c r="AC73" s="61"/>
      <c r="AD73" s="34"/>
      <c r="AE73" s="98" t="s">
        <v>28</v>
      </c>
      <c r="AF73" s="36">
        <v>44191</v>
      </c>
      <c r="AG73" s="36">
        <v>44191</v>
      </c>
      <c r="AH73" s="37"/>
      <c r="AI73" s="72">
        <v>44185</v>
      </c>
      <c r="AJ73" s="38" t="s">
        <v>27</v>
      </c>
      <c r="AK73" s="39" t="e">
        <f>VLOOKUP(A73,'[1]Externe MAJ Nov'!$A:$H,8,0)</f>
        <v>#N/A</v>
      </c>
      <c r="AL73" s="61"/>
      <c r="AM73" s="61"/>
      <c r="AN73" s="61"/>
      <c r="AO73" s="58">
        <v>44185</v>
      </c>
      <c r="AP73" s="29" t="e">
        <f>VLOOKUP(A73,'[2]External Scan 02_21'!$B:$J,9,0)</f>
        <v>#N/A</v>
      </c>
      <c r="AQ73" s="29" t="s">
        <v>28</v>
      </c>
      <c r="AR73" s="21"/>
      <c r="AS73" s="21" t="str">
        <f>VLOOKUP(AE73,'ref statu'!A:B,2,0)</f>
        <v>Fixed</v>
      </c>
      <c r="AT73" s="8" t="e">
        <f>VLOOKUP(A73,chk!A:B,2,0)</f>
        <v>#N/A</v>
      </c>
      <c r="AU73" s="29" t="e">
        <f>VLOOKUP(A73,checker!A:B,2,0)</f>
        <v>#N/A</v>
      </c>
      <c r="AV73" s="29" t="e">
        <f>VLOOKUP(A73,checker!B:C,2,0)</f>
        <v>#N/A</v>
      </c>
    </row>
    <row r="74" spans="1:48" x14ac:dyDescent="0.3">
      <c r="A74" s="29" t="str">
        <f t="shared" si="1"/>
        <v>96.692.66.646/0/oracle_linux-cve-2017-13695</v>
      </c>
      <c r="B74" s="61" t="s">
        <v>2997</v>
      </c>
      <c r="C74" s="61" t="s">
        <v>528</v>
      </c>
      <c r="D74" s="61" t="s">
        <v>2964</v>
      </c>
      <c r="E74" s="61" t="s">
        <v>28</v>
      </c>
      <c r="F74" s="61" t="s">
        <v>529</v>
      </c>
      <c r="G74" s="61" t="s">
        <v>530</v>
      </c>
      <c r="H74" s="61" t="s">
        <v>531</v>
      </c>
      <c r="I74" s="37" t="s">
        <v>532</v>
      </c>
      <c r="J74" s="37">
        <v>0</v>
      </c>
      <c r="K74" s="61" t="s">
        <v>258</v>
      </c>
      <c r="L74" s="61" t="s">
        <v>31</v>
      </c>
      <c r="M74" s="9">
        <v>2</v>
      </c>
      <c r="N74" s="9" t="s">
        <v>42</v>
      </c>
      <c r="O74" s="61" t="s">
        <v>733</v>
      </c>
      <c r="P74" s="61" t="s">
        <v>734</v>
      </c>
      <c r="Q74" s="61" t="s">
        <v>735</v>
      </c>
      <c r="R74" s="61" t="s">
        <v>723</v>
      </c>
      <c r="S74" s="61" t="s">
        <v>736</v>
      </c>
      <c r="T74" s="61" t="s">
        <v>31</v>
      </c>
      <c r="U74" s="61" t="s">
        <v>737</v>
      </c>
      <c r="V74" s="61" t="s">
        <v>738</v>
      </c>
      <c r="W74" s="62">
        <v>42972</v>
      </c>
      <c r="X74" s="37" t="s">
        <v>30</v>
      </c>
      <c r="Y74" s="37">
        <v>0</v>
      </c>
      <c r="Z74" s="37" t="s">
        <v>31</v>
      </c>
      <c r="AA74" s="37" t="s">
        <v>31</v>
      </c>
      <c r="AB74" s="37" t="s">
        <v>513</v>
      </c>
      <c r="AC74" s="61"/>
      <c r="AD74" s="34"/>
      <c r="AE74" s="98" t="s">
        <v>28</v>
      </c>
      <c r="AF74" s="36">
        <v>44191</v>
      </c>
      <c r="AG74" s="36">
        <v>44191</v>
      </c>
      <c r="AH74" s="37"/>
      <c r="AI74" s="72">
        <v>44185</v>
      </c>
      <c r="AJ74" s="38" t="s">
        <v>27</v>
      </c>
      <c r="AK74" s="39" t="e">
        <f>VLOOKUP(A74,'[1]Externe MAJ Nov'!$A:$H,8,0)</f>
        <v>#N/A</v>
      </c>
      <c r="AL74" s="61"/>
      <c r="AM74" s="61"/>
      <c r="AN74" s="61"/>
      <c r="AO74" s="58">
        <v>44185</v>
      </c>
      <c r="AP74" s="29" t="e">
        <f>VLOOKUP(A74,'[2]External Scan 02_21'!$B:$J,9,0)</f>
        <v>#N/A</v>
      </c>
      <c r="AQ74" s="29" t="s">
        <v>28</v>
      </c>
      <c r="AR74" s="21"/>
      <c r="AS74" s="21" t="str">
        <f>VLOOKUP(AE74,'ref statu'!A:B,2,0)</f>
        <v>Fixed</v>
      </c>
      <c r="AT74" s="8" t="e">
        <f>VLOOKUP(A74,chk!A:B,2,0)</f>
        <v>#N/A</v>
      </c>
      <c r="AU74" s="29" t="e">
        <f>VLOOKUP(A74,checker!A:B,2,0)</f>
        <v>#N/A</v>
      </c>
      <c r="AV74" s="29" t="e">
        <f>VLOOKUP(A74,checker!B:C,2,0)</f>
        <v>#N/A</v>
      </c>
    </row>
    <row r="75" spans="1:48" x14ac:dyDescent="0.3">
      <c r="A75" s="29" t="str">
        <f t="shared" si="1"/>
        <v>96.692.66.646/0/oracle_linux-cve-2017-14106</v>
      </c>
      <c r="B75" s="61" t="s">
        <v>2997</v>
      </c>
      <c r="C75" s="61" t="s">
        <v>528</v>
      </c>
      <c r="D75" s="61" t="s">
        <v>2964</v>
      </c>
      <c r="E75" s="61" t="s">
        <v>28</v>
      </c>
      <c r="F75" s="61" t="s">
        <v>529</v>
      </c>
      <c r="G75" s="61" t="s">
        <v>530</v>
      </c>
      <c r="H75" s="61" t="s">
        <v>531</v>
      </c>
      <c r="I75" s="37" t="s">
        <v>532</v>
      </c>
      <c r="J75" s="37">
        <v>0</v>
      </c>
      <c r="K75" s="61" t="s">
        <v>258</v>
      </c>
      <c r="L75" s="61" t="s">
        <v>31</v>
      </c>
      <c r="M75" s="9">
        <v>5</v>
      </c>
      <c r="N75" s="9" t="s">
        <v>29</v>
      </c>
      <c r="O75" s="61" t="s">
        <v>739</v>
      </c>
      <c r="P75" s="61" t="s">
        <v>740</v>
      </c>
      <c r="Q75" s="61" t="s">
        <v>741</v>
      </c>
      <c r="R75" s="61" t="s">
        <v>742</v>
      </c>
      <c r="S75" s="61" t="s">
        <v>743</v>
      </c>
      <c r="T75" s="61" t="s">
        <v>31</v>
      </c>
      <c r="U75" s="61" t="s">
        <v>744</v>
      </c>
      <c r="V75" s="61" t="s">
        <v>745</v>
      </c>
      <c r="W75" s="62">
        <v>42979</v>
      </c>
      <c r="X75" s="37" t="s">
        <v>30</v>
      </c>
      <c r="Y75" s="37">
        <v>0</v>
      </c>
      <c r="Z75" s="37" t="s">
        <v>31</v>
      </c>
      <c r="AA75" s="37" t="s">
        <v>31</v>
      </c>
      <c r="AB75" s="37" t="s">
        <v>513</v>
      </c>
      <c r="AC75" s="61"/>
      <c r="AD75" s="33"/>
      <c r="AE75" s="98" t="s">
        <v>28</v>
      </c>
      <c r="AF75" s="36">
        <v>44191</v>
      </c>
      <c r="AG75" s="36">
        <v>44191</v>
      </c>
      <c r="AH75" s="37"/>
      <c r="AI75" s="72">
        <v>44185</v>
      </c>
      <c r="AJ75" s="38" t="s">
        <v>27</v>
      </c>
      <c r="AK75" s="39" t="e">
        <f>VLOOKUP(A75,'[1]Externe MAJ Nov'!$A:$H,8,0)</f>
        <v>#N/A</v>
      </c>
      <c r="AL75" s="61"/>
      <c r="AM75" s="61"/>
      <c r="AN75" s="61"/>
      <c r="AO75" s="58">
        <v>44185</v>
      </c>
      <c r="AP75" s="29" t="e">
        <f>VLOOKUP(A75,'[2]External Scan 02_21'!$B:$J,9,0)</f>
        <v>#N/A</v>
      </c>
      <c r="AQ75" s="29" t="s">
        <v>28</v>
      </c>
      <c r="AR75" s="21"/>
      <c r="AS75" s="21" t="str">
        <f>VLOOKUP(AE75,'ref statu'!A:B,2,0)</f>
        <v>Fixed</v>
      </c>
      <c r="AT75" s="8" t="e">
        <f>VLOOKUP(A75,chk!A:B,2,0)</f>
        <v>#N/A</v>
      </c>
      <c r="AU75" s="29" t="e">
        <f>VLOOKUP(A75,checker!A:B,2,0)</f>
        <v>#N/A</v>
      </c>
      <c r="AV75" s="29" t="e">
        <f>VLOOKUP(A75,checker!B:C,2,0)</f>
        <v>#N/A</v>
      </c>
    </row>
    <row r="76" spans="1:48" x14ac:dyDescent="0.3">
      <c r="A76" s="29" t="str">
        <f t="shared" si="1"/>
        <v>96.692.66.646/0/oracle_linux-cve-2017-14140</v>
      </c>
      <c r="B76" s="61" t="s">
        <v>2997</v>
      </c>
      <c r="C76" s="61" t="s">
        <v>528</v>
      </c>
      <c r="D76" s="61" t="s">
        <v>2964</v>
      </c>
      <c r="E76" s="61" t="s">
        <v>28</v>
      </c>
      <c r="F76" s="61" t="s">
        <v>529</v>
      </c>
      <c r="G76" s="61" t="s">
        <v>530</v>
      </c>
      <c r="H76" s="61" t="s">
        <v>531</v>
      </c>
      <c r="I76" s="37" t="s">
        <v>532</v>
      </c>
      <c r="J76" s="37">
        <v>0</v>
      </c>
      <c r="K76" s="61" t="s">
        <v>258</v>
      </c>
      <c r="L76" s="61" t="s">
        <v>31</v>
      </c>
      <c r="M76" s="9">
        <v>2</v>
      </c>
      <c r="N76" s="9" t="s">
        <v>42</v>
      </c>
      <c r="O76" s="61" t="s">
        <v>746</v>
      </c>
      <c r="P76" s="61" t="s">
        <v>747</v>
      </c>
      <c r="Q76" s="61" t="s">
        <v>748</v>
      </c>
      <c r="R76" s="61" t="s">
        <v>668</v>
      </c>
      <c r="S76" s="61" t="s">
        <v>749</v>
      </c>
      <c r="T76" s="61" t="s">
        <v>31</v>
      </c>
      <c r="U76" s="61" t="s">
        <v>750</v>
      </c>
      <c r="V76" s="61" t="s">
        <v>751</v>
      </c>
      <c r="W76" s="62">
        <v>42983</v>
      </c>
      <c r="X76" s="37" t="s">
        <v>30</v>
      </c>
      <c r="Y76" s="37">
        <v>0</v>
      </c>
      <c r="Z76" s="37" t="s">
        <v>31</v>
      </c>
      <c r="AA76" s="37" t="s">
        <v>31</v>
      </c>
      <c r="AB76" s="37" t="s">
        <v>513</v>
      </c>
      <c r="AC76" s="61"/>
      <c r="AD76" s="34"/>
      <c r="AE76" s="98" t="s">
        <v>28</v>
      </c>
      <c r="AF76" s="36">
        <v>44191</v>
      </c>
      <c r="AG76" s="36">
        <v>44191</v>
      </c>
      <c r="AH76" s="37"/>
      <c r="AI76" s="72">
        <v>44185</v>
      </c>
      <c r="AJ76" s="38" t="s">
        <v>27</v>
      </c>
      <c r="AK76" s="39" t="e">
        <f>VLOOKUP(A76,'[1]Externe MAJ Nov'!$A:$H,8,0)</f>
        <v>#N/A</v>
      </c>
      <c r="AL76" s="61"/>
      <c r="AM76" s="61"/>
      <c r="AN76" s="61"/>
      <c r="AO76" s="58">
        <v>44185</v>
      </c>
      <c r="AP76" s="29" t="e">
        <f>VLOOKUP(A76,'[2]External Scan 02_21'!$B:$J,9,0)</f>
        <v>#N/A</v>
      </c>
      <c r="AQ76" s="29" t="s">
        <v>28</v>
      </c>
      <c r="AR76" s="21"/>
      <c r="AS76" s="21" t="str">
        <f>VLOOKUP(AE76,'ref statu'!A:B,2,0)</f>
        <v>Fixed</v>
      </c>
      <c r="AT76" s="8" t="e">
        <f>VLOOKUP(A76,chk!A:B,2,0)</f>
        <v>#N/A</v>
      </c>
      <c r="AU76" s="29" t="e">
        <f>VLOOKUP(A76,checker!A:B,2,0)</f>
        <v>#N/A</v>
      </c>
      <c r="AV76" s="29" t="e">
        <f>VLOOKUP(A76,checker!B:C,2,0)</f>
        <v>#N/A</v>
      </c>
    </row>
    <row r="77" spans="1:48" x14ac:dyDescent="0.3">
      <c r="A77" s="29" t="str">
        <f t="shared" si="1"/>
        <v>96.692.66.646/0/oracle_linux-cve-2017-14489</v>
      </c>
      <c r="B77" s="61" t="s">
        <v>2997</v>
      </c>
      <c r="C77" s="61" t="s">
        <v>528</v>
      </c>
      <c r="D77" s="61" t="s">
        <v>2964</v>
      </c>
      <c r="E77" s="61" t="s">
        <v>28</v>
      </c>
      <c r="F77" s="61" t="s">
        <v>529</v>
      </c>
      <c r="G77" s="61" t="s">
        <v>530</v>
      </c>
      <c r="H77" s="61" t="s">
        <v>531</v>
      </c>
      <c r="I77" s="37" t="s">
        <v>532</v>
      </c>
      <c r="J77" s="37">
        <v>0</v>
      </c>
      <c r="K77" s="61" t="s">
        <v>258</v>
      </c>
      <c r="L77" s="61" t="s">
        <v>31</v>
      </c>
      <c r="M77" s="9">
        <v>5</v>
      </c>
      <c r="N77" s="9" t="s">
        <v>29</v>
      </c>
      <c r="O77" s="61" t="s">
        <v>752</v>
      </c>
      <c r="P77" s="61" t="s">
        <v>753</v>
      </c>
      <c r="Q77" s="61" t="s">
        <v>754</v>
      </c>
      <c r="R77" s="61" t="s">
        <v>556</v>
      </c>
      <c r="S77" s="61" t="s">
        <v>755</v>
      </c>
      <c r="T77" s="61" t="s">
        <v>31</v>
      </c>
      <c r="U77" s="61" t="s">
        <v>756</v>
      </c>
      <c r="V77" s="61" t="s">
        <v>757</v>
      </c>
      <c r="W77" s="62">
        <v>42993</v>
      </c>
      <c r="X77" s="37" t="s">
        <v>30</v>
      </c>
      <c r="Y77" s="37">
        <v>1</v>
      </c>
      <c r="Z77" s="37" t="s">
        <v>279</v>
      </c>
      <c r="AA77" s="37" t="s">
        <v>758</v>
      </c>
      <c r="AB77" s="37" t="s">
        <v>513</v>
      </c>
      <c r="AC77" s="61"/>
      <c r="AD77" s="34"/>
      <c r="AE77" s="98" t="s">
        <v>28</v>
      </c>
      <c r="AF77" s="36">
        <v>44191</v>
      </c>
      <c r="AG77" s="36">
        <v>44191</v>
      </c>
      <c r="AH77" s="37"/>
      <c r="AI77" s="72">
        <v>44185</v>
      </c>
      <c r="AJ77" s="38" t="s">
        <v>27</v>
      </c>
      <c r="AK77" s="39" t="e">
        <f>VLOOKUP(A77,'[1]Externe MAJ Nov'!$A:$H,8,0)</f>
        <v>#N/A</v>
      </c>
      <c r="AL77" s="61"/>
      <c r="AM77" s="61"/>
      <c r="AN77" s="61"/>
      <c r="AO77" s="58">
        <v>44185</v>
      </c>
      <c r="AP77" s="29" t="e">
        <f>VLOOKUP(A77,'[2]External Scan 02_21'!$B:$J,9,0)</f>
        <v>#N/A</v>
      </c>
      <c r="AQ77" s="29" t="s">
        <v>28</v>
      </c>
      <c r="AR77" s="21"/>
      <c r="AS77" s="21" t="str">
        <f>VLOOKUP(AE77,'ref statu'!A:B,2,0)</f>
        <v>Fixed</v>
      </c>
      <c r="AT77" s="8" t="e">
        <f>VLOOKUP(A77,chk!A:B,2,0)</f>
        <v>#N/A</v>
      </c>
      <c r="AU77" s="29" t="e">
        <f>VLOOKUP(A77,checker!A:B,2,0)</f>
        <v>#N/A</v>
      </c>
      <c r="AV77" s="29" t="e">
        <f>VLOOKUP(A77,checker!B:C,2,0)</f>
        <v>#N/A</v>
      </c>
    </row>
    <row r="78" spans="1:48" x14ac:dyDescent="0.3">
      <c r="A78" s="29" t="str">
        <f t="shared" si="1"/>
        <v>96.692.66.646/0/oracle_linux-cve-2017-14991</v>
      </c>
      <c r="B78" s="61" t="s">
        <v>2997</v>
      </c>
      <c r="C78" s="61" t="s">
        <v>528</v>
      </c>
      <c r="D78" s="61" t="s">
        <v>2964</v>
      </c>
      <c r="E78" s="61" t="s">
        <v>28</v>
      </c>
      <c r="F78" s="61" t="s">
        <v>529</v>
      </c>
      <c r="G78" s="61" t="s">
        <v>530</v>
      </c>
      <c r="H78" s="61" t="s">
        <v>531</v>
      </c>
      <c r="I78" s="37" t="s">
        <v>532</v>
      </c>
      <c r="J78" s="37">
        <v>0</v>
      </c>
      <c r="K78" s="61" t="s">
        <v>258</v>
      </c>
      <c r="L78" s="61" t="s">
        <v>31</v>
      </c>
      <c r="M78" s="9">
        <v>2</v>
      </c>
      <c r="N78" s="9" t="s">
        <v>42</v>
      </c>
      <c r="O78" s="61" t="s">
        <v>759</v>
      </c>
      <c r="P78" s="61" t="s">
        <v>760</v>
      </c>
      <c r="Q78" s="61" t="s">
        <v>761</v>
      </c>
      <c r="R78" s="61" t="s">
        <v>556</v>
      </c>
      <c r="S78" s="61" t="s">
        <v>762</v>
      </c>
      <c r="T78" s="61" t="s">
        <v>31</v>
      </c>
      <c r="U78" s="61" t="s">
        <v>763</v>
      </c>
      <c r="V78" s="61" t="s">
        <v>764</v>
      </c>
      <c r="W78" s="62">
        <v>43011</v>
      </c>
      <c r="X78" s="37" t="s">
        <v>30</v>
      </c>
      <c r="Y78" s="37">
        <v>0</v>
      </c>
      <c r="Z78" s="37" t="s">
        <v>31</v>
      </c>
      <c r="AA78" s="37" t="s">
        <v>31</v>
      </c>
      <c r="AB78" s="37" t="s">
        <v>513</v>
      </c>
      <c r="AC78" s="61"/>
      <c r="AD78" s="33"/>
      <c r="AE78" s="98" t="s">
        <v>28</v>
      </c>
      <c r="AF78" s="36">
        <v>44191</v>
      </c>
      <c r="AG78" s="36">
        <v>44191</v>
      </c>
      <c r="AH78" s="37"/>
      <c r="AI78" s="72">
        <v>44185</v>
      </c>
      <c r="AJ78" s="38" t="s">
        <v>27</v>
      </c>
      <c r="AK78" s="39" t="e">
        <f>VLOOKUP(A78,'[1]Externe MAJ Nov'!$A:$H,8,0)</f>
        <v>#N/A</v>
      </c>
      <c r="AL78" s="61"/>
      <c r="AM78" s="61"/>
      <c r="AN78" s="61"/>
      <c r="AO78" s="58">
        <v>44185</v>
      </c>
      <c r="AP78" s="29" t="e">
        <f>VLOOKUP(A78,'[2]External Scan 02_21'!$B:$J,9,0)</f>
        <v>#N/A</v>
      </c>
      <c r="AQ78" s="29" t="s">
        <v>28</v>
      </c>
      <c r="AR78" s="21"/>
      <c r="AS78" s="21" t="str">
        <f>VLOOKUP(AE78,'ref statu'!A:B,2,0)</f>
        <v>Fixed</v>
      </c>
      <c r="AT78" s="8" t="e">
        <f>VLOOKUP(A78,chk!A:B,2,0)</f>
        <v>#N/A</v>
      </c>
      <c r="AU78" s="29" t="e">
        <f>VLOOKUP(A78,checker!A:B,2,0)</f>
        <v>#N/A</v>
      </c>
      <c r="AV78" s="29" t="e">
        <f>VLOOKUP(A78,checker!B:C,2,0)</f>
        <v>#N/A</v>
      </c>
    </row>
    <row r="79" spans="1:48" x14ac:dyDescent="0.3">
      <c r="A79" s="29" t="str">
        <f t="shared" si="1"/>
        <v>96.692.66.646/0/oracle_linux-cve-2017-15102</v>
      </c>
      <c r="B79" s="61" t="s">
        <v>2997</v>
      </c>
      <c r="C79" s="61" t="s">
        <v>528</v>
      </c>
      <c r="D79" s="61" t="s">
        <v>2964</v>
      </c>
      <c r="E79" s="61" t="s">
        <v>28</v>
      </c>
      <c r="F79" s="61" t="s">
        <v>529</v>
      </c>
      <c r="G79" s="61" t="s">
        <v>530</v>
      </c>
      <c r="H79" s="61" t="s">
        <v>531</v>
      </c>
      <c r="I79" s="37" t="s">
        <v>532</v>
      </c>
      <c r="J79" s="37">
        <v>0</v>
      </c>
      <c r="K79" s="61" t="s">
        <v>258</v>
      </c>
      <c r="L79" s="61" t="s">
        <v>31</v>
      </c>
      <c r="M79" s="9">
        <v>7</v>
      </c>
      <c r="N79" s="10" t="s">
        <v>2540</v>
      </c>
      <c r="O79" s="61" t="s">
        <v>765</v>
      </c>
      <c r="P79" s="61" t="s">
        <v>766</v>
      </c>
      <c r="Q79" s="61" t="s">
        <v>767</v>
      </c>
      <c r="R79" s="61" t="s">
        <v>556</v>
      </c>
      <c r="S79" s="61" t="s">
        <v>768</v>
      </c>
      <c r="T79" s="61" t="s">
        <v>31</v>
      </c>
      <c r="U79" s="61" t="s">
        <v>769</v>
      </c>
      <c r="V79" s="61" t="s">
        <v>770</v>
      </c>
      <c r="W79" s="62">
        <v>43054</v>
      </c>
      <c r="X79" s="37" t="s">
        <v>30</v>
      </c>
      <c r="Y79" s="37">
        <v>0</v>
      </c>
      <c r="Z79" s="37" t="s">
        <v>31</v>
      </c>
      <c r="AA79" s="37" t="s">
        <v>31</v>
      </c>
      <c r="AB79" s="37" t="s">
        <v>513</v>
      </c>
      <c r="AC79" s="61"/>
      <c r="AD79" s="34"/>
      <c r="AE79" s="98" t="s">
        <v>28</v>
      </c>
      <c r="AF79" s="36">
        <v>44191</v>
      </c>
      <c r="AG79" s="36">
        <v>44191</v>
      </c>
      <c r="AH79" s="37"/>
      <c r="AI79" s="72">
        <v>44185</v>
      </c>
      <c r="AJ79" s="38" t="s">
        <v>27</v>
      </c>
      <c r="AK79" s="39" t="e">
        <f>VLOOKUP(A79,'[1]Externe MAJ Nov'!$A:$H,8,0)</f>
        <v>#N/A</v>
      </c>
      <c r="AL79" s="61"/>
      <c r="AM79" s="61"/>
      <c r="AN79" s="61"/>
      <c r="AO79" s="58">
        <v>44185</v>
      </c>
      <c r="AP79" s="29" t="e">
        <f>VLOOKUP(A79,'[2]External Scan 02_21'!$B:$J,9,0)</f>
        <v>#N/A</v>
      </c>
      <c r="AQ79" s="29" t="s">
        <v>28</v>
      </c>
      <c r="AR79" s="21"/>
      <c r="AS79" s="21" t="str">
        <f>VLOOKUP(AE79,'ref statu'!A:B,2,0)</f>
        <v>Fixed</v>
      </c>
      <c r="AT79" s="8" t="e">
        <f>VLOOKUP(A79,chk!A:B,2,0)</f>
        <v>#N/A</v>
      </c>
      <c r="AU79" s="29" t="e">
        <f>VLOOKUP(A79,checker!A:B,2,0)</f>
        <v>#N/A</v>
      </c>
      <c r="AV79" s="29" t="e">
        <f>VLOOKUP(A79,checker!B:C,2,0)</f>
        <v>#N/A</v>
      </c>
    </row>
    <row r="80" spans="1:48" x14ac:dyDescent="0.3">
      <c r="A80" s="29" t="str">
        <f t="shared" si="1"/>
        <v>96.692.66.646/0/oracle_linux-cve-2017-15115</v>
      </c>
      <c r="B80" s="61" t="s">
        <v>2997</v>
      </c>
      <c r="C80" s="61" t="s">
        <v>528</v>
      </c>
      <c r="D80" s="61" t="s">
        <v>2964</v>
      </c>
      <c r="E80" s="61" t="s">
        <v>28</v>
      </c>
      <c r="F80" s="61" t="s">
        <v>529</v>
      </c>
      <c r="G80" s="61" t="s">
        <v>530</v>
      </c>
      <c r="H80" s="61" t="s">
        <v>531</v>
      </c>
      <c r="I80" s="37" t="s">
        <v>532</v>
      </c>
      <c r="J80" s="37">
        <v>0</v>
      </c>
      <c r="K80" s="61" t="s">
        <v>258</v>
      </c>
      <c r="L80" s="61" t="s">
        <v>31</v>
      </c>
      <c r="M80" s="9">
        <v>7</v>
      </c>
      <c r="N80" s="10" t="s">
        <v>2540</v>
      </c>
      <c r="O80" s="61" t="s">
        <v>771</v>
      </c>
      <c r="P80" s="61" t="s">
        <v>772</v>
      </c>
      <c r="Q80" s="61" t="s">
        <v>773</v>
      </c>
      <c r="R80" s="61" t="s">
        <v>556</v>
      </c>
      <c r="S80" s="61" t="s">
        <v>774</v>
      </c>
      <c r="T80" s="61" t="s">
        <v>31</v>
      </c>
      <c r="U80" s="61" t="s">
        <v>775</v>
      </c>
      <c r="V80" s="61" t="s">
        <v>776</v>
      </c>
      <c r="W80" s="62">
        <v>43054</v>
      </c>
      <c r="X80" s="37" t="s">
        <v>30</v>
      </c>
      <c r="Y80" s="37">
        <v>0</v>
      </c>
      <c r="Z80" s="37" t="s">
        <v>31</v>
      </c>
      <c r="AA80" s="37" t="s">
        <v>31</v>
      </c>
      <c r="AB80" s="37" t="s">
        <v>513</v>
      </c>
      <c r="AC80" s="61"/>
      <c r="AD80" s="34"/>
      <c r="AE80" s="98" t="s">
        <v>28</v>
      </c>
      <c r="AF80" s="36">
        <v>44191</v>
      </c>
      <c r="AG80" s="36">
        <v>44191</v>
      </c>
      <c r="AH80" s="37"/>
      <c r="AI80" s="72">
        <v>44185</v>
      </c>
      <c r="AJ80" s="38" t="s">
        <v>27</v>
      </c>
      <c r="AK80" s="39" t="e">
        <f>VLOOKUP(A80,'[1]Externe MAJ Nov'!$A:$H,8,0)</f>
        <v>#N/A</v>
      </c>
      <c r="AL80" s="61"/>
      <c r="AM80" s="61"/>
      <c r="AN80" s="61"/>
      <c r="AO80" s="58">
        <v>44185</v>
      </c>
      <c r="AP80" s="29" t="e">
        <f>VLOOKUP(A80,'[2]External Scan 02_21'!$B:$J,9,0)</f>
        <v>#N/A</v>
      </c>
      <c r="AQ80" s="29" t="s">
        <v>28</v>
      </c>
      <c r="AR80" s="21"/>
      <c r="AS80" s="21" t="str">
        <f>VLOOKUP(AE80,'ref statu'!A:B,2,0)</f>
        <v>Fixed</v>
      </c>
      <c r="AT80" s="8" t="e">
        <f>VLOOKUP(A80,chk!A:B,2,0)</f>
        <v>#N/A</v>
      </c>
      <c r="AU80" s="29" t="e">
        <f>VLOOKUP(A80,checker!A:B,2,0)</f>
        <v>#N/A</v>
      </c>
      <c r="AV80" s="29" t="e">
        <f>VLOOKUP(A80,checker!B:C,2,0)</f>
        <v>#N/A</v>
      </c>
    </row>
    <row r="81" spans="1:48" x14ac:dyDescent="0.3">
      <c r="A81" s="29" t="str">
        <f t="shared" si="1"/>
        <v>96.692.66.646/0/oracle_linux-cve-2017-15116</v>
      </c>
      <c r="B81" s="61" t="s">
        <v>2997</v>
      </c>
      <c r="C81" s="61" t="s">
        <v>528</v>
      </c>
      <c r="D81" s="61" t="s">
        <v>2964</v>
      </c>
      <c r="E81" s="61" t="s">
        <v>28</v>
      </c>
      <c r="F81" s="61" t="s">
        <v>529</v>
      </c>
      <c r="G81" s="61" t="s">
        <v>530</v>
      </c>
      <c r="H81" s="61" t="s">
        <v>531</v>
      </c>
      <c r="I81" s="37" t="s">
        <v>532</v>
      </c>
      <c r="J81" s="37">
        <v>0</v>
      </c>
      <c r="K81" s="61" t="s">
        <v>258</v>
      </c>
      <c r="L81" s="61" t="s">
        <v>31</v>
      </c>
      <c r="M81" s="9">
        <v>5</v>
      </c>
      <c r="N81" s="9" t="s">
        <v>29</v>
      </c>
      <c r="O81" s="61" t="s">
        <v>777</v>
      </c>
      <c r="P81" s="61" t="s">
        <v>778</v>
      </c>
      <c r="Q81" s="61" t="s">
        <v>779</v>
      </c>
      <c r="R81" s="61" t="s">
        <v>661</v>
      </c>
      <c r="S81" s="61" t="s">
        <v>780</v>
      </c>
      <c r="T81" s="61" t="s">
        <v>31</v>
      </c>
      <c r="U81" s="61" t="s">
        <v>781</v>
      </c>
      <c r="V81" s="61" t="s">
        <v>782</v>
      </c>
      <c r="W81" s="62">
        <v>43069</v>
      </c>
      <c r="X81" s="37" t="s">
        <v>30</v>
      </c>
      <c r="Y81" s="37">
        <v>0</v>
      </c>
      <c r="Z81" s="37" t="s">
        <v>31</v>
      </c>
      <c r="AA81" s="37" t="s">
        <v>31</v>
      </c>
      <c r="AB81" s="37" t="s">
        <v>513</v>
      </c>
      <c r="AC81" s="61"/>
      <c r="AD81" s="33"/>
      <c r="AE81" s="98" t="s">
        <v>28</v>
      </c>
      <c r="AF81" s="36">
        <v>44191</v>
      </c>
      <c r="AG81" s="36">
        <v>44191</v>
      </c>
      <c r="AH81" s="37"/>
      <c r="AI81" s="72">
        <v>44185</v>
      </c>
      <c r="AJ81" s="38" t="s">
        <v>27</v>
      </c>
      <c r="AK81" s="39" t="e">
        <f>VLOOKUP(A81,'[1]Externe MAJ Nov'!$A:$H,8,0)</f>
        <v>#N/A</v>
      </c>
      <c r="AL81" s="61"/>
      <c r="AM81" s="61"/>
      <c r="AN81" s="61"/>
      <c r="AO81" s="58">
        <v>44185</v>
      </c>
      <c r="AP81" s="29" t="e">
        <f>VLOOKUP(A81,'[2]External Scan 02_21'!$B:$J,9,0)</f>
        <v>#N/A</v>
      </c>
      <c r="AQ81" s="29" t="s">
        <v>28</v>
      </c>
      <c r="AR81" s="21"/>
      <c r="AS81" s="21" t="str">
        <f>VLOOKUP(AE81,'ref statu'!A:B,2,0)</f>
        <v>Fixed</v>
      </c>
      <c r="AT81" s="8" t="e">
        <f>VLOOKUP(A81,chk!A:B,2,0)</f>
        <v>#N/A</v>
      </c>
      <c r="AU81" s="29" t="e">
        <f>VLOOKUP(A81,checker!A:B,2,0)</f>
        <v>#N/A</v>
      </c>
      <c r="AV81" s="29" t="e">
        <f>VLOOKUP(A81,checker!B:C,2,0)</f>
        <v>#N/A</v>
      </c>
    </row>
    <row r="82" spans="1:48" x14ac:dyDescent="0.3">
      <c r="A82" s="29" t="str">
        <f t="shared" si="1"/>
        <v>96.692.66.646/0/oracle_linux-cve-2017-15128</v>
      </c>
      <c r="B82" s="61" t="s">
        <v>2997</v>
      </c>
      <c r="C82" s="61" t="s">
        <v>528</v>
      </c>
      <c r="D82" s="61" t="s">
        <v>2964</v>
      </c>
      <c r="E82" s="61" t="s">
        <v>28</v>
      </c>
      <c r="F82" s="61" t="s">
        <v>529</v>
      </c>
      <c r="G82" s="61" t="s">
        <v>530</v>
      </c>
      <c r="H82" s="61" t="s">
        <v>531</v>
      </c>
      <c r="I82" s="37" t="s">
        <v>532</v>
      </c>
      <c r="J82" s="37">
        <v>0</v>
      </c>
      <c r="K82" s="61" t="s">
        <v>258</v>
      </c>
      <c r="L82" s="61" t="s">
        <v>31</v>
      </c>
      <c r="M82" s="9">
        <v>5</v>
      </c>
      <c r="N82" s="9" t="s">
        <v>29</v>
      </c>
      <c r="O82" s="61" t="s">
        <v>783</v>
      </c>
      <c r="P82" s="61" t="s">
        <v>784</v>
      </c>
      <c r="Q82" s="61" t="s">
        <v>785</v>
      </c>
      <c r="R82" s="61" t="s">
        <v>536</v>
      </c>
      <c r="S82" s="61" t="s">
        <v>786</v>
      </c>
      <c r="T82" s="61" t="s">
        <v>31</v>
      </c>
      <c r="U82" s="61" t="s">
        <v>787</v>
      </c>
      <c r="V82" s="61" t="s">
        <v>788</v>
      </c>
      <c r="W82" s="62">
        <v>43114</v>
      </c>
      <c r="X82" s="37" t="s">
        <v>30</v>
      </c>
      <c r="Y82" s="37">
        <v>0</v>
      </c>
      <c r="Z82" s="37" t="s">
        <v>31</v>
      </c>
      <c r="AA82" s="37" t="s">
        <v>31</v>
      </c>
      <c r="AB82" s="37" t="s">
        <v>513</v>
      </c>
      <c r="AC82" s="61"/>
      <c r="AD82" s="34"/>
      <c r="AE82" s="98" t="s">
        <v>28</v>
      </c>
      <c r="AF82" s="36">
        <v>44191</v>
      </c>
      <c r="AG82" s="36">
        <v>44191</v>
      </c>
      <c r="AH82" s="37"/>
      <c r="AI82" s="72">
        <v>44185</v>
      </c>
      <c r="AJ82" s="38" t="s">
        <v>27</v>
      </c>
      <c r="AK82" s="39" t="e">
        <f>VLOOKUP(A82,'[1]Externe MAJ Nov'!$A:$H,8,0)</f>
        <v>#N/A</v>
      </c>
      <c r="AL82" s="61"/>
      <c r="AM82" s="61"/>
      <c r="AN82" s="61"/>
      <c r="AO82" s="58">
        <v>44185</v>
      </c>
      <c r="AP82" s="29" t="e">
        <f>VLOOKUP(A82,'[2]External Scan 02_21'!$B:$J,9,0)</f>
        <v>#N/A</v>
      </c>
      <c r="AQ82" s="29" t="s">
        <v>28</v>
      </c>
      <c r="AR82" s="21"/>
      <c r="AS82" s="21" t="str">
        <f>VLOOKUP(AE82,'ref statu'!A:B,2,0)</f>
        <v>Fixed</v>
      </c>
      <c r="AT82" s="8" t="e">
        <f>VLOOKUP(A82,chk!A:B,2,0)</f>
        <v>#N/A</v>
      </c>
      <c r="AU82" s="29" t="e">
        <f>VLOOKUP(A82,checker!A:B,2,0)</f>
        <v>#N/A</v>
      </c>
      <c r="AV82" s="29" t="e">
        <f>VLOOKUP(A82,checker!B:C,2,0)</f>
        <v>#N/A</v>
      </c>
    </row>
    <row r="83" spans="1:48" ht="13.95" customHeight="1" x14ac:dyDescent="0.3">
      <c r="A83" s="29" t="str">
        <f t="shared" si="1"/>
        <v>96.692.66.646/0/oracle_linux-cve-2017-15129</v>
      </c>
      <c r="B83" s="61" t="s">
        <v>2997</v>
      </c>
      <c r="C83" s="61" t="s">
        <v>528</v>
      </c>
      <c r="D83" s="61" t="s">
        <v>2964</v>
      </c>
      <c r="E83" s="61" t="s">
        <v>28</v>
      </c>
      <c r="F83" s="61" t="s">
        <v>529</v>
      </c>
      <c r="G83" s="61" t="s">
        <v>530</v>
      </c>
      <c r="H83" s="61" t="s">
        <v>531</v>
      </c>
      <c r="I83" s="37" t="s">
        <v>532</v>
      </c>
      <c r="J83" s="37">
        <v>0</v>
      </c>
      <c r="K83" s="61" t="s">
        <v>258</v>
      </c>
      <c r="L83" s="61" t="s">
        <v>31</v>
      </c>
      <c r="M83" s="9">
        <v>5</v>
      </c>
      <c r="N83" s="9" t="s">
        <v>29</v>
      </c>
      <c r="O83" s="61" t="s">
        <v>789</v>
      </c>
      <c r="P83" s="61" t="s">
        <v>790</v>
      </c>
      <c r="Q83" s="61" t="s">
        <v>791</v>
      </c>
      <c r="R83" s="61" t="s">
        <v>661</v>
      </c>
      <c r="S83" s="61" t="s">
        <v>792</v>
      </c>
      <c r="T83" s="61" t="s">
        <v>31</v>
      </c>
      <c r="U83" s="61" t="s">
        <v>793</v>
      </c>
      <c r="V83" s="61" t="s">
        <v>794</v>
      </c>
      <c r="W83" s="62">
        <v>43109</v>
      </c>
      <c r="X83" s="37" t="s">
        <v>30</v>
      </c>
      <c r="Y83" s="37">
        <v>0</v>
      </c>
      <c r="Z83" s="37" t="s">
        <v>31</v>
      </c>
      <c r="AA83" s="37" t="s">
        <v>31</v>
      </c>
      <c r="AB83" s="37" t="s">
        <v>513</v>
      </c>
      <c r="AC83" s="61"/>
      <c r="AD83" s="34"/>
      <c r="AE83" s="98" t="s">
        <v>28</v>
      </c>
      <c r="AF83" s="36">
        <v>44191</v>
      </c>
      <c r="AG83" s="36">
        <v>44191</v>
      </c>
      <c r="AH83" s="37"/>
      <c r="AI83" s="72">
        <v>44185</v>
      </c>
      <c r="AJ83" s="38" t="s">
        <v>27</v>
      </c>
      <c r="AK83" s="39" t="e">
        <f>VLOOKUP(A83,'[1]Externe MAJ Nov'!$A:$H,8,0)</f>
        <v>#N/A</v>
      </c>
      <c r="AL83" s="61"/>
      <c r="AM83" s="61"/>
      <c r="AN83" s="61"/>
      <c r="AO83" s="58">
        <v>44185</v>
      </c>
      <c r="AP83" s="29" t="e">
        <f>VLOOKUP(A83,'[2]External Scan 02_21'!$B:$J,9,0)</f>
        <v>#N/A</v>
      </c>
      <c r="AQ83" s="29" t="s">
        <v>28</v>
      </c>
      <c r="AR83" s="21"/>
      <c r="AS83" s="21" t="str">
        <f>VLOOKUP(AE83,'ref statu'!A:B,2,0)</f>
        <v>Fixed</v>
      </c>
      <c r="AT83" s="8" t="e">
        <f>VLOOKUP(A83,chk!A:B,2,0)</f>
        <v>#N/A</v>
      </c>
      <c r="AU83" s="29" t="e">
        <f>VLOOKUP(A83,checker!A:B,2,0)</f>
        <v>#N/A</v>
      </c>
      <c r="AV83" s="29" t="e">
        <f>VLOOKUP(A83,checker!B:C,2,0)</f>
        <v>#N/A</v>
      </c>
    </row>
    <row r="84" spans="1:48" x14ac:dyDescent="0.3">
      <c r="A84" s="29" t="str">
        <f t="shared" si="1"/>
        <v>96.692.66.646/0/oracle_linux-cve-2017-15299</v>
      </c>
      <c r="B84" s="61" t="s">
        <v>2997</v>
      </c>
      <c r="C84" s="61" t="s">
        <v>528</v>
      </c>
      <c r="D84" s="61" t="s">
        <v>2964</v>
      </c>
      <c r="E84" s="61" t="s">
        <v>28</v>
      </c>
      <c r="F84" s="61" t="s">
        <v>529</v>
      </c>
      <c r="G84" s="61" t="s">
        <v>530</v>
      </c>
      <c r="H84" s="61" t="s">
        <v>531</v>
      </c>
      <c r="I84" s="37" t="s">
        <v>532</v>
      </c>
      <c r="J84" s="37">
        <v>0</v>
      </c>
      <c r="K84" s="61" t="s">
        <v>258</v>
      </c>
      <c r="L84" s="61" t="s">
        <v>31</v>
      </c>
      <c r="M84" s="9">
        <v>5</v>
      </c>
      <c r="N84" s="9" t="s">
        <v>29</v>
      </c>
      <c r="O84" s="61" t="s">
        <v>795</v>
      </c>
      <c r="P84" s="61" t="s">
        <v>796</v>
      </c>
      <c r="Q84" s="61" t="s">
        <v>797</v>
      </c>
      <c r="R84" s="61" t="s">
        <v>556</v>
      </c>
      <c r="S84" s="61" t="s">
        <v>798</v>
      </c>
      <c r="T84" s="61" t="s">
        <v>31</v>
      </c>
      <c r="U84" s="61" t="s">
        <v>799</v>
      </c>
      <c r="V84" s="61" t="s">
        <v>800</v>
      </c>
      <c r="W84" s="62">
        <v>43022</v>
      </c>
      <c r="X84" s="37" t="s">
        <v>30</v>
      </c>
      <c r="Y84" s="37">
        <v>0</v>
      </c>
      <c r="Z84" s="37" t="s">
        <v>31</v>
      </c>
      <c r="AA84" s="37" t="s">
        <v>31</v>
      </c>
      <c r="AB84" s="37" t="s">
        <v>513</v>
      </c>
      <c r="AC84" s="61"/>
      <c r="AD84" s="33"/>
      <c r="AE84" s="98" t="s">
        <v>28</v>
      </c>
      <c r="AF84" s="36">
        <v>44191</v>
      </c>
      <c r="AG84" s="36">
        <v>44191</v>
      </c>
      <c r="AH84" s="37"/>
      <c r="AI84" s="72">
        <v>44185</v>
      </c>
      <c r="AJ84" s="38" t="s">
        <v>27</v>
      </c>
      <c r="AK84" s="39" t="e">
        <f>VLOOKUP(A84,'[1]Externe MAJ Nov'!$A:$H,8,0)</f>
        <v>#N/A</v>
      </c>
      <c r="AL84" s="61"/>
      <c r="AM84" s="61"/>
      <c r="AN84" s="61"/>
      <c r="AO84" s="58">
        <v>44185</v>
      </c>
      <c r="AP84" s="29" t="e">
        <f>VLOOKUP(A84,'[2]External Scan 02_21'!$B:$J,9,0)</f>
        <v>#N/A</v>
      </c>
      <c r="AQ84" s="29" t="s">
        <v>28</v>
      </c>
      <c r="AR84" s="21"/>
      <c r="AS84" s="21" t="str">
        <f>VLOOKUP(AE84,'ref statu'!A:B,2,0)</f>
        <v>Fixed</v>
      </c>
      <c r="AT84" s="8" t="e">
        <f>VLOOKUP(A84,chk!A:B,2,0)</f>
        <v>#N/A</v>
      </c>
      <c r="AU84" s="29" t="e">
        <f>VLOOKUP(A84,checker!A:B,2,0)</f>
        <v>#N/A</v>
      </c>
      <c r="AV84" s="29" t="e">
        <f>VLOOKUP(A84,checker!B:C,2,0)</f>
        <v>#N/A</v>
      </c>
    </row>
    <row r="85" spans="1:48" x14ac:dyDescent="0.3">
      <c r="A85" s="29" t="str">
        <f t="shared" si="1"/>
        <v>96.692.66.646/0/oracle_linux-cve-2017-15537</v>
      </c>
      <c r="B85" s="61" t="s">
        <v>2997</v>
      </c>
      <c r="C85" s="61" t="s">
        <v>528</v>
      </c>
      <c r="D85" s="61" t="s">
        <v>2964</v>
      </c>
      <c r="E85" s="61" t="s">
        <v>28</v>
      </c>
      <c r="F85" s="61" t="s">
        <v>529</v>
      </c>
      <c r="G85" s="61" t="s">
        <v>530</v>
      </c>
      <c r="H85" s="61" t="s">
        <v>531</v>
      </c>
      <c r="I85" s="37" t="s">
        <v>532</v>
      </c>
      <c r="J85" s="37">
        <v>0</v>
      </c>
      <c r="K85" s="61" t="s">
        <v>258</v>
      </c>
      <c r="L85" s="61" t="s">
        <v>31</v>
      </c>
      <c r="M85" s="9">
        <v>2</v>
      </c>
      <c r="N85" s="9" t="s">
        <v>42</v>
      </c>
      <c r="O85" s="61" t="s">
        <v>801</v>
      </c>
      <c r="P85" s="61" t="s">
        <v>802</v>
      </c>
      <c r="Q85" s="61" t="s">
        <v>803</v>
      </c>
      <c r="R85" s="61" t="s">
        <v>536</v>
      </c>
      <c r="S85" s="61" t="s">
        <v>804</v>
      </c>
      <c r="T85" s="61" t="s">
        <v>31</v>
      </c>
      <c r="U85" s="61" t="s">
        <v>805</v>
      </c>
      <c r="V85" s="61" t="s">
        <v>806</v>
      </c>
      <c r="W85" s="62">
        <v>43025</v>
      </c>
      <c r="X85" s="37" t="s">
        <v>30</v>
      </c>
      <c r="Y85" s="37">
        <v>0</v>
      </c>
      <c r="Z85" s="37" t="s">
        <v>31</v>
      </c>
      <c r="AA85" s="37" t="s">
        <v>31</v>
      </c>
      <c r="AB85" s="37" t="s">
        <v>513</v>
      </c>
      <c r="AC85" s="61"/>
      <c r="AD85" s="34"/>
      <c r="AE85" s="98" t="s">
        <v>28</v>
      </c>
      <c r="AF85" s="36">
        <v>44191</v>
      </c>
      <c r="AG85" s="36">
        <v>44191</v>
      </c>
      <c r="AH85" s="37"/>
      <c r="AI85" s="72">
        <v>44185</v>
      </c>
      <c r="AJ85" s="38" t="s">
        <v>27</v>
      </c>
      <c r="AK85" s="39" t="e">
        <f>VLOOKUP(A85,'[1]Externe MAJ Nov'!$A:$H,8,0)</f>
        <v>#N/A</v>
      </c>
      <c r="AL85" s="61"/>
      <c r="AM85" s="61"/>
      <c r="AN85" s="61"/>
      <c r="AO85" s="58">
        <v>44185</v>
      </c>
      <c r="AP85" s="29" t="e">
        <f>VLOOKUP(A85,'[2]External Scan 02_21'!$B:$J,9,0)</f>
        <v>#N/A</v>
      </c>
      <c r="AQ85" s="29" t="s">
        <v>28</v>
      </c>
      <c r="AR85" s="21"/>
      <c r="AS85" s="21" t="str">
        <f>VLOOKUP(AE85,'ref statu'!A:B,2,0)</f>
        <v>Fixed</v>
      </c>
      <c r="AT85" s="8" t="e">
        <f>VLOOKUP(A85,chk!A:B,2,0)</f>
        <v>#N/A</v>
      </c>
      <c r="AU85" s="29" t="e">
        <f>VLOOKUP(A85,checker!A:B,2,0)</f>
        <v>#N/A</v>
      </c>
      <c r="AV85" s="29" t="e">
        <f>VLOOKUP(A85,checker!B:C,2,0)</f>
        <v>#N/A</v>
      </c>
    </row>
    <row r="86" spans="1:48" x14ac:dyDescent="0.3">
      <c r="A86" s="29" t="str">
        <f t="shared" si="1"/>
        <v>96.692.66.646/0/oracle_linux-cve-2017-15649</v>
      </c>
      <c r="B86" s="61" t="s">
        <v>2997</v>
      </c>
      <c r="C86" s="61" t="s">
        <v>528</v>
      </c>
      <c r="D86" s="61" t="s">
        <v>2964</v>
      </c>
      <c r="E86" s="61" t="s">
        <v>28</v>
      </c>
      <c r="F86" s="61" t="s">
        <v>529</v>
      </c>
      <c r="G86" s="61" t="s">
        <v>530</v>
      </c>
      <c r="H86" s="61" t="s">
        <v>531</v>
      </c>
      <c r="I86" s="37" t="s">
        <v>532</v>
      </c>
      <c r="J86" s="37">
        <v>0</v>
      </c>
      <c r="K86" s="61" t="s">
        <v>258</v>
      </c>
      <c r="L86" s="61" t="s">
        <v>31</v>
      </c>
      <c r="M86" s="9">
        <v>5</v>
      </c>
      <c r="N86" s="9" t="s">
        <v>29</v>
      </c>
      <c r="O86" s="61" t="s">
        <v>807</v>
      </c>
      <c r="P86" s="61" t="s">
        <v>808</v>
      </c>
      <c r="Q86" s="61" t="s">
        <v>809</v>
      </c>
      <c r="R86" s="61" t="s">
        <v>661</v>
      </c>
      <c r="S86" s="61" t="s">
        <v>810</v>
      </c>
      <c r="T86" s="61" t="s">
        <v>31</v>
      </c>
      <c r="U86" s="61" t="s">
        <v>811</v>
      </c>
      <c r="V86" s="61" t="s">
        <v>812</v>
      </c>
      <c r="W86" s="62">
        <v>43027</v>
      </c>
      <c r="X86" s="37" t="s">
        <v>30</v>
      </c>
      <c r="Y86" s="37">
        <v>1</v>
      </c>
      <c r="Z86" s="37" t="s">
        <v>279</v>
      </c>
      <c r="AA86" s="37" t="s">
        <v>813</v>
      </c>
      <c r="AB86" s="37" t="s">
        <v>513</v>
      </c>
      <c r="AC86" s="61"/>
      <c r="AD86" s="34"/>
      <c r="AE86" s="98" t="s">
        <v>28</v>
      </c>
      <c r="AF86" s="36">
        <v>44191</v>
      </c>
      <c r="AG86" s="36">
        <v>44191</v>
      </c>
      <c r="AH86" s="37"/>
      <c r="AI86" s="72">
        <v>44185</v>
      </c>
      <c r="AJ86" s="38" t="s">
        <v>27</v>
      </c>
      <c r="AK86" s="39" t="e">
        <f>VLOOKUP(A86,'[1]Externe MAJ Nov'!$A:$H,8,0)</f>
        <v>#N/A</v>
      </c>
      <c r="AL86" s="61"/>
      <c r="AM86" s="61"/>
      <c r="AN86" s="61"/>
      <c r="AO86" s="58">
        <v>44185</v>
      </c>
      <c r="AP86" s="29" t="e">
        <f>VLOOKUP(A86,'[2]External Scan 02_21'!$B:$J,9,0)</f>
        <v>#N/A</v>
      </c>
      <c r="AQ86" s="29" t="s">
        <v>28</v>
      </c>
      <c r="AR86" s="21"/>
      <c r="AS86" s="21" t="str">
        <f>VLOOKUP(AE86,'ref statu'!A:B,2,0)</f>
        <v>Fixed</v>
      </c>
      <c r="AT86" s="8" t="e">
        <f>VLOOKUP(A86,chk!A:B,2,0)</f>
        <v>#N/A</v>
      </c>
      <c r="AU86" s="29" t="e">
        <f>VLOOKUP(A86,checker!A:B,2,0)</f>
        <v>#N/A</v>
      </c>
      <c r="AV86" s="29" t="e">
        <f>VLOOKUP(A86,checker!B:C,2,0)</f>
        <v>#N/A</v>
      </c>
    </row>
    <row r="87" spans="1:48" x14ac:dyDescent="0.3">
      <c r="A87" s="29" t="str">
        <f t="shared" si="1"/>
        <v>96.692.66.646/0/oracle_linux-cve-2017-16525</v>
      </c>
      <c r="B87" s="61" t="s">
        <v>2997</v>
      </c>
      <c r="C87" s="61" t="s">
        <v>528</v>
      </c>
      <c r="D87" s="61" t="s">
        <v>2964</v>
      </c>
      <c r="E87" s="61" t="s">
        <v>28</v>
      </c>
      <c r="F87" s="61" t="s">
        <v>529</v>
      </c>
      <c r="G87" s="61" t="s">
        <v>530</v>
      </c>
      <c r="H87" s="61" t="s">
        <v>531</v>
      </c>
      <c r="I87" s="37" t="s">
        <v>532</v>
      </c>
      <c r="J87" s="37">
        <v>0</v>
      </c>
      <c r="K87" s="61" t="s">
        <v>258</v>
      </c>
      <c r="L87" s="61" t="s">
        <v>31</v>
      </c>
      <c r="M87" s="9">
        <v>7</v>
      </c>
      <c r="N87" s="10" t="s">
        <v>2540</v>
      </c>
      <c r="O87" s="61" t="s">
        <v>814</v>
      </c>
      <c r="P87" s="61" t="s">
        <v>815</v>
      </c>
      <c r="Q87" s="61" t="s">
        <v>816</v>
      </c>
      <c r="R87" s="61" t="s">
        <v>556</v>
      </c>
      <c r="S87" s="61" t="s">
        <v>817</v>
      </c>
      <c r="T87" s="61" t="s">
        <v>31</v>
      </c>
      <c r="U87" s="61" t="s">
        <v>818</v>
      </c>
      <c r="V87" s="61" t="s">
        <v>819</v>
      </c>
      <c r="W87" s="62">
        <v>43042</v>
      </c>
      <c r="X87" s="37" t="s">
        <v>30</v>
      </c>
      <c r="Y87" s="37">
        <v>0</v>
      </c>
      <c r="Z87" s="37" t="s">
        <v>31</v>
      </c>
      <c r="AA87" s="37" t="s">
        <v>31</v>
      </c>
      <c r="AB87" s="37" t="s">
        <v>513</v>
      </c>
      <c r="AC87" s="61"/>
      <c r="AD87" s="33"/>
      <c r="AE87" s="98" t="s">
        <v>28</v>
      </c>
      <c r="AF87" s="36">
        <v>44191</v>
      </c>
      <c r="AG87" s="36">
        <v>44191</v>
      </c>
      <c r="AH87" s="37"/>
      <c r="AI87" s="72">
        <v>44185</v>
      </c>
      <c r="AJ87" s="38" t="s">
        <v>27</v>
      </c>
      <c r="AK87" s="39" t="e">
        <f>VLOOKUP(A87,'[1]Externe MAJ Nov'!$A:$H,8,0)</f>
        <v>#N/A</v>
      </c>
      <c r="AL87" s="61"/>
      <c r="AM87" s="61"/>
      <c r="AN87" s="61"/>
      <c r="AO87" s="58">
        <v>44185</v>
      </c>
      <c r="AP87" s="29" t="e">
        <f>VLOOKUP(A87,'[2]External Scan 02_21'!$B:$J,9,0)</f>
        <v>#N/A</v>
      </c>
      <c r="AQ87" s="29" t="s">
        <v>28</v>
      </c>
      <c r="AR87" s="21"/>
      <c r="AS87" s="21" t="str">
        <f>VLOOKUP(AE87,'ref statu'!A:B,2,0)</f>
        <v>Fixed</v>
      </c>
      <c r="AT87" s="8" t="e">
        <f>VLOOKUP(A87,chk!A:B,2,0)</f>
        <v>#N/A</v>
      </c>
      <c r="AU87" s="29" t="e">
        <f>VLOOKUP(A87,checker!A:B,2,0)</f>
        <v>#N/A</v>
      </c>
      <c r="AV87" s="29" t="e">
        <f>VLOOKUP(A87,checker!B:C,2,0)</f>
        <v>#N/A</v>
      </c>
    </row>
    <row r="88" spans="1:48" x14ac:dyDescent="0.3">
      <c r="A88" s="29" t="str">
        <f t="shared" si="1"/>
        <v>96.692.66.646/0/oracle_linux-cve-2017-16526</v>
      </c>
      <c r="B88" s="61" t="s">
        <v>2997</v>
      </c>
      <c r="C88" s="61" t="s">
        <v>528</v>
      </c>
      <c r="D88" s="61" t="s">
        <v>2964</v>
      </c>
      <c r="E88" s="61" t="s">
        <v>28</v>
      </c>
      <c r="F88" s="61" t="s">
        <v>529</v>
      </c>
      <c r="G88" s="61" t="s">
        <v>530</v>
      </c>
      <c r="H88" s="61" t="s">
        <v>531</v>
      </c>
      <c r="I88" s="37" t="s">
        <v>532</v>
      </c>
      <c r="J88" s="37">
        <v>0</v>
      </c>
      <c r="K88" s="61" t="s">
        <v>258</v>
      </c>
      <c r="L88" s="61" t="s">
        <v>31</v>
      </c>
      <c r="M88" s="9">
        <v>7</v>
      </c>
      <c r="N88" s="10" t="s">
        <v>2540</v>
      </c>
      <c r="O88" s="61" t="s">
        <v>820</v>
      </c>
      <c r="P88" s="61" t="s">
        <v>821</v>
      </c>
      <c r="Q88" s="61" t="s">
        <v>822</v>
      </c>
      <c r="R88" s="61" t="s">
        <v>556</v>
      </c>
      <c r="S88" s="61" t="s">
        <v>823</v>
      </c>
      <c r="T88" s="61" t="s">
        <v>31</v>
      </c>
      <c r="U88" s="61" t="s">
        <v>824</v>
      </c>
      <c r="V88" s="61" t="s">
        <v>825</v>
      </c>
      <c r="W88" s="62">
        <v>43042</v>
      </c>
      <c r="X88" s="37" t="s">
        <v>30</v>
      </c>
      <c r="Y88" s="37">
        <v>0</v>
      </c>
      <c r="Z88" s="37" t="s">
        <v>31</v>
      </c>
      <c r="AA88" s="37" t="s">
        <v>31</v>
      </c>
      <c r="AB88" s="37" t="s">
        <v>513</v>
      </c>
      <c r="AC88" s="61"/>
      <c r="AD88" s="34"/>
      <c r="AE88" s="98" t="s">
        <v>28</v>
      </c>
      <c r="AF88" s="36">
        <v>44191</v>
      </c>
      <c r="AG88" s="36">
        <v>44191</v>
      </c>
      <c r="AH88" s="37"/>
      <c r="AI88" s="72">
        <v>44185</v>
      </c>
      <c r="AJ88" s="38" t="s">
        <v>27</v>
      </c>
      <c r="AK88" s="39" t="e">
        <f>VLOOKUP(A88,'[1]Externe MAJ Nov'!$A:$H,8,0)</f>
        <v>#N/A</v>
      </c>
      <c r="AL88" s="61"/>
      <c r="AM88" s="61"/>
      <c r="AN88" s="61"/>
      <c r="AO88" s="58">
        <v>44185</v>
      </c>
      <c r="AP88" s="29" t="e">
        <f>VLOOKUP(A88,'[2]External Scan 02_21'!$B:$J,9,0)</f>
        <v>#N/A</v>
      </c>
      <c r="AQ88" s="29" t="s">
        <v>28</v>
      </c>
      <c r="AR88" s="21"/>
      <c r="AS88" s="21" t="str">
        <f>VLOOKUP(AE88,'ref statu'!A:B,2,0)</f>
        <v>Fixed</v>
      </c>
      <c r="AT88" s="8" t="e">
        <f>VLOOKUP(A88,chk!A:B,2,0)</f>
        <v>#N/A</v>
      </c>
      <c r="AU88" s="29" t="e">
        <f>VLOOKUP(A88,checker!A:B,2,0)</f>
        <v>#N/A</v>
      </c>
      <c r="AV88" s="29" t="e">
        <f>VLOOKUP(A88,checker!B:C,2,0)</f>
        <v>#N/A</v>
      </c>
    </row>
    <row r="89" spans="1:48" x14ac:dyDescent="0.3">
      <c r="A89" s="29" t="str">
        <f t="shared" si="1"/>
        <v>96.692.66.646/0/oracle_linux-cve-2017-16527</v>
      </c>
      <c r="B89" s="61" t="s">
        <v>2997</v>
      </c>
      <c r="C89" s="61" t="s">
        <v>528</v>
      </c>
      <c r="D89" s="61" t="s">
        <v>2964</v>
      </c>
      <c r="E89" s="61" t="s">
        <v>28</v>
      </c>
      <c r="F89" s="61" t="s">
        <v>529</v>
      </c>
      <c r="G89" s="61" t="s">
        <v>530</v>
      </c>
      <c r="H89" s="61" t="s">
        <v>531</v>
      </c>
      <c r="I89" s="37" t="s">
        <v>532</v>
      </c>
      <c r="J89" s="37">
        <v>0</v>
      </c>
      <c r="K89" s="61" t="s">
        <v>258</v>
      </c>
      <c r="L89" s="61" t="s">
        <v>31</v>
      </c>
      <c r="M89" s="9">
        <v>7</v>
      </c>
      <c r="N89" s="10" t="s">
        <v>2540</v>
      </c>
      <c r="O89" s="61" t="s">
        <v>826</v>
      </c>
      <c r="P89" s="61" t="s">
        <v>827</v>
      </c>
      <c r="Q89" s="61" t="s">
        <v>828</v>
      </c>
      <c r="R89" s="61" t="s">
        <v>556</v>
      </c>
      <c r="S89" s="61" t="s">
        <v>829</v>
      </c>
      <c r="T89" s="61" t="s">
        <v>31</v>
      </c>
      <c r="U89" s="61" t="s">
        <v>830</v>
      </c>
      <c r="V89" s="61" t="s">
        <v>831</v>
      </c>
      <c r="W89" s="62">
        <v>43042</v>
      </c>
      <c r="X89" s="37" t="s">
        <v>30</v>
      </c>
      <c r="Y89" s="37">
        <v>0</v>
      </c>
      <c r="Z89" s="37" t="s">
        <v>31</v>
      </c>
      <c r="AA89" s="37" t="s">
        <v>31</v>
      </c>
      <c r="AB89" s="37" t="s">
        <v>513</v>
      </c>
      <c r="AC89" s="61"/>
      <c r="AD89" s="34"/>
      <c r="AE89" s="98" t="s">
        <v>28</v>
      </c>
      <c r="AF89" s="36">
        <v>44191</v>
      </c>
      <c r="AG89" s="36">
        <v>44191</v>
      </c>
      <c r="AH89" s="37"/>
      <c r="AI89" s="72">
        <v>44185</v>
      </c>
      <c r="AJ89" s="38" t="s">
        <v>27</v>
      </c>
      <c r="AK89" s="39" t="e">
        <f>VLOOKUP(A89,'[1]Externe MAJ Nov'!$A:$H,8,0)</f>
        <v>#N/A</v>
      </c>
      <c r="AL89" s="61"/>
      <c r="AM89" s="61"/>
      <c r="AN89" s="61"/>
      <c r="AO89" s="58">
        <v>44185</v>
      </c>
      <c r="AP89" s="29" t="e">
        <f>VLOOKUP(A89,'[2]External Scan 02_21'!$B:$J,9,0)</f>
        <v>#N/A</v>
      </c>
      <c r="AQ89" s="29" t="s">
        <v>28</v>
      </c>
      <c r="AR89" s="21"/>
      <c r="AS89" s="21" t="str">
        <f>VLOOKUP(AE89,'ref statu'!A:B,2,0)</f>
        <v>Fixed</v>
      </c>
      <c r="AT89" s="8" t="e">
        <f>VLOOKUP(A89,chk!A:B,2,0)</f>
        <v>#N/A</v>
      </c>
      <c r="AU89" s="29" t="e">
        <f>VLOOKUP(A89,checker!A:B,2,0)</f>
        <v>#N/A</v>
      </c>
      <c r="AV89" s="29" t="e">
        <f>VLOOKUP(A89,checker!B:C,2,0)</f>
        <v>#N/A</v>
      </c>
    </row>
    <row r="90" spans="1:48" x14ac:dyDescent="0.3">
      <c r="A90" s="29" t="str">
        <f t="shared" si="1"/>
        <v>96.692.66.646/0/oracle_linux-cve-2017-16528</v>
      </c>
      <c r="B90" s="61" t="s">
        <v>2997</v>
      </c>
      <c r="C90" s="61" t="s">
        <v>528</v>
      </c>
      <c r="D90" s="61" t="s">
        <v>2964</v>
      </c>
      <c r="E90" s="61" t="s">
        <v>28</v>
      </c>
      <c r="F90" s="61" t="s">
        <v>529</v>
      </c>
      <c r="G90" s="61" t="s">
        <v>530</v>
      </c>
      <c r="H90" s="61" t="s">
        <v>531</v>
      </c>
      <c r="I90" s="37" t="s">
        <v>532</v>
      </c>
      <c r="J90" s="37">
        <v>0</v>
      </c>
      <c r="K90" s="61" t="s">
        <v>258</v>
      </c>
      <c r="L90" s="61" t="s">
        <v>31</v>
      </c>
      <c r="M90" s="9">
        <v>7</v>
      </c>
      <c r="N90" s="10" t="s">
        <v>2540</v>
      </c>
      <c r="O90" s="61" t="s">
        <v>832</v>
      </c>
      <c r="P90" s="61" t="s">
        <v>833</v>
      </c>
      <c r="Q90" s="61" t="s">
        <v>834</v>
      </c>
      <c r="R90" s="61" t="s">
        <v>536</v>
      </c>
      <c r="S90" s="61" t="s">
        <v>835</v>
      </c>
      <c r="T90" s="61" t="s">
        <v>31</v>
      </c>
      <c r="U90" s="61" t="s">
        <v>836</v>
      </c>
      <c r="V90" s="61" t="s">
        <v>837</v>
      </c>
      <c r="W90" s="62">
        <v>43042</v>
      </c>
      <c r="X90" s="37" t="s">
        <v>30</v>
      </c>
      <c r="Y90" s="37">
        <v>0</v>
      </c>
      <c r="Z90" s="37" t="s">
        <v>31</v>
      </c>
      <c r="AA90" s="37" t="s">
        <v>31</v>
      </c>
      <c r="AB90" s="37" t="s">
        <v>513</v>
      </c>
      <c r="AC90" s="61"/>
      <c r="AD90" s="33"/>
      <c r="AE90" s="98" t="s">
        <v>28</v>
      </c>
      <c r="AF90" s="36">
        <v>44191</v>
      </c>
      <c r="AG90" s="36">
        <v>44191</v>
      </c>
      <c r="AH90" s="37"/>
      <c r="AI90" s="72">
        <v>44185</v>
      </c>
      <c r="AJ90" s="38" t="s">
        <v>27</v>
      </c>
      <c r="AK90" s="39" t="e">
        <f>VLOOKUP(A90,'[1]Externe MAJ Nov'!$A:$H,8,0)</f>
        <v>#N/A</v>
      </c>
      <c r="AL90" s="61"/>
      <c r="AM90" s="61"/>
      <c r="AN90" s="61"/>
      <c r="AO90" s="58">
        <v>44185</v>
      </c>
      <c r="AP90" s="29" t="e">
        <f>VLOOKUP(A90,'[2]External Scan 02_21'!$B:$J,9,0)</f>
        <v>#N/A</v>
      </c>
      <c r="AQ90" s="29" t="s">
        <v>28</v>
      </c>
      <c r="AR90" s="21"/>
      <c r="AS90" s="21" t="str">
        <f>VLOOKUP(AE90,'ref statu'!A:B,2,0)</f>
        <v>Fixed</v>
      </c>
      <c r="AT90" s="8" t="e">
        <f>VLOOKUP(A90,chk!A:B,2,0)</f>
        <v>#N/A</v>
      </c>
      <c r="AU90" s="29" t="e">
        <f>VLOOKUP(A90,checker!A:B,2,0)</f>
        <v>#N/A</v>
      </c>
      <c r="AV90" s="29" t="e">
        <f>VLOOKUP(A90,checker!B:C,2,0)</f>
        <v>#N/A</v>
      </c>
    </row>
    <row r="91" spans="1:48" x14ac:dyDescent="0.3">
      <c r="A91" s="29" t="str">
        <f t="shared" si="1"/>
        <v>96.692.66.646/0/oracle_linux-cve-2017-16529</v>
      </c>
      <c r="B91" s="61" t="s">
        <v>2997</v>
      </c>
      <c r="C91" s="61" t="s">
        <v>528</v>
      </c>
      <c r="D91" s="61" t="s">
        <v>2964</v>
      </c>
      <c r="E91" s="61" t="s">
        <v>28</v>
      </c>
      <c r="F91" s="61" t="s">
        <v>529</v>
      </c>
      <c r="G91" s="61" t="s">
        <v>530</v>
      </c>
      <c r="H91" s="61" t="s">
        <v>531</v>
      </c>
      <c r="I91" s="37" t="s">
        <v>532</v>
      </c>
      <c r="J91" s="37">
        <v>0</v>
      </c>
      <c r="K91" s="61" t="s">
        <v>258</v>
      </c>
      <c r="L91" s="61" t="s">
        <v>31</v>
      </c>
      <c r="M91" s="9">
        <v>7</v>
      </c>
      <c r="N91" s="10" t="s">
        <v>2540</v>
      </c>
      <c r="O91" s="61" t="s">
        <v>838</v>
      </c>
      <c r="P91" s="61" t="s">
        <v>839</v>
      </c>
      <c r="Q91" s="61" t="s">
        <v>840</v>
      </c>
      <c r="R91" s="61" t="s">
        <v>556</v>
      </c>
      <c r="S91" s="61" t="s">
        <v>841</v>
      </c>
      <c r="T91" s="61" t="s">
        <v>31</v>
      </c>
      <c r="U91" s="61" t="s">
        <v>842</v>
      </c>
      <c r="V91" s="61" t="s">
        <v>843</v>
      </c>
      <c r="W91" s="62">
        <v>43042</v>
      </c>
      <c r="X91" s="37" t="s">
        <v>30</v>
      </c>
      <c r="Y91" s="37">
        <v>0</v>
      </c>
      <c r="Z91" s="37" t="s">
        <v>31</v>
      </c>
      <c r="AA91" s="37" t="s">
        <v>31</v>
      </c>
      <c r="AB91" s="37" t="s">
        <v>513</v>
      </c>
      <c r="AC91" s="61"/>
      <c r="AD91" s="34"/>
      <c r="AE91" s="98" t="s">
        <v>28</v>
      </c>
      <c r="AF91" s="36">
        <v>44191</v>
      </c>
      <c r="AG91" s="36">
        <v>44191</v>
      </c>
      <c r="AH91" s="37"/>
      <c r="AI91" s="72">
        <v>44185</v>
      </c>
      <c r="AJ91" s="38" t="s">
        <v>27</v>
      </c>
      <c r="AK91" s="39" t="e">
        <f>VLOOKUP(A91,'[1]Externe MAJ Nov'!$A:$H,8,0)</f>
        <v>#N/A</v>
      </c>
      <c r="AL91" s="61"/>
      <c r="AM91" s="61"/>
      <c r="AN91" s="61"/>
      <c r="AO91" s="58">
        <v>44185</v>
      </c>
      <c r="AP91" s="29" t="e">
        <f>VLOOKUP(A91,'[2]External Scan 02_21'!$B:$J,9,0)</f>
        <v>#N/A</v>
      </c>
      <c r="AQ91" s="29" t="s">
        <v>28</v>
      </c>
      <c r="AR91" s="21"/>
      <c r="AS91" s="21" t="str">
        <f>VLOOKUP(AE91,'ref statu'!A:B,2,0)</f>
        <v>Fixed</v>
      </c>
      <c r="AT91" s="8" t="e">
        <f>VLOOKUP(A91,chk!A:B,2,0)</f>
        <v>#N/A</v>
      </c>
      <c r="AU91" s="29" t="e">
        <f>VLOOKUP(A91,checker!A:B,2,0)</f>
        <v>#N/A</v>
      </c>
      <c r="AV91" s="29" t="e">
        <f>VLOOKUP(A91,checker!B:C,2,0)</f>
        <v>#N/A</v>
      </c>
    </row>
    <row r="92" spans="1:48" x14ac:dyDescent="0.3">
      <c r="A92" s="29" t="str">
        <f t="shared" si="1"/>
        <v>96.692.66.646/0/oracle_linux-cve-2017-16530</v>
      </c>
      <c r="B92" s="61" t="s">
        <v>2997</v>
      </c>
      <c r="C92" s="61" t="s">
        <v>528</v>
      </c>
      <c r="D92" s="61" t="s">
        <v>2964</v>
      </c>
      <c r="E92" s="61" t="s">
        <v>28</v>
      </c>
      <c r="F92" s="61" t="s">
        <v>529</v>
      </c>
      <c r="G92" s="61" t="s">
        <v>530</v>
      </c>
      <c r="H92" s="61" t="s">
        <v>531</v>
      </c>
      <c r="I92" s="37" t="s">
        <v>532</v>
      </c>
      <c r="J92" s="37">
        <v>0</v>
      </c>
      <c r="K92" s="61" t="s">
        <v>258</v>
      </c>
      <c r="L92" s="61" t="s">
        <v>31</v>
      </c>
      <c r="M92" s="9">
        <v>7</v>
      </c>
      <c r="N92" s="10" t="s">
        <v>2540</v>
      </c>
      <c r="O92" s="61" t="s">
        <v>844</v>
      </c>
      <c r="P92" s="61" t="s">
        <v>845</v>
      </c>
      <c r="Q92" s="61" t="s">
        <v>846</v>
      </c>
      <c r="R92" s="61" t="s">
        <v>536</v>
      </c>
      <c r="S92" s="61" t="s">
        <v>847</v>
      </c>
      <c r="T92" s="61" t="s">
        <v>31</v>
      </c>
      <c r="U92" s="61" t="s">
        <v>848</v>
      </c>
      <c r="V92" s="61" t="s">
        <v>849</v>
      </c>
      <c r="W92" s="62">
        <v>43042</v>
      </c>
      <c r="X92" s="37" t="s">
        <v>30</v>
      </c>
      <c r="Y92" s="37">
        <v>0</v>
      </c>
      <c r="Z92" s="37" t="s">
        <v>31</v>
      </c>
      <c r="AA92" s="37" t="s">
        <v>31</v>
      </c>
      <c r="AB92" s="37" t="s">
        <v>513</v>
      </c>
      <c r="AC92" s="61"/>
      <c r="AD92" s="34"/>
      <c r="AE92" s="98" t="s">
        <v>28</v>
      </c>
      <c r="AF92" s="36">
        <v>44191</v>
      </c>
      <c r="AG92" s="36">
        <v>44191</v>
      </c>
      <c r="AH92" s="37"/>
      <c r="AI92" s="72">
        <v>44185</v>
      </c>
      <c r="AJ92" s="38" t="s">
        <v>27</v>
      </c>
      <c r="AK92" s="39" t="e">
        <f>VLOOKUP(A92,'[1]Externe MAJ Nov'!$A:$H,8,0)</f>
        <v>#N/A</v>
      </c>
      <c r="AL92" s="61"/>
      <c r="AM92" s="61"/>
      <c r="AN92" s="61"/>
      <c r="AO92" s="58">
        <v>44185</v>
      </c>
      <c r="AP92" s="29" t="e">
        <f>VLOOKUP(A92,'[2]External Scan 02_21'!$B:$J,9,0)</f>
        <v>#N/A</v>
      </c>
      <c r="AQ92" s="29" t="s">
        <v>28</v>
      </c>
      <c r="AR92" s="21"/>
      <c r="AS92" s="21" t="str">
        <f>VLOOKUP(AE92,'ref statu'!A:B,2,0)</f>
        <v>Fixed</v>
      </c>
      <c r="AT92" s="8" t="e">
        <f>VLOOKUP(A92,chk!A:B,2,0)</f>
        <v>#N/A</v>
      </c>
      <c r="AU92" s="29" t="e">
        <f>VLOOKUP(A92,checker!A:B,2,0)</f>
        <v>#N/A</v>
      </c>
      <c r="AV92" s="29" t="e">
        <f>VLOOKUP(A92,checker!B:C,2,0)</f>
        <v>#N/A</v>
      </c>
    </row>
    <row r="93" spans="1:48" x14ac:dyDescent="0.3">
      <c r="A93" s="29" t="str">
        <f t="shared" si="1"/>
        <v>96.692.66.646/0/oracle_linux-cve-2017-16531</v>
      </c>
      <c r="B93" s="61" t="s">
        <v>2997</v>
      </c>
      <c r="C93" s="61" t="s">
        <v>528</v>
      </c>
      <c r="D93" s="61" t="s">
        <v>2964</v>
      </c>
      <c r="E93" s="61" t="s">
        <v>28</v>
      </c>
      <c r="F93" s="61" t="s">
        <v>529</v>
      </c>
      <c r="G93" s="61" t="s">
        <v>530</v>
      </c>
      <c r="H93" s="61" t="s">
        <v>531</v>
      </c>
      <c r="I93" s="37" t="s">
        <v>532</v>
      </c>
      <c r="J93" s="37">
        <v>0</v>
      </c>
      <c r="K93" s="61" t="s">
        <v>258</v>
      </c>
      <c r="L93" s="61" t="s">
        <v>31</v>
      </c>
      <c r="M93" s="9">
        <v>7</v>
      </c>
      <c r="N93" s="10" t="s">
        <v>2540</v>
      </c>
      <c r="O93" s="61" t="s">
        <v>850</v>
      </c>
      <c r="P93" s="61" t="s">
        <v>851</v>
      </c>
      <c r="Q93" s="61" t="s">
        <v>852</v>
      </c>
      <c r="R93" s="61" t="s">
        <v>556</v>
      </c>
      <c r="S93" s="61" t="s">
        <v>853</v>
      </c>
      <c r="T93" s="61" t="s">
        <v>31</v>
      </c>
      <c r="U93" s="61" t="s">
        <v>854</v>
      </c>
      <c r="V93" s="61" t="s">
        <v>855</v>
      </c>
      <c r="W93" s="62">
        <v>43042</v>
      </c>
      <c r="X93" s="37" t="s">
        <v>30</v>
      </c>
      <c r="Y93" s="37">
        <v>0</v>
      </c>
      <c r="Z93" s="37" t="s">
        <v>31</v>
      </c>
      <c r="AA93" s="37" t="s">
        <v>31</v>
      </c>
      <c r="AB93" s="37" t="s">
        <v>513</v>
      </c>
      <c r="AC93" s="61"/>
      <c r="AD93" s="33"/>
      <c r="AE93" s="98" t="s">
        <v>28</v>
      </c>
      <c r="AF93" s="36">
        <v>44191</v>
      </c>
      <c r="AG93" s="36">
        <v>44191</v>
      </c>
      <c r="AH93" s="37"/>
      <c r="AI93" s="72">
        <v>44185</v>
      </c>
      <c r="AJ93" s="38" t="s">
        <v>27</v>
      </c>
      <c r="AK93" s="39" t="e">
        <f>VLOOKUP(A93,'[1]Externe MAJ Nov'!$A:$H,8,0)</f>
        <v>#N/A</v>
      </c>
      <c r="AL93" s="61"/>
      <c r="AM93" s="61"/>
      <c r="AN93" s="61"/>
      <c r="AO93" s="58">
        <v>44185</v>
      </c>
      <c r="AP93" s="29" t="e">
        <f>VLOOKUP(A93,'[2]External Scan 02_21'!$B:$J,9,0)</f>
        <v>#N/A</v>
      </c>
      <c r="AQ93" s="29" t="s">
        <v>28</v>
      </c>
      <c r="AR93" s="21"/>
      <c r="AS93" s="21" t="str">
        <f>VLOOKUP(AE93,'ref statu'!A:B,2,0)</f>
        <v>Fixed</v>
      </c>
      <c r="AT93" s="8" t="e">
        <f>VLOOKUP(A93,chk!A:B,2,0)</f>
        <v>#N/A</v>
      </c>
      <c r="AU93" s="29" t="e">
        <f>VLOOKUP(A93,checker!A:B,2,0)</f>
        <v>#N/A</v>
      </c>
      <c r="AV93" s="29" t="e">
        <f>VLOOKUP(A93,checker!B:C,2,0)</f>
        <v>#N/A</v>
      </c>
    </row>
    <row r="94" spans="1:48" x14ac:dyDescent="0.3">
      <c r="A94" s="29" t="str">
        <f t="shared" si="1"/>
        <v>96.692.66.646/0/oracle_linux-cve-2017-16532</v>
      </c>
      <c r="B94" s="61" t="s">
        <v>2997</v>
      </c>
      <c r="C94" s="61" t="s">
        <v>528</v>
      </c>
      <c r="D94" s="61" t="s">
        <v>2964</v>
      </c>
      <c r="E94" s="61" t="s">
        <v>28</v>
      </c>
      <c r="F94" s="61" t="s">
        <v>529</v>
      </c>
      <c r="G94" s="61" t="s">
        <v>530</v>
      </c>
      <c r="H94" s="61" t="s">
        <v>531</v>
      </c>
      <c r="I94" s="37" t="s">
        <v>532</v>
      </c>
      <c r="J94" s="37">
        <v>0</v>
      </c>
      <c r="K94" s="61" t="s">
        <v>258</v>
      </c>
      <c r="L94" s="61" t="s">
        <v>31</v>
      </c>
      <c r="M94" s="9">
        <v>7</v>
      </c>
      <c r="N94" s="10" t="s">
        <v>2540</v>
      </c>
      <c r="O94" s="61" t="s">
        <v>856</v>
      </c>
      <c r="P94" s="61" t="s">
        <v>857</v>
      </c>
      <c r="Q94" s="61" t="s">
        <v>858</v>
      </c>
      <c r="R94" s="61" t="s">
        <v>556</v>
      </c>
      <c r="S94" s="61" t="s">
        <v>859</v>
      </c>
      <c r="T94" s="61" t="s">
        <v>31</v>
      </c>
      <c r="U94" s="61" t="s">
        <v>860</v>
      </c>
      <c r="V94" s="61" t="s">
        <v>861</v>
      </c>
      <c r="W94" s="62">
        <v>43042</v>
      </c>
      <c r="X94" s="37" t="s">
        <v>30</v>
      </c>
      <c r="Y94" s="37">
        <v>0</v>
      </c>
      <c r="Z94" s="37" t="s">
        <v>31</v>
      </c>
      <c r="AA94" s="37" t="s">
        <v>31</v>
      </c>
      <c r="AB94" s="37" t="s">
        <v>513</v>
      </c>
      <c r="AC94" s="61"/>
      <c r="AD94" s="34"/>
      <c r="AE94" s="98" t="s">
        <v>28</v>
      </c>
      <c r="AF94" s="36">
        <v>44191</v>
      </c>
      <c r="AG94" s="36">
        <v>44191</v>
      </c>
      <c r="AH94" s="37"/>
      <c r="AI94" s="72">
        <v>44185</v>
      </c>
      <c r="AJ94" s="38" t="s">
        <v>27</v>
      </c>
      <c r="AK94" s="39" t="e">
        <f>VLOOKUP(A94,'[1]Externe MAJ Nov'!$A:$H,8,0)</f>
        <v>#N/A</v>
      </c>
      <c r="AL94" s="61"/>
      <c r="AM94" s="61"/>
      <c r="AN94" s="61"/>
      <c r="AO94" s="58">
        <v>44185</v>
      </c>
      <c r="AP94" s="29" t="e">
        <f>VLOOKUP(A94,'[2]External Scan 02_21'!$B:$J,9,0)</f>
        <v>#N/A</v>
      </c>
      <c r="AQ94" s="29" t="s">
        <v>28</v>
      </c>
      <c r="AR94" s="21"/>
      <c r="AS94" s="21" t="str">
        <f>VLOOKUP(AE94,'ref statu'!A:B,2,0)</f>
        <v>Fixed</v>
      </c>
      <c r="AT94" s="8" t="e">
        <f>VLOOKUP(A94,chk!A:B,2,0)</f>
        <v>#N/A</v>
      </c>
      <c r="AU94" s="29" t="e">
        <f>VLOOKUP(A94,checker!A:B,2,0)</f>
        <v>#N/A</v>
      </c>
      <c r="AV94" s="29" t="e">
        <f>VLOOKUP(A94,checker!B:C,2,0)</f>
        <v>#N/A</v>
      </c>
    </row>
    <row r="95" spans="1:48" x14ac:dyDescent="0.3">
      <c r="A95" s="29" t="str">
        <f t="shared" si="1"/>
        <v>96.692.66.646/0/oracle_linux-cve-2017-16533</v>
      </c>
      <c r="B95" s="61" t="s">
        <v>2997</v>
      </c>
      <c r="C95" s="61" t="s">
        <v>528</v>
      </c>
      <c r="D95" s="61" t="s">
        <v>2964</v>
      </c>
      <c r="E95" s="61" t="s">
        <v>28</v>
      </c>
      <c r="F95" s="61" t="s">
        <v>529</v>
      </c>
      <c r="G95" s="61" t="s">
        <v>530</v>
      </c>
      <c r="H95" s="61" t="s">
        <v>531</v>
      </c>
      <c r="I95" s="37" t="s">
        <v>532</v>
      </c>
      <c r="J95" s="37">
        <v>0</v>
      </c>
      <c r="K95" s="61" t="s">
        <v>258</v>
      </c>
      <c r="L95" s="61" t="s">
        <v>31</v>
      </c>
      <c r="M95" s="9">
        <v>7</v>
      </c>
      <c r="N95" s="10" t="s">
        <v>2540</v>
      </c>
      <c r="O95" s="61" t="s">
        <v>862</v>
      </c>
      <c r="P95" s="61" t="s">
        <v>863</v>
      </c>
      <c r="Q95" s="61" t="s">
        <v>864</v>
      </c>
      <c r="R95" s="61" t="s">
        <v>556</v>
      </c>
      <c r="S95" s="61" t="s">
        <v>865</v>
      </c>
      <c r="T95" s="61" t="s">
        <v>31</v>
      </c>
      <c r="U95" s="61" t="s">
        <v>866</v>
      </c>
      <c r="V95" s="61" t="s">
        <v>867</v>
      </c>
      <c r="W95" s="62">
        <v>43042</v>
      </c>
      <c r="X95" s="37" t="s">
        <v>30</v>
      </c>
      <c r="Y95" s="37">
        <v>0</v>
      </c>
      <c r="Z95" s="37" t="s">
        <v>31</v>
      </c>
      <c r="AA95" s="37" t="s">
        <v>31</v>
      </c>
      <c r="AB95" s="37" t="s">
        <v>513</v>
      </c>
      <c r="AC95" s="61"/>
      <c r="AD95" s="34"/>
      <c r="AE95" s="98" t="s">
        <v>28</v>
      </c>
      <c r="AF95" s="36">
        <v>44191</v>
      </c>
      <c r="AG95" s="36">
        <v>44191</v>
      </c>
      <c r="AH95" s="37"/>
      <c r="AI95" s="72">
        <v>44185</v>
      </c>
      <c r="AJ95" s="38" t="s">
        <v>27</v>
      </c>
      <c r="AK95" s="39" t="e">
        <f>VLOOKUP(A95,'[1]Externe MAJ Nov'!$A:$H,8,0)</f>
        <v>#N/A</v>
      </c>
      <c r="AL95" s="61"/>
      <c r="AM95" s="61"/>
      <c r="AN95" s="61"/>
      <c r="AO95" s="58">
        <v>44185</v>
      </c>
      <c r="AP95" s="29" t="e">
        <f>VLOOKUP(A95,'[2]External Scan 02_21'!$B:$J,9,0)</f>
        <v>#N/A</v>
      </c>
      <c r="AQ95" s="29" t="s">
        <v>28</v>
      </c>
      <c r="AR95" s="21"/>
      <c r="AS95" s="21" t="str">
        <f>VLOOKUP(AE95,'ref statu'!A:B,2,0)</f>
        <v>Fixed</v>
      </c>
      <c r="AT95" s="8" t="e">
        <f>VLOOKUP(A95,chk!A:B,2,0)</f>
        <v>#N/A</v>
      </c>
      <c r="AU95" s="29" t="e">
        <f>VLOOKUP(A95,checker!A:B,2,0)</f>
        <v>#N/A</v>
      </c>
      <c r="AV95" s="29" t="e">
        <f>VLOOKUP(A95,checker!B:C,2,0)</f>
        <v>#N/A</v>
      </c>
    </row>
    <row r="96" spans="1:48" x14ac:dyDescent="0.3">
      <c r="A96" s="29" t="str">
        <f t="shared" si="1"/>
        <v>96.692.66.646/0/oracle_linux-cve-2017-16535</v>
      </c>
      <c r="B96" s="61" t="s">
        <v>2997</v>
      </c>
      <c r="C96" s="61" t="s">
        <v>528</v>
      </c>
      <c r="D96" s="61" t="s">
        <v>2964</v>
      </c>
      <c r="E96" s="61" t="s">
        <v>28</v>
      </c>
      <c r="F96" s="61" t="s">
        <v>529</v>
      </c>
      <c r="G96" s="61" t="s">
        <v>530</v>
      </c>
      <c r="H96" s="61" t="s">
        <v>531</v>
      </c>
      <c r="I96" s="37" t="s">
        <v>532</v>
      </c>
      <c r="J96" s="37">
        <v>0</v>
      </c>
      <c r="K96" s="61" t="s">
        <v>258</v>
      </c>
      <c r="L96" s="61" t="s">
        <v>31</v>
      </c>
      <c r="M96" s="9">
        <v>7</v>
      </c>
      <c r="N96" s="10" t="s">
        <v>2540</v>
      </c>
      <c r="O96" s="61" t="s">
        <v>868</v>
      </c>
      <c r="P96" s="61" t="s">
        <v>869</v>
      </c>
      <c r="Q96" s="61" t="s">
        <v>870</v>
      </c>
      <c r="R96" s="61" t="s">
        <v>556</v>
      </c>
      <c r="S96" s="61" t="s">
        <v>871</v>
      </c>
      <c r="T96" s="61" t="s">
        <v>31</v>
      </c>
      <c r="U96" s="61" t="s">
        <v>872</v>
      </c>
      <c r="V96" s="61" t="s">
        <v>873</v>
      </c>
      <c r="W96" s="62">
        <v>43042</v>
      </c>
      <c r="X96" s="37" t="s">
        <v>30</v>
      </c>
      <c r="Y96" s="37">
        <v>0</v>
      </c>
      <c r="Z96" s="37" t="s">
        <v>31</v>
      </c>
      <c r="AA96" s="37" t="s">
        <v>31</v>
      </c>
      <c r="AB96" s="37" t="s">
        <v>513</v>
      </c>
      <c r="AC96" s="61"/>
      <c r="AD96" s="33"/>
      <c r="AE96" s="98" t="s">
        <v>28</v>
      </c>
      <c r="AF96" s="36">
        <v>44191</v>
      </c>
      <c r="AG96" s="36">
        <v>44191</v>
      </c>
      <c r="AH96" s="37"/>
      <c r="AI96" s="72">
        <v>44185</v>
      </c>
      <c r="AJ96" s="38" t="s">
        <v>27</v>
      </c>
      <c r="AK96" s="39" t="e">
        <f>VLOOKUP(A96,'[1]Externe MAJ Nov'!$A:$H,8,0)</f>
        <v>#N/A</v>
      </c>
      <c r="AL96" s="61"/>
      <c r="AM96" s="61"/>
      <c r="AN96" s="61"/>
      <c r="AO96" s="58">
        <v>44185</v>
      </c>
      <c r="AP96" s="29" t="e">
        <f>VLOOKUP(A96,'[2]External Scan 02_21'!$B:$J,9,0)</f>
        <v>#N/A</v>
      </c>
      <c r="AQ96" s="29" t="s">
        <v>28</v>
      </c>
      <c r="AR96" s="21"/>
      <c r="AS96" s="21" t="str">
        <f>VLOOKUP(AE96,'ref statu'!A:B,2,0)</f>
        <v>Fixed</v>
      </c>
      <c r="AT96" s="8" t="e">
        <f>VLOOKUP(A96,chk!A:B,2,0)</f>
        <v>#N/A</v>
      </c>
      <c r="AU96" s="29" t="e">
        <f>VLOOKUP(A96,checker!A:B,2,0)</f>
        <v>#N/A</v>
      </c>
      <c r="AV96" s="29" t="e">
        <f>VLOOKUP(A96,checker!B:C,2,0)</f>
        <v>#N/A</v>
      </c>
    </row>
    <row r="97" spans="1:48" x14ac:dyDescent="0.3">
      <c r="A97" s="29" t="str">
        <f t="shared" si="1"/>
        <v>96.692.66.646/0/oracle_linux-cve-2017-16536</v>
      </c>
      <c r="B97" s="61" t="s">
        <v>2997</v>
      </c>
      <c r="C97" s="61" t="s">
        <v>528</v>
      </c>
      <c r="D97" s="61" t="s">
        <v>2964</v>
      </c>
      <c r="E97" s="61" t="s">
        <v>28</v>
      </c>
      <c r="F97" s="61" t="s">
        <v>529</v>
      </c>
      <c r="G97" s="61" t="s">
        <v>530</v>
      </c>
      <c r="H97" s="61" t="s">
        <v>531</v>
      </c>
      <c r="I97" s="37" t="s">
        <v>532</v>
      </c>
      <c r="J97" s="37">
        <v>0</v>
      </c>
      <c r="K97" s="61" t="s">
        <v>258</v>
      </c>
      <c r="L97" s="61" t="s">
        <v>31</v>
      </c>
      <c r="M97" s="9">
        <v>7</v>
      </c>
      <c r="N97" s="10" t="s">
        <v>2540</v>
      </c>
      <c r="O97" s="61" t="s">
        <v>874</v>
      </c>
      <c r="P97" s="61" t="s">
        <v>875</v>
      </c>
      <c r="Q97" s="61" t="s">
        <v>876</v>
      </c>
      <c r="R97" s="61" t="s">
        <v>556</v>
      </c>
      <c r="S97" s="61" t="s">
        <v>877</v>
      </c>
      <c r="T97" s="61" t="s">
        <v>31</v>
      </c>
      <c r="U97" s="61" t="s">
        <v>878</v>
      </c>
      <c r="V97" s="61" t="s">
        <v>879</v>
      </c>
      <c r="W97" s="62">
        <v>43042</v>
      </c>
      <c r="X97" s="37" t="s">
        <v>30</v>
      </c>
      <c r="Y97" s="37">
        <v>0</v>
      </c>
      <c r="Z97" s="37" t="s">
        <v>31</v>
      </c>
      <c r="AA97" s="37" t="s">
        <v>31</v>
      </c>
      <c r="AB97" s="37" t="s">
        <v>513</v>
      </c>
      <c r="AC97" s="61"/>
      <c r="AD97" s="34"/>
      <c r="AE97" s="98" t="s">
        <v>28</v>
      </c>
      <c r="AF97" s="36">
        <v>44191</v>
      </c>
      <c r="AG97" s="36">
        <v>44191</v>
      </c>
      <c r="AH97" s="37"/>
      <c r="AI97" s="72">
        <v>44185</v>
      </c>
      <c r="AJ97" s="38" t="s">
        <v>27</v>
      </c>
      <c r="AK97" s="39" t="e">
        <f>VLOOKUP(A97,'[1]Externe MAJ Nov'!$A:$H,8,0)</f>
        <v>#N/A</v>
      </c>
      <c r="AL97" s="61"/>
      <c r="AM97" s="61"/>
      <c r="AN97" s="61"/>
      <c r="AO97" s="58">
        <v>44185</v>
      </c>
      <c r="AP97" s="29" t="e">
        <f>VLOOKUP(A97,'[2]External Scan 02_21'!$B:$J,9,0)</f>
        <v>#N/A</v>
      </c>
      <c r="AQ97" s="29" t="s">
        <v>28</v>
      </c>
      <c r="AR97" s="21"/>
      <c r="AS97" s="21" t="str">
        <f>VLOOKUP(AE97,'ref statu'!A:B,2,0)</f>
        <v>Fixed</v>
      </c>
      <c r="AT97" s="8" t="e">
        <f>VLOOKUP(A97,chk!A:B,2,0)</f>
        <v>#N/A</v>
      </c>
      <c r="AU97" s="29" t="e">
        <f>VLOOKUP(A97,checker!A:B,2,0)</f>
        <v>#N/A</v>
      </c>
      <c r="AV97" s="29" t="e">
        <f>VLOOKUP(A97,checker!B:C,2,0)</f>
        <v>#N/A</v>
      </c>
    </row>
    <row r="98" spans="1:48" x14ac:dyDescent="0.3">
      <c r="A98" s="29" t="str">
        <f t="shared" si="1"/>
        <v>96.692.66.646/0/oracle_linux-cve-2017-16538</v>
      </c>
      <c r="B98" s="61" t="s">
        <v>2997</v>
      </c>
      <c r="C98" s="61" t="s">
        <v>528</v>
      </c>
      <c r="D98" s="61" t="s">
        <v>2964</v>
      </c>
      <c r="E98" s="61" t="s">
        <v>28</v>
      </c>
      <c r="F98" s="61" t="s">
        <v>529</v>
      </c>
      <c r="G98" s="61" t="s">
        <v>530</v>
      </c>
      <c r="H98" s="61" t="s">
        <v>531</v>
      </c>
      <c r="I98" s="37" t="s">
        <v>532</v>
      </c>
      <c r="J98" s="37">
        <v>0</v>
      </c>
      <c r="K98" s="61" t="s">
        <v>258</v>
      </c>
      <c r="L98" s="61" t="s">
        <v>31</v>
      </c>
      <c r="M98" s="9">
        <v>7</v>
      </c>
      <c r="N98" s="10" t="s">
        <v>2540</v>
      </c>
      <c r="O98" s="61" t="s">
        <v>880</v>
      </c>
      <c r="P98" s="61" t="s">
        <v>881</v>
      </c>
      <c r="Q98" s="61" t="s">
        <v>882</v>
      </c>
      <c r="R98" s="61" t="s">
        <v>536</v>
      </c>
      <c r="S98" s="61" t="s">
        <v>883</v>
      </c>
      <c r="T98" s="61" t="s">
        <v>31</v>
      </c>
      <c r="U98" s="61" t="s">
        <v>884</v>
      </c>
      <c r="V98" s="61" t="s">
        <v>885</v>
      </c>
      <c r="W98" s="62">
        <v>43042</v>
      </c>
      <c r="X98" s="37" t="s">
        <v>30</v>
      </c>
      <c r="Y98" s="37">
        <v>0</v>
      </c>
      <c r="Z98" s="37" t="s">
        <v>31</v>
      </c>
      <c r="AA98" s="37" t="s">
        <v>31</v>
      </c>
      <c r="AB98" s="37" t="s">
        <v>513</v>
      </c>
      <c r="AC98" s="61"/>
      <c r="AD98" s="34"/>
      <c r="AE98" s="98" t="s">
        <v>28</v>
      </c>
      <c r="AF98" s="36">
        <v>44191</v>
      </c>
      <c r="AG98" s="36">
        <v>44191</v>
      </c>
      <c r="AH98" s="37"/>
      <c r="AI98" s="72">
        <v>44185</v>
      </c>
      <c r="AJ98" s="38" t="s">
        <v>27</v>
      </c>
      <c r="AK98" s="39" t="e">
        <f>VLOOKUP(A98,'[1]Externe MAJ Nov'!$A:$H,8,0)</f>
        <v>#N/A</v>
      </c>
      <c r="AL98" s="61"/>
      <c r="AM98" s="61"/>
      <c r="AN98" s="61"/>
      <c r="AO98" s="58">
        <v>44185</v>
      </c>
      <c r="AP98" s="29" t="e">
        <f>VLOOKUP(A98,'[2]External Scan 02_21'!$B:$J,9,0)</f>
        <v>#N/A</v>
      </c>
      <c r="AQ98" s="29" t="s">
        <v>28</v>
      </c>
      <c r="AR98" s="21"/>
      <c r="AS98" s="21" t="str">
        <f>VLOOKUP(AE98,'ref statu'!A:B,2,0)</f>
        <v>Fixed</v>
      </c>
      <c r="AT98" s="8" t="e">
        <f>VLOOKUP(A98,chk!A:B,2,0)</f>
        <v>#N/A</v>
      </c>
      <c r="AU98" s="29" t="e">
        <f>VLOOKUP(A98,checker!A:B,2,0)</f>
        <v>#N/A</v>
      </c>
      <c r="AV98" s="29" t="e">
        <f>VLOOKUP(A98,checker!B:C,2,0)</f>
        <v>#N/A</v>
      </c>
    </row>
    <row r="99" spans="1:48" x14ac:dyDescent="0.3">
      <c r="A99" s="29" t="str">
        <f t="shared" si="1"/>
        <v>96.692.66.646/0/oracle_linux-cve-2017-16643</v>
      </c>
      <c r="B99" s="61" t="s">
        <v>2997</v>
      </c>
      <c r="C99" s="61" t="s">
        <v>528</v>
      </c>
      <c r="D99" s="61" t="s">
        <v>2964</v>
      </c>
      <c r="E99" s="61" t="s">
        <v>28</v>
      </c>
      <c r="F99" s="61" t="s">
        <v>529</v>
      </c>
      <c r="G99" s="61" t="s">
        <v>530</v>
      </c>
      <c r="H99" s="61" t="s">
        <v>531</v>
      </c>
      <c r="I99" s="37" t="s">
        <v>532</v>
      </c>
      <c r="J99" s="37">
        <v>0</v>
      </c>
      <c r="K99" s="61" t="s">
        <v>258</v>
      </c>
      <c r="L99" s="61" t="s">
        <v>31</v>
      </c>
      <c r="M99" s="9">
        <v>7</v>
      </c>
      <c r="N99" s="10" t="s">
        <v>2540</v>
      </c>
      <c r="O99" s="61" t="s">
        <v>886</v>
      </c>
      <c r="P99" s="61" t="s">
        <v>887</v>
      </c>
      <c r="Q99" s="61" t="s">
        <v>888</v>
      </c>
      <c r="R99" s="61" t="s">
        <v>556</v>
      </c>
      <c r="S99" s="61" t="s">
        <v>889</v>
      </c>
      <c r="T99" s="61" t="s">
        <v>31</v>
      </c>
      <c r="U99" s="61" t="s">
        <v>890</v>
      </c>
      <c r="V99" s="61" t="s">
        <v>891</v>
      </c>
      <c r="W99" s="62">
        <v>43046</v>
      </c>
      <c r="X99" s="37" t="s">
        <v>30</v>
      </c>
      <c r="Y99" s="37">
        <v>0</v>
      </c>
      <c r="Z99" s="37" t="s">
        <v>31</v>
      </c>
      <c r="AA99" s="37" t="s">
        <v>31</v>
      </c>
      <c r="AB99" s="37" t="s">
        <v>513</v>
      </c>
      <c r="AC99" s="61"/>
      <c r="AD99" s="33"/>
      <c r="AE99" s="98" t="s">
        <v>28</v>
      </c>
      <c r="AF99" s="36">
        <v>44191</v>
      </c>
      <c r="AG99" s="36">
        <v>44191</v>
      </c>
      <c r="AH99" s="37"/>
      <c r="AI99" s="72">
        <v>44185</v>
      </c>
      <c r="AJ99" s="38" t="s">
        <v>27</v>
      </c>
      <c r="AK99" s="39" t="e">
        <f>VLOOKUP(A99,'[1]Externe MAJ Nov'!$A:$H,8,0)</f>
        <v>#N/A</v>
      </c>
      <c r="AL99" s="61"/>
      <c r="AM99" s="61"/>
      <c r="AN99" s="61"/>
      <c r="AO99" s="58">
        <v>44185</v>
      </c>
      <c r="AP99" s="29" t="e">
        <f>VLOOKUP(A99,'[2]External Scan 02_21'!$B:$J,9,0)</f>
        <v>#N/A</v>
      </c>
      <c r="AQ99" s="29" t="s">
        <v>28</v>
      </c>
      <c r="AR99" s="21"/>
      <c r="AS99" s="21" t="str">
        <f>VLOOKUP(AE99,'ref statu'!A:B,2,0)</f>
        <v>Fixed</v>
      </c>
      <c r="AT99" s="8" t="e">
        <f>VLOOKUP(A99,chk!A:B,2,0)</f>
        <v>#N/A</v>
      </c>
      <c r="AU99" s="29" t="e">
        <f>VLOOKUP(A99,checker!A:B,2,0)</f>
        <v>#N/A</v>
      </c>
      <c r="AV99" s="29" t="e">
        <f>VLOOKUP(A99,checker!B:C,2,0)</f>
        <v>#N/A</v>
      </c>
    </row>
    <row r="100" spans="1:48" x14ac:dyDescent="0.3">
      <c r="A100" s="29" t="str">
        <f t="shared" si="1"/>
        <v>96.692.66.646/0/oracle_linux-cve-2017-16644</v>
      </c>
      <c r="B100" s="61" t="s">
        <v>2997</v>
      </c>
      <c r="C100" s="61" t="s">
        <v>528</v>
      </c>
      <c r="D100" s="61" t="s">
        <v>2964</v>
      </c>
      <c r="E100" s="61" t="s">
        <v>28</v>
      </c>
      <c r="F100" s="61" t="s">
        <v>529</v>
      </c>
      <c r="G100" s="61" t="s">
        <v>530</v>
      </c>
      <c r="H100" s="61" t="s">
        <v>531</v>
      </c>
      <c r="I100" s="37" t="s">
        <v>532</v>
      </c>
      <c r="J100" s="37">
        <v>0</v>
      </c>
      <c r="K100" s="61" t="s">
        <v>258</v>
      </c>
      <c r="L100" s="61" t="s">
        <v>31</v>
      </c>
      <c r="M100" s="9">
        <v>7</v>
      </c>
      <c r="N100" s="10" t="s">
        <v>2540</v>
      </c>
      <c r="O100" s="61" t="s">
        <v>892</v>
      </c>
      <c r="P100" s="61" t="s">
        <v>893</v>
      </c>
      <c r="Q100" s="61" t="s">
        <v>894</v>
      </c>
      <c r="R100" s="61" t="s">
        <v>536</v>
      </c>
      <c r="S100" s="61" t="s">
        <v>895</v>
      </c>
      <c r="T100" s="61" t="s">
        <v>31</v>
      </c>
      <c r="U100" s="61" t="s">
        <v>896</v>
      </c>
      <c r="V100" s="61" t="s">
        <v>897</v>
      </c>
      <c r="W100" s="62">
        <v>43046</v>
      </c>
      <c r="X100" s="37" t="s">
        <v>30</v>
      </c>
      <c r="Y100" s="37">
        <v>0</v>
      </c>
      <c r="Z100" s="37" t="s">
        <v>31</v>
      </c>
      <c r="AA100" s="37" t="s">
        <v>31</v>
      </c>
      <c r="AB100" s="37" t="s">
        <v>513</v>
      </c>
      <c r="AC100" s="61"/>
      <c r="AD100" s="34"/>
      <c r="AE100" s="98" t="s">
        <v>28</v>
      </c>
      <c r="AF100" s="36">
        <v>44191</v>
      </c>
      <c r="AG100" s="36">
        <v>44191</v>
      </c>
      <c r="AH100" s="37"/>
      <c r="AI100" s="72">
        <v>44185</v>
      </c>
      <c r="AJ100" s="38" t="s">
        <v>27</v>
      </c>
      <c r="AK100" s="39" t="e">
        <f>VLOOKUP(A100,'[1]Externe MAJ Nov'!$A:$H,8,0)</f>
        <v>#N/A</v>
      </c>
      <c r="AL100" s="61"/>
      <c r="AM100" s="61"/>
      <c r="AN100" s="61"/>
      <c r="AO100" s="58">
        <v>44185</v>
      </c>
      <c r="AP100" s="29" t="e">
        <f>VLOOKUP(A100,'[2]External Scan 02_21'!$B:$J,9,0)</f>
        <v>#N/A</v>
      </c>
      <c r="AQ100" s="29" t="s">
        <v>28</v>
      </c>
      <c r="AR100" s="21"/>
      <c r="AS100" s="21" t="str">
        <f>VLOOKUP(AE100,'ref statu'!A:B,2,0)</f>
        <v>Fixed</v>
      </c>
      <c r="AT100" s="8" t="e">
        <f>VLOOKUP(A100,chk!A:B,2,0)</f>
        <v>#N/A</v>
      </c>
      <c r="AU100" s="29" t="e">
        <f>VLOOKUP(A100,checker!A:B,2,0)</f>
        <v>#N/A</v>
      </c>
      <c r="AV100" s="29" t="e">
        <f>VLOOKUP(A100,checker!B:C,2,0)</f>
        <v>#N/A</v>
      </c>
    </row>
    <row r="101" spans="1:48" x14ac:dyDescent="0.3">
      <c r="A101" s="29" t="str">
        <f t="shared" si="1"/>
        <v>96.692.66.646/0/oracle_linux-cve-2017-16645</v>
      </c>
      <c r="B101" s="61" t="s">
        <v>2997</v>
      </c>
      <c r="C101" s="61" t="s">
        <v>528</v>
      </c>
      <c r="D101" s="61" t="s">
        <v>2964</v>
      </c>
      <c r="E101" s="61" t="s">
        <v>28</v>
      </c>
      <c r="F101" s="61" t="s">
        <v>529</v>
      </c>
      <c r="G101" s="61" t="s">
        <v>530</v>
      </c>
      <c r="H101" s="61" t="s">
        <v>531</v>
      </c>
      <c r="I101" s="37" t="s">
        <v>532</v>
      </c>
      <c r="J101" s="37">
        <v>0</v>
      </c>
      <c r="K101" s="61" t="s">
        <v>258</v>
      </c>
      <c r="L101" s="61" t="s">
        <v>31</v>
      </c>
      <c r="M101" s="9">
        <v>7</v>
      </c>
      <c r="N101" s="10" t="s">
        <v>2540</v>
      </c>
      <c r="O101" s="61" t="s">
        <v>898</v>
      </c>
      <c r="P101" s="61" t="s">
        <v>899</v>
      </c>
      <c r="Q101" s="61" t="s">
        <v>900</v>
      </c>
      <c r="R101" s="61" t="s">
        <v>536</v>
      </c>
      <c r="S101" s="61" t="s">
        <v>901</v>
      </c>
      <c r="T101" s="61" t="s">
        <v>31</v>
      </c>
      <c r="U101" s="61" t="s">
        <v>902</v>
      </c>
      <c r="V101" s="61" t="s">
        <v>903</v>
      </c>
      <c r="W101" s="62">
        <v>43046</v>
      </c>
      <c r="X101" s="37" t="s">
        <v>30</v>
      </c>
      <c r="Y101" s="37">
        <v>0</v>
      </c>
      <c r="Z101" s="37" t="s">
        <v>31</v>
      </c>
      <c r="AA101" s="37" t="s">
        <v>31</v>
      </c>
      <c r="AB101" s="37" t="s">
        <v>513</v>
      </c>
      <c r="AC101" s="61"/>
      <c r="AD101" s="34"/>
      <c r="AE101" s="98" t="s">
        <v>28</v>
      </c>
      <c r="AF101" s="36">
        <v>44191</v>
      </c>
      <c r="AG101" s="36">
        <v>44191</v>
      </c>
      <c r="AH101" s="37"/>
      <c r="AI101" s="72">
        <v>44185</v>
      </c>
      <c r="AJ101" s="38" t="s">
        <v>27</v>
      </c>
      <c r="AK101" s="39" t="e">
        <f>VLOOKUP(A101,'[1]Externe MAJ Nov'!$A:$H,8,0)</f>
        <v>#N/A</v>
      </c>
      <c r="AL101" s="61"/>
      <c r="AM101" s="61"/>
      <c r="AN101" s="61"/>
      <c r="AO101" s="58">
        <v>44185</v>
      </c>
      <c r="AP101" s="29" t="e">
        <f>VLOOKUP(A101,'[2]External Scan 02_21'!$B:$J,9,0)</f>
        <v>#N/A</v>
      </c>
      <c r="AQ101" s="29" t="s">
        <v>28</v>
      </c>
      <c r="AR101" s="21"/>
      <c r="AS101" s="21" t="str">
        <f>VLOOKUP(AE101,'ref statu'!A:B,2,0)</f>
        <v>Fixed</v>
      </c>
      <c r="AT101" s="8" t="e">
        <f>VLOOKUP(A101,chk!A:B,2,0)</f>
        <v>#N/A</v>
      </c>
      <c r="AU101" s="29" t="e">
        <f>VLOOKUP(A101,checker!A:B,2,0)</f>
        <v>#N/A</v>
      </c>
      <c r="AV101" s="29" t="e">
        <f>VLOOKUP(A101,checker!B:C,2,0)</f>
        <v>#N/A</v>
      </c>
    </row>
    <row r="102" spans="1:48" x14ac:dyDescent="0.3">
      <c r="A102" s="29" t="str">
        <f t="shared" si="1"/>
        <v>96.692.66.646/0/oracle_linux-cve-2017-16646</v>
      </c>
      <c r="B102" s="61" t="s">
        <v>2997</v>
      </c>
      <c r="C102" s="61" t="s">
        <v>528</v>
      </c>
      <c r="D102" s="61" t="s">
        <v>2964</v>
      </c>
      <c r="E102" s="61" t="s">
        <v>28</v>
      </c>
      <c r="F102" s="61" t="s">
        <v>529</v>
      </c>
      <c r="G102" s="61" t="s">
        <v>530</v>
      </c>
      <c r="H102" s="61" t="s">
        <v>531</v>
      </c>
      <c r="I102" s="37" t="s">
        <v>532</v>
      </c>
      <c r="J102" s="37">
        <v>0</v>
      </c>
      <c r="K102" s="61" t="s">
        <v>258</v>
      </c>
      <c r="L102" s="61" t="s">
        <v>31</v>
      </c>
      <c r="M102" s="9">
        <v>7</v>
      </c>
      <c r="N102" s="10" t="s">
        <v>2540</v>
      </c>
      <c r="O102" s="61" t="s">
        <v>904</v>
      </c>
      <c r="P102" s="61" t="s">
        <v>905</v>
      </c>
      <c r="Q102" s="61" t="s">
        <v>906</v>
      </c>
      <c r="R102" s="61" t="s">
        <v>536</v>
      </c>
      <c r="S102" s="61" t="s">
        <v>907</v>
      </c>
      <c r="T102" s="61" t="s">
        <v>31</v>
      </c>
      <c r="U102" s="61" t="s">
        <v>908</v>
      </c>
      <c r="V102" s="61" t="s">
        <v>909</v>
      </c>
      <c r="W102" s="62">
        <v>43046</v>
      </c>
      <c r="X102" s="37" t="s">
        <v>30</v>
      </c>
      <c r="Y102" s="37">
        <v>0</v>
      </c>
      <c r="Z102" s="37" t="s">
        <v>31</v>
      </c>
      <c r="AA102" s="37" t="s">
        <v>31</v>
      </c>
      <c r="AB102" s="37" t="s">
        <v>513</v>
      </c>
      <c r="AC102" s="61"/>
      <c r="AD102" s="33"/>
      <c r="AE102" s="98" t="s">
        <v>28</v>
      </c>
      <c r="AF102" s="36">
        <v>44191</v>
      </c>
      <c r="AG102" s="36">
        <v>44191</v>
      </c>
      <c r="AH102" s="37"/>
      <c r="AI102" s="72">
        <v>44185</v>
      </c>
      <c r="AJ102" s="38" t="s">
        <v>27</v>
      </c>
      <c r="AK102" s="39" t="e">
        <f>VLOOKUP(A102,'[1]Externe MAJ Nov'!$A:$H,8,0)</f>
        <v>#N/A</v>
      </c>
      <c r="AL102" s="61"/>
      <c r="AM102" s="61"/>
      <c r="AN102" s="61"/>
      <c r="AO102" s="58">
        <v>44185</v>
      </c>
      <c r="AP102" s="29" t="e">
        <f>VLOOKUP(A102,'[2]External Scan 02_21'!$B:$J,9,0)</f>
        <v>#N/A</v>
      </c>
      <c r="AQ102" s="29" t="s">
        <v>28</v>
      </c>
      <c r="AR102" s="21"/>
      <c r="AS102" s="21" t="str">
        <f>VLOOKUP(AE102,'ref statu'!A:B,2,0)</f>
        <v>Fixed</v>
      </c>
      <c r="AT102" s="8" t="e">
        <f>VLOOKUP(A102,chk!A:B,2,0)</f>
        <v>#N/A</v>
      </c>
      <c r="AU102" s="29" t="e">
        <f>VLOOKUP(A102,checker!A:B,2,0)</f>
        <v>#N/A</v>
      </c>
      <c r="AV102" s="29" t="e">
        <f>VLOOKUP(A102,checker!B:C,2,0)</f>
        <v>#N/A</v>
      </c>
    </row>
    <row r="103" spans="1:48" x14ac:dyDescent="0.3">
      <c r="A103" s="29" t="str">
        <f t="shared" si="1"/>
        <v>96.692.66.646/0/oracle_linux-cve-2017-16650</v>
      </c>
      <c r="B103" s="61" t="s">
        <v>2997</v>
      </c>
      <c r="C103" s="61" t="s">
        <v>528</v>
      </c>
      <c r="D103" s="61" t="s">
        <v>2964</v>
      </c>
      <c r="E103" s="61" t="s">
        <v>28</v>
      </c>
      <c r="F103" s="61" t="s">
        <v>529</v>
      </c>
      <c r="G103" s="61" t="s">
        <v>530</v>
      </c>
      <c r="H103" s="61" t="s">
        <v>531</v>
      </c>
      <c r="I103" s="37" t="s">
        <v>532</v>
      </c>
      <c r="J103" s="37">
        <v>0</v>
      </c>
      <c r="K103" s="61" t="s">
        <v>258</v>
      </c>
      <c r="L103" s="61" t="s">
        <v>31</v>
      </c>
      <c r="M103" s="9">
        <v>7</v>
      </c>
      <c r="N103" s="10" t="s">
        <v>2540</v>
      </c>
      <c r="O103" s="61" t="s">
        <v>910</v>
      </c>
      <c r="P103" s="61" t="s">
        <v>911</v>
      </c>
      <c r="Q103" s="61" t="s">
        <v>912</v>
      </c>
      <c r="R103" s="61" t="s">
        <v>556</v>
      </c>
      <c r="S103" s="61" t="s">
        <v>913</v>
      </c>
      <c r="T103" s="61" t="s">
        <v>31</v>
      </c>
      <c r="U103" s="61" t="s">
        <v>914</v>
      </c>
      <c r="V103" s="61" t="s">
        <v>915</v>
      </c>
      <c r="W103" s="62">
        <v>43046</v>
      </c>
      <c r="X103" s="37" t="s">
        <v>30</v>
      </c>
      <c r="Y103" s="37">
        <v>0</v>
      </c>
      <c r="Z103" s="37" t="s">
        <v>31</v>
      </c>
      <c r="AA103" s="37" t="s">
        <v>31</v>
      </c>
      <c r="AB103" s="37" t="s">
        <v>513</v>
      </c>
      <c r="AC103" s="61"/>
      <c r="AD103" s="34"/>
      <c r="AE103" s="98" t="s">
        <v>28</v>
      </c>
      <c r="AF103" s="36">
        <v>44191</v>
      </c>
      <c r="AG103" s="36">
        <v>44191</v>
      </c>
      <c r="AH103" s="37"/>
      <c r="AI103" s="72">
        <v>44185</v>
      </c>
      <c r="AJ103" s="38" t="s">
        <v>27</v>
      </c>
      <c r="AK103" s="39" t="e">
        <f>VLOOKUP(A103,'[1]Externe MAJ Nov'!$A:$H,8,0)</f>
        <v>#N/A</v>
      </c>
      <c r="AL103" s="61"/>
      <c r="AM103" s="61"/>
      <c r="AN103" s="61"/>
      <c r="AO103" s="58">
        <v>44185</v>
      </c>
      <c r="AP103" s="29" t="e">
        <f>VLOOKUP(A103,'[2]External Scan 02_21'!$B:$J,9,0)</f>
        <v>#N/A</v>
      </c>
      <c r="AQ103" s="29" t="s">
        <v>28</v>
      </c>
      <c r="AR103" s="21"/>
      <c r="AS103" s="21" t="str">
        <f>VLOOKUP(AE103,'ref statu'!A:B,2,0)</f>
        <v>Fixed</v>
      </c>
      <c r="AT103" s="8" t="e">
        <f>VLOOKUP(A103,chk!A:B,2,0)</f>
        <v>#N/A</v>
      </c>
      <c r="AU103" s="29" t="e">
        <f>VLOOKUP(A103,checker!A:B,2,0)</f>
        <v>#N/A</v>
      </c>
      <c r="AV103" s="29" t="e">
        <f>VLOOKUP(A103,checker!B:C,2,0)</f>
        <v>#N/A</v>
      </c>
    </row>
    <row r="104" spans="1:48" x14ac:dyDescent="0.3">
      <c r="A104" s="29" t="str">
        <f t="shared" si="1"/>
        <v>96.692.66.646/0/oracle_linux-cve-2017-16939</v>
      </c>
      <c r="B104" s="61" t="s">
        <v>2997</v>
      </c>
      <c r="C104" s="61" t="s">
        <v>528</v>
      </c>
      <c r="D104" s="61" t="s">
        <v>2964</v>
      </c>
      <c r="E104" s="61" t="s">
        <v>28</v>
      </c>
      <c r="F104" s="61" t="s">
        <v>529</v>
      </c>
      <c r="G104" s="61" t="s">
        <v>530</v>
      </c>
      <c r="H104" s="61" t="s">
        <v>531</v>
      </c>
      <c r="I104" s="37" t="s">
        <v>532</v>
      </c>
      <c r="J104" s="37">
        <v>0</v>
      </c>
      <c r="K104" s="61" t="s">
        <v>258</v>
      </c>
      <c r="L104" s="61" t="s">
        <v>31</v>
      </c>
      <c r="M104" s="9">
        <v>7</v>
      </c>
      <c r="N104" s="10" t="s">
        <v>2540</v>
      </c>
      <c r="O104" s="61" t="s">
        <v>916</v>
      </c>
      <c r="P104" s="61" t="s">
        <v>917</v>
      </c>
      <c r="Q104" s="61" t="s">
        <v>918</v>
      </c>
      <c r="R104" s="61" t="s">
        <v>581</v>
      </c>
      <c r="S104" s="61" t="s">
        <v>919</v>
      </c>
      <c r="T104" s="61" t="s">
        <v>31</v>
      </c>
      <c r="U104" s="61" t="s">
        <v>920</v>
      </c>
      <c r="V104" s="61" t="s">
        <v>921</v>
      </c>
      <c r="W104" s="62">
        <v>43063</v>
      </c>
      <c r="X104" s="37" t="s">
        <v>30</v>
      </c>
      <c r="Y104" s="37">
        <v>1</v>
      </c>
      <c r="Z104" s="37" t="s">
        <v>279</v>
      </c>
      <c r="AA104" s="37" t="s">
        <v>922</v>
      </c>
      <c r="AB104" s="37" t="s">
        <v>513</v>
      </c>
      <c r="AC104" s="61"/>
      <c r="AD104" s="34"/>
      <c r="AE104" s="98" t="s">
        <v>28</v>
      </c>
      <c r="AF104" s="36">
        <v>44191</v>
      </c>
      <c r="AG104" s="36">
        <v>44191</v>
      </c>
      <c r="AH104" s="37"/>
      <c r="AI104" s="72">
        <v>44185</v>
      </c>
      <c r="AJ104" s="38" t="s">
        <v>27</v>
      </c>
      <c r="AK104" s="39" t="e">
        <f>VLOOKUP(A104,'[1]Externe MAJ Nov'!$A:$H,8,0)</f>
        <v>#N/A</v>
      </c>
      <c r="AL104" s="61"/>
      <c r="AM104" s="61"/>
      <c r="AN104" s="61"/>
      <c r="AO104" s="58">
        <v>44185</v>
      </c>
      <c r="AP104" s="29" t="e">
        <f>VLOOKUP(A104,'[2]External Scan 02_21'!$B:$J,9,0)</f>
        <v>#N/A</v>
      </c>
      <c r="AQ104" s="29" t="s">
        <v>28</v>
      </c>
      <c r="AR104" s="21"/>
      <c r="AS104" s="21" t="str">
        <f>VLOOKUP(AE104,'ref statu'!A:B,2,0)</f>
        <v>Fixed</v>
      </c>
      <c r="AT104" s="8" t="e">
        <f>VLOOKUP(A104,chk!A:B,2,0)</f>
        <v>#N/A</v>
      </c>
      <c r="AU104" s="29" t="e">
        <f>VLOOKUP(A104,checker!A:B,2,0)</f>
        <v>#N/A</v>
      </c>
      <c r="AV104" s="29" t="e">
        <f>VLOOKUP(A104,checker!B:C,2,0)</f>
        <v>#N/A</v>
      </c>
    </row>
    <row r="105" spans="1:48" x14ac:dyDescent="0.3">
      <c r="A105" s="29" t="str">
        <f t="shared" si="1"/>
        <v>96.692.66.646/0/oracle_linux-cve-2017-16994</v>
      </c>
      <c r="B105" s="61" t="s">
        <v>2997</v>
      </c>
      <c r="C105" s="61" t="s">
        <v>528</v>
      </c>
      <c r="D105" s="61" t="s">
        <v>2964</v>
      </c>
      <c r="E105" s="61" t="s">
        <v>28</v>
      </c>
      <c r="F105" s="61" t="s">
        <v>529</v>
      </c>
      <c r="G105" s="61" t="s">
        <v>530</v>
      </c>
      <c r="H105" s="61" t="s">
        <v>531</v>
      </c>
      <c r="I105" s="37" t="s">
        <v>532</v>
      </c>
      <c r="J105" s="37">
        <v>0</v>
      </c>
      <c r="K105" s="61" t="s">
        <v>258</v>
      </c>
      <c r="L105" s="61" t="s">
        <v>31</v>
      </c>
      <c r="M105" s="9">
        <v>2</v>
      </c>
      <c r="N105" s="9" t="s">
        <v>42</v>
      </c>
      <c r="O105" s="61" t="s">
        <v>923</v>
      </c>
      <c r="P105" s="61" t="s">
        <v>924</v>
      </c>
      <c r="Q105" s="61" t="s">
        <v>925</v>
      </c>
      <c r="R105" s="61" t="s">
        <v>536</v>
      </c>
      <c r="S105" s="61" t="s">
        <v>926</v>
      </c>
      <c r="T105" s="61" t="s">
        <v>31</v>
      </c>
      <c r="U105" s="61" t="s">
        <v>927</v>
      </c>
      <c r="V105" s="61" t="s">
        <v>928</v>
      </c>
      <c r="W105" s="62">
        <v>43066</v>
      </c>
      <c r="X105" s="37" t="s">
        <v>30</v>
      </c>
      <c r="Y105" s="37">
        <v>1</v>
      </c>
      <c r="Z105" s="37" t="s">
        <v>279</v>
      </c>
      <c r="AA105" s="37" t="s">
        <v>929</v>
      </c>
      <c r="AB105" s="37" t="s">
        <v>513</v>
      </c>
      <c r="AC105" s="61"/>
      <c r="AD105" s="33"/>
      <c r="AE105" s="98" t="s">
        <v>28</v>
      </c>
      <c r="AF105" s="36">
        <v>44191</v>
      </c>
      <c r="AG105" s="36">
        <v>44191</v>
      </c>
      <c r="AH105" s="37"/>
      <c r="AI105" s="72">
        <v>44185</v>
      </c>
      <c r="AJ105" s="38" t="s">
        <v>27</v>
      </c>
      <c r="AK105" s="39" t="e">
        <f>VLOOKUP(A105,'[1]Externe MAJ Nov'!$A:$H,8,0)</f>
        <v>#N/A</v>
      </c>
      <c r="AL105" s="61"/>
      <c r="AM105" s="61"/>
      <c r="AN105" s="61"/>
      <c r="AO105" s="58">
        <v>44185</v>
      </c>
      <c r="AP105" s="29" t="e">
        <f>VLOOKUP(A105,'[2]External Scan 02_21'!$B:$J,9,0)</f>
        <v>#N/A</v>
      </c>
      <c r="AQ105" s="29" t="s">
        <v>28</v>
      </c>
      <c r="AR105" s="21"/>
      <c r="AS105" s="21" t="str">
        <f>VLOOKUP(AE105,'ref statu'!A:B,2,0)</f>
        <v>Fixed</v>
      </c>
      <c r="AT105" s="8" t="e">
        <f>VLOOKUP(A105,chk!A:B,2,0)</f>
        <v>#N/A</v>
      </c>
      <c r="AU105" s="29" t="e">
        <f>VLOOKUP(A105,checker!A:B,2,0)</f>
        <v>#N/A</v>
      </c>
      <c r="AV105" s="29" t="e">
        <f>VLOOKUP(A105,checker!B:C,2,0)</f>
        <v>#N/A</v>
      </c>
    </row>
    <row r="106" spans="1:48" x14ac:dyDescent="0.3">
      <c r="A106" s="29" t="str">
        <f t="shared" si="1"/>
        <v>96.692.66.646/0/oracle_linux-cve-2017-17052</v>
      </c>
      <c r="B106" s="61" t="s">
        <v>2997</v>
      </c>
      <c r="C106" s="61" t="s">
        <v>528</v>
      </c>
      <c r="D106" s="61" t="s">
        <v>2964</v>
      </c>
      <c r="E106" s="61" t="s">
        <v>28</v>
      </c>
      <c r="F106" s="61" t="s">
        <v>529</v>
      </c>
      <c r="G106" s="61" t="s">
        <v>530</v>
      </c>
      <c r="H106" s="61" t="s">
        <v>531</v>
      </c>
      <c r="I106" s="37" t="s">
        <v>532</v>
      </c>
      <c r="J106" s="37">
        <v>0</v>
      </c>
      <c r="K106" s="61" t="s">
        <v>258</v>
      </c>
      <c r="L106" s="61" t="s">
        <v>31</v>
      </c>
      <c r="M106" s="9">
        <v>7</v>
      </c>
      <c r="N106" s="10" t="s">
        <v>2540</v>
      </c>
      <c r="O106" s="61" t="s">
        <v>930</v>
      </c>
      <c r="P106" s="61" t="s">
        <v>931</v>
      </c>
      <c r="Q106" s="61" t="s">
        <v>932</v>
      </c>
      <c r="R106" s="61" t="s">
        <v>536</v>
      </c>
      <c r="S106" s="61" t="s">
        <v>933</v>
      </c>
      <c r="T106" s="61" t="s">
        <v>31</v>
      </c>
      <c r="U106" s="61" t="s">
        <v>934</v>
      </c>
      <c r="V106" s="61" t="s">
        <v>935</v>
      </c>
      <c r="W106" s="62">
        <v>43067</v>
      </c>
      <c r="X106" s="37" t="s">
        <v>30</v>
      </c>
      <c r="Y106" s="37">
        <v>0</v>
      </c>
      <c r="Z106" s="37" t="s">
        <v>31</v>
      </c>
      <c r="AA106" s="37" t="s">
        <v>31</v>
      </c>
      <c r="AB106" s="37" t="s">
        <v>513</v>
      </c>
      <c r="AC106" s="61"/>
      <c r="AD106" s="34"/>
      <c r="AE106" s="98" t="s">
        <v>28</v>
      </c>
      <c r="AF106" s="36">
        <v>44191</v>
      </c>
      <c r="AG106" s="36">
        <v>44191</v>
      </c>
      <c r="AH106" s="37"/>
      <c r="AI106" s="72">
        <v>44185</v>
      </c>
      <c r="AJ106" s="38" t="s">
        <v>27</v>
      </c>
      <c r="AK106" s="39" t="e">
        <f>VLOOKUP(A106,'[1]Externe MAJ Nov'!$A:$H,8,0)</f>
        <v>#N/A</v>
      </c>
      <c r="AL106" s="61"/>
      <c r="AM106" s="61"/>
      <c r="AN106" s="61"/>
      <c r="AO106" s="58">
        <v>44185</v>
      </c>
      <c r="AP106" s="29" t="e">
        <f>VLOOKUP(A106,'[2]External Scan 02_21'!$B:$J,9,0)</f>
        <v>#N/A</v>
      </c>
      <c r="AQ106" s="29" t="s">
        <v>28</v>
      </c>
      <c r="AR106" s="21"/>
      <c r="AS106" s="21" t="str">
        <f>VLOOKUP(AE106,'ref statu'!A:B,2,0)</f>
        <v>Fixed</v>
      </c>
      <c r="AT106" s="8" t="e">
        <f>VLOOKUP(A106,chk!A:B,2,0)</f>
        <v>#N/A</v>
      </c>
      <c r="AU106" s="29" t="e">
        <f>VLOOKUP(A106,checker!A:B,2,0)</f>
        <v>#N/A</v>
      </c>
      <c r="AV106" s="29" t="e">
        <f>VLOOKUP(A106,checker!B:C,2,0)</f>
        <v>#N/A</v>
      </c>
    </row>
    <row r="107" spans="1:48" x14ac:dyDescent="0.3">
      <c r="A107" s="29" t="str">
        <f t="shared" si="1"/>
        <v>96.692.66.646/0/oracle_linux-cve-2017-17448</v>
      </c>
      <c r="B107" s="61" t="s">
        <v>2997</v>
      </c>
      <c r="C107" s="61" t="s">
        <v>528</v>
      </c>
      <c r="D107" s="61" t="s">
        <v>2964</v>
      </c>
      <c r="E107" s="61" t="s">
        <v>28</v>
      </c>
      <c r="F107" s="61" t="s">
        <v>529</v>
      </c>
      <c r="G107" s="61" t="s">
        <v>530</v>
      </c>
      <c r="H107" s="61" t="s">
        <v>531</v>
      </c>
      <c r="I107" s="37" t="s">
        <v>532</v>
      </c>
      <c r="J107" s="37">
        <v>0</v>
      </c>
      <c r="K107" s="61" t="s">
        <v>258</v>
      </c>
      <c r="L107" s="61" t="s">
        <v>31</v>
      </c>
      <c r="M107" s="9">
        <v>5</v>
      </c>
      <c r="N107" s="9" t="s">
        <v>29</v>
      </c>
      <c r="O107" s="61" t="s">
        <v>936</v>
      </c>
      <c r="P107" s="61" t="s">
        <v>937</v>
      </c>
      <c r="Q107" s="61" t="s">
        <v>938</v>
      </c>
      <c r="R107" s="61" t="s">
        <v>668</v>
      </c>
      <c r="S107" s="61" t="s">
        <v>939</v>
      </c>
      <c r="T107" s="61" t="s">
        <v>31</v>
      </c>
      <c r="U107" s="61" t="s">
        <v>940</v>
      </c>
      <c r="V107" s="61" t="s">
        <v>941</v>
      </c>
      <c r="W107" s="62">
        <v>43075</v>
      </c>
      <c r="X107" s="37" t="s">
        <v>30</v>
      </c>
      <c r="Y107" s="37">
        <v>0</v>
      </c>
      <c r="Z107" s="37" t="s">
        <v>31</v>
      </c>
      <c r="AA107" s="37" t="s">
        <v>31</v>
      </c>
      <c r="AB107" s="37" t="s">
        <v>513</v>
      </c>
      <c r="AC107" s="61"/>
      <c r="AD107" s="34"/>
      <c r="AE107" s="98" t="s">
        <v>28</v>
      </c>
      <c r="AF107" s="36">
        <v>44191</v>
      </c>
      <c r="AG107" s="36">
        <v>44191</v>
      </c>
      <c r="AH107" s="37"/>
      <c r="AI107" s="72">
        <v>44185</v>
      </c>
      <c r="AJ107" s="38" t="s">
        <v>27</v>
      </c>
      <c r="AK107" s="39" t="e">
        <f>VLOOKUP(A107,'[1]Externe MAJ Nov'!$A:$H,8,0)</f>
        <v>#N/A</v>
      </c>
      <c r="AL107" s="61"/>
      <c r="AM107" s="61"/>
      <c r="AN107" s="61"/>
      <c r="AO107" s="58">
        <v>44185</v>
      </c>
      <c r="AP107" s="29" t="e">
        <f>VLOOKUP(A107,'[2]External Scan 02_21'!$B:$J,9,0)</f>
        <v>#N/A</v>
      </c>
      <c r="AQ107" s="29" t="s">
        <v>28</v>
      </c>
      <c r="AR107" s="21"/>
      <c r="AS107" s="21" t="str">
        <f>VLOOKUP(AE107,'ref statu'!A:B,2,0)</f>
        <v>Fixed</v>
      </c>
      <c r="AT107" s="8" t="e">
        <f>VLOOKUP(A107,chk!A:B,2,0)</f>
        <v>#N/A</v>
      </c>
      <c r="AU107" s="29" t="e">
        <f>VLOOKUP(A107,checker!A:B,2,0)</f>
        <v>#N/A</v>
      </c>
      <c r="AV107" s="29" t="e">
        <f>VLOOKUP(A107,checker!B:C,2,0)</f>
        <v>#N/A</v>
      </c>
    </row>
    <row r="108" spans="1:48" x14ac:dyDescent="0.3">
      <c r="A108" s="29" t="str">
        <f t="shared" si="1"/>
        <v>96.692.66.646/0/oracle_linux-cve-2017-17449</v>
      </c>
      <c r="B108" s="61" t="s">
        <v>2997</v>
      </c>
      <c r="C108" s="61" t="s">
        <v>528</v>
      </c>
      <c r="D108" s="61" t="s">
        <v>2964</v>
      </c>
      <c r="E108" s="61" t="s">
        <v>28</v>
      </c>
      <c r="F108" s="61" t="s">
        <v>529</v>
      </c>
      <c r="G108" s="61" t="s">
        <v>530</v>
      </c>
      <c r="H108" s="61" t="s">
        <v>531</v>
      </c>
      <c r="I108" s="37" t="s">
        <v>532</v>
      </c>
      <c r="J108" s="37">
        <v>0</v>
      </c>
      <c r="K108" s="61" t="s">
        <v>258</v>
      </c>
      <c r="L108" s="61" t="s">
        <v>31</v>
      </c>
      <c r="M108" s="9">
        <v>2</v>
      </c>
      <c r="N108" s="9" t="s">
        <v>42</v>
      </c>
      <c r="O108" s="61" t="s">
        <v>942</v>
      </c>
      <c r="P108" s="61" t="s">
        <v>943</v>
      </c>
      <c r="Q108" s="61" t="s">
        <v>944</v>
      </c>
      <c r="R108" s="61" t="s">
        <v>661</v>
      </c>
      <c r="S108" s="61" t="s">
        <v>945</v>
      </c>
      <c r="T108" s="61" t="s">
        <v>31</v>
      </c>
      <c r="U108" s="61" t="s">
        <v>946</v>
      </c>
      <c r="V108" s="61" t="s">
        <v>947</v>
      </c>
      <c r="W108" s="62">
        <v>43075</v>
      </c>
      <c r="X108" s="37" t="s">
        <v>30</v>
      </c>
      <c r="Y108" s="37">
        <v>0</v>
      </c>
      <c r="Z108" s="37" t="s">
        <v>31</v>
      </c>
      <c r="AA108" s="37" t="s">
        <v>31</v>
      </c>
      <c r="AB108" s="37" t="s">
        <v>513</v>
      </c>
      <c r="AC108" s="61"/>
      <c r="AD108" s="33"/>
      <c r="AE108" s="98" t="s">
        <v>28</v>
      </c>
      <c r="AF108" s="36">
        <v>44191</v>
      </c>
      <c r="AG108" s="36">
        <v>44191</v>
      </c>
      <c r="AH108" s="37"/>
      <c r="AI108" s="72">
        <v>44185</v>
      </c>
      <c r="AJ108" s="38" t="s">
        <v>27</v>
      </c>
      <c r="AK108" s="39" t="e">
        <f>VLOOKUP(A108,'[1]Externe MAJ Nov'!$A:$H,8,0)</f>
        <v>#N/A</v>
      </c>
      <c r="AL108" s="61"/>
      <c r="AM108" s="61"/>
      <c r="AN108" s="61"/>
      <c r="AO108" s="58">
        <v>44185</v>
      </c>
      <c r="AP108" s="29" t="e">
        <f>VLOOKUP(A108,'[2]External Scan 02_21'!$B:$J,9,0)</f>
        <v>#N/A</v>
      </c>
      <c r="AQ108" s="29" t="s">
        <v>28</v>
      </c>
      <c r="AR108" s="21"/>
      <c r="AS108" s="21" t="str">
        <f>VLOOKUP(AE108,'ref statu'!A:B,2,0)</f>
        <v>Fixed</v>
      </c>
      <c r="AT108" s="8" t="e">
        <f>VLOOKUP(A108,chk!A:B,2,0)</f>
        <v>#N/A</v>
      </c>
      <c r="AU108" s="29" t="e">
        <f>VLOOKUP(A108,checker!A:B,2,0)</f>
        <v>#N/A</v>
      </c>
      <c r="AV108" s="29" t="e">
        <f>VLOOKUP(A108,checker!B:C,2,0)</f>
        <v>#N/A</v>
      </c>
    </row>
    <row r="109" spans="1:48" x14ac:dyDescent="0.3">
      <c r="A109" s="29" t="str">
        <f t="shared" si="1"/>
        <v>96.692.66.646/0/oracle_linux-cve-2017-17712</v>
      </c>
      <c r="B109" s="61" t="s">
        <v>2997</v>
      </c>
      <c r="C109" s="61" t="s">
        <v>528</v>
      </c>
      <c r="D109" s="61" t="s">
        <v>2964</v>
      </c>
      <c r="E109" s="61" t="s">
        <v>28</v>
      </c>
      <c r="F109" s="61" t="s">
        <v>529</v>
      </c>
      <c r="G109" s="61" t="s">
        <v>530</v>
      </c>
      <c r="H109" s="61" t="s">
        <v>531</v>
      </c>
      <c r="I109" s="37" t="s">
        <v>532</v>
      </c>
      <c r="J109" s="37">
        <v>0</v>
      </c>
      <c r="K109" s="61" t="s">
        <v>258</v>
      </c>
      <c r="L109" s="61" t="s">
        <v>31</v>
      </c>
      <c r="M109" s="9">
        <v>7</v>
      </c>
      <c r="N109" s="10" t="s">
        <v>2540</v>
      </c>
      <c r="O109" s="61" t="s">
        <v>948</v>
      </c>
      <c r="P109" s="61" t="s">
        <v>949</v>
      </c>
      <c r="Q109" s="61" t="s">
        <v>950</v>
      </c>
      <c r="R109" s="61" t="s">
        <v>536</v>
      </c>
      <c r="S109" s="61" t="s">
        <v>951</v>
      </c>
      <c r="T109" s="61" t="s">
        <v>31</v>
      </c>
      <c r="U109" s="61" t="s">
        <v>952</v>
      </c>
      <c r="V109" s="61" t="s">
        <v>953</v>
      </c>
      <c r="W109" s="62">
        <v>43084</v>
      </c>
      <c r="X109" s="37" t="s">
        <v>30</v>
      </c>
      <c r="Y109" s="37">
        <v>0</v>
      </c>
      <c r="Z109" s="37" t="s">
        <v>31</v>
      </c>
      <c r="AA109" s="37" t="s">
        <v>31</v>
      </c>
      <c r="AB109" s="37" t="s">
        <v>513</v>
      </c>
      <c r="AC109" s="61"/>
      <c r="AD109" s="34"/>
      <c r="AE109" s="98" t="s">
        <v>28</v>
      </c>
      <c r="AF109" s="36">
        <v>44191</v>
      </c>
      <c r="AG109" s="36">
        <v>44191</v>
      </c>
      <c r="AH109" s="37"/>
      <c r="AI109" s="72">
        <v>44185</v>
      </c>
      <c r="AJ109" s="38" t="s">
        <v>27</v>
      </c>
      <c r="AK109" s="39" t="e">
        <f>VLOOKUP(A109,'[1]Externe MAJ Nov'!$A:$H,8,0)</f>
        <v>#N/A</v>
      </c>
      <c r="AL109" s="61"/>
      <c r="AM109" s="61"/>
      <c r="AN109" s="61"/>
      <c r="AO109" s="58">
        <v>44185</v>
      </c>
      <c r="AP109" s="29" t="e">
        <f>VLOOKUP(A109,'[2]External Scan 02_21'!$B:$J,9,0)</f>
        <v>#N/A</v>
      </c>
      <c r="AQ109" s="29" t="s">
        <v>28</v>
      </c>
      <c r="AR109" s="21"/>
      <c r="AS109" s="21" t="str">
        <f>VLOOKUP(AE109,'ref statu'!A:B,2,0)</f>
        <v>Fixed</v>
      </c>
      <c r="AT109" s="8" t="e">
        <f>VLOOKUP(A109,chk!A:B,2,0)</f>
        <v>#N/A</v>
      </c>
      <c r="AU109" s="29" t="e">
        <f>VLOOKUP(A109,checker!A:B,2,0)</f>
        <v>#N/A</v>
      </c>
      <c r="AV109" s="29" t="e">
        <f>VLOOKUP(A109,checker!B:C,2,0)</f>
        <v>#N/A</v>
      </c>
    </row>
    <row r="110" spans="1:48" x14ac:dyDescent="0.3">
      <c r="A110" s="29" t="str">
        <f t="shared" si="1"/>
        <v>96.692.66.646/0/oracle_linux-cve-2017-17741</v>
      </c>
      <c r="B110" s="61" t="s">
        <v>2997</v>
      </c>
      <c r="C110" s="61" t="s">
        <v>528</v>
      </c>
      <c r="D110" s="61" t="s">
        <v>2964</v>
      </c>
      <c r="E110" s="61" t="s">
        <v>28</v>
      </c>
      <c r="F110" s="61" t="s">
        <v>529</v>
      </c>
      <c r="G110" s="61" t="s">
        <v>530</v>
      </c>
      <c r="H110" s="61" t="s">
        <v>531</v>
      </c>
      <c r="I110" s="37" t="s">
        <v>532</v>
      </c>
      <c r="J110" s="37">
        <v>0</v>
      </c>
      <c r="K110" s="61" t="s">
        <v>258</v>
      </c>
      <c r="L110" s="61" t="s">
        <v>31</v>
      </c>
      <c r="M110" s="9">
        <v>2</v>
      </c>
      <c r="N110" s="9" t="s">
        <v>42</v>
      </c>
      <c r="O110" s="61" t="s">
        <v>954</v>
      </c>
      <c r="P110" s="61" t="s">
        <v>955</v>
      </c>
      <c r="Q110" s="61" t="s">
        <v>956</v>
      </c>
      <c r="R110" s="61" t="s">
        <v>556</v>
      </c>
      <c r="S110" s="61" t="s">
        <v>957</v>
      </c>
      <c r="T110" s="61" t="s">
        <v>31</v>
      </c>
      <c r="U110" s="61" t="s">
        <v>958</v>
      </c>
      <c r="V110" s="61" t="s">
        <v>959</v>
      </c>
      <c r="W110" s="62">
        <v>43087</v>
      </c>
      <c r="X110" s="37" t="s">
        <v>30</v>
      </c>
      <c r="Y110" s="37">
        <v>0</v>
      </c>
      <c r="Z110" s="37" t="s">
        <v>31</v>
      </c>
      <c r="AA110" s="37" t="s">
        <v>31</v>
      </c>
      <c r="AB110" s="37" t="s">
        <v>513</v>
      </c>
      <c r="AC110" s="61"/>
      <c r="AD110" s="34"/>
      <c r="AE110" s="98" t="s">
        <v>28</v>
      </c>
      <c r="AF110" s="36">
        <v>44191</v>
      </c>
      <c r="AG110" s="36">
        <v>44191</v>
      </c>
      <c r="AH110" s="37"/>
      <c r="AI110" s="72">
        <v>44185</v>
      </c>
      <c r="AJ110" s="38" t="s">
        <v>27</v>
      </c>
      <c r="AK110" s="39" t="e">
        <f>VLOOKUP(A110,'[1]Externe MAJ Nov'!$A:$H,8,0)</f>
        <v>#N/A</v>
      </c>
      <c r="AL110" s="61"/>
      <c r="AM110" s="61"/>
      <c r="AN110" s="61"/>
      <c r="AO110" s="58">
        <v>44185</v>
      </c>
      <c r="AP110" s="29" t="e">
        <f>VLOOKUP(A110,'[2]External Scan 02_21'!$B:$J,9,0)</f>
        <v>#N/A</v>
      </c>
      <c r="AQ110" s="29" t="s">
        <v>28</v>
      </c>
      <c r="AR110" s="21"/>
      <c r="AS110" s="21" t="str">
        <f>VLOOKUP(AE110,'ref statu'!A:B,2,0)</f>
        <v>Fixed</v>
      </c>
      <c r="AT110" s="8" t="e">
        <f>VLOOKUP(A110,chk!A:B,2,0)</f>
        <v>#N/A</v>
      </c>
      <c r="AU110" s="29" t="e">
        <f>VLOOKUP(A110,checker!A:B,2,0)</f>
        <v>#N/A</v>
      </c>
      <c r="AV110" s="29" t="e">
        <f>VLOOKUP(A110,checker!B:C,2,0)</f>
        <v>#N/A</v>
      </c>
    </row>
    <row r="111" spans="1:48" x14ac:dyDescent="0.3">
      <c r="A111" s="29" t="str">
        <f t="shared" si="1"/>
        <v>96.692.66.646/0/oracle_linux-cve-2017-17805</v>
      </c>
      <c r="B111" s="61" t="s">
        <v>2997</v>
      </c>
      <c r="C111" s="61" t="s">
        <v>528</v>
      </c>
      <c r="D111" s="61" t="s">
        <v>2964</v>
      </c>
      <c r="E111" s="61" t="s">
        <v>28</v>
      </c>
      <c r="F111" s="61" t="s">
        <v>529</v>
      </c>
      <c r="G111" s="61" t="s">
        <v>530</v>
      </c>
      <c r="H111" s="61" t="s">
        <v>531</v>
      </c>
      <c r="I111" s="37" t="s">
        <v>532</v>
      </c>
      <c r="J111" s="37">
        <v>0</v>
      </c>
      <c r="K111" s="61" t="s">
        <v>258</v>
      </c>
      <c r="L111" s="61" t="s">
        <v>31</v>
      </c>
      <c r="M111" s="9">
        <v>7</v>
      </c>
      <c r="N111" s="10" t="s">
        <v>2540</v>
      </c>
      <c r="O111" s="61" t="s">
        <v>960</v>
      </c>
      <c r="P111" s="61" t="s">
        <v>961</v>
      </c>
      <c r="Q111" s="61" t="s">
        <v>962</v>
      </c>
      <c r="R111" s="61" t="s">
        <v>606</v>
      </c>
      <c r="S111" s="61" t="s">
        <v>963</v>
      </c>
      <c r="T111" s="61" t="s">
        <v>31</v>
      </c>
      <c r="U111" s="61" t="s">
        <v>964</v>
      </c>
      <c r="V111" s="61" t="s">
        <v>965</v>
      </c>
      <c r="W111" s="62">
        <v>43089</v>
      </c>
      <c r="X111" s="37" t="s">
        <v>30</v>
      </c>
      <c r="Y111" s="37">
        <v>0</v>
      </c>
      <c r="Z111" s="37" t="s">
        <v>31</v>
      </c>
      <c r="AA111" s="37" t="s">
        <v>31</v>
      </c>
      <c r="AB111" s="37" t="s">
        <v>513</v>
      </c>
      <c r="AC111" s="61"/>
      <c r="AD111" s="33"/>
      <c r="AE111" s="98" t="s">
        <v>28</v>
      </c>
      <c r="AF111" s="36">
        <v>44191</v>
      </c>
      <c r="AG111" s="36">
        <v>44191</v>
      </c>
      <c r="AH111" s="37"/>
      <c r="AI111" s="72">
        <v>44185</v>
      </c>
      <c r="AJ111" s="38" t="s">
        <v>27</v>
      </c>
      <c r="AK111" s="39" t="e">
        <f>VLOOKUP(A111,'[1]Externe MAJ Nov'!$A:$H,8,0)</f>
        <v>#N/A</v>
      </c>
      <c r="AL111" s="61"/>
      <c r="AM111" s="61"/>
      <c r="AN111" s="61"/>
      <c r="AO111" s="58">
        <v>44185</v>
      </c>
      <c r="AP111" s="29" t="e">
        <f>VLOOKUP(A111,'[2]External Scan 02_21'!$B:$J,9,0)</f>
        <v>#N/A</v>
      </c>
      <c r="AQ111" s="29" t="s">
        <v>28</v>
      </c>
      <c r="AR111" s="21"/>
      <c r="AS111" s="21" t="str">
        <f>VLOOKUP(AE111,'ref statu'!A:B,2,0)</f>
        <v>Fixed</v>
      </c>
      <c r="AT111" s="8" t="e">
        <f>VLOOKUP(A111,chk!A:B,2,0)</f>
        <v>#N/A</v>
      </c>
      <c r="AU111" s="29" t="e">
        <f>VLOOKUP(A111,checker!A:B,2,0)</f>
        <v>#N/A</v>
      </c>
      <c r="AV111" s="29" t="e">
        <f>VLOOKUP(A111,checker!B:C,2,0)</f>
        <v>#N/A</v>
      </c>
    </row>
    <row r="112" spans="1:48" x14ac:dyDescent="0.3">
      <c r="A112" s="29" t="str">
        <f t="shared" si="1"/>
        <v>96.692.66.646/0/oracle_linux-cve-2017-17806</v>
      </c>
      <c r="B112" s="61" t="s">
        <v>2997</v>
      </c>
      <c r="C112" s="61" t="s">
        <v>528</v>
      </c>
      <c r="D112" s="61" t="s">
        <v>2964</v>
      </c>
      <c r="E112" s="61" t="s">
        <v>28</v>
      </c>
      <c r="F112" s="61" t="s">
        <v>529</v>
      </c>
      <c r="G112" s="61" t="s">
        <v>530</v>
      </c>
      <c r="H112" s="61" t="s">
        <v>531</v>
      </c>
      <c r="I112" s="37" t="s">
        <v>532</v>
      </c>
      <c r="J112" s="37">
        <v>0</v>
      </c>
      <c r="K112" s="61" t="s">
        <v>258</v>
      </c>
      <c r="L112" s="61" t="s">
        <v>31</v>
      </c>
      <c r="M112" s="9">
        <v>7</v>
      </c>
      <c r="N112" s="10" t="s">
        <v>2540</v>
      </c>
      <c r="O112" s="61" t="s">
        <v>966</v>
      </c>
      <c r="P112" s="61" t="s">
        <v>967</v>
      </c>
      <c r="Q112" s="61" t="s">
        <v>968</v>
      </c>
      <c r="R112" s="61" t="s">
        <v>556</v>
      </c>
      <c r="S112" s="61" t="s">
        <v>969</v>
      </c>
      <c r="T112" s="61" t="s">
        <v>31</v>
      </c>
      <c r="U112" s="61" t="s">
        <v>970</v>
      </c>
      <c r="V112" s="61" t="s">
        <v>971</v>
      </c>
      <c r="W112" s="62">
        <v>43089</v>
      </c>
      <c r="X112" s="37" t="s">
        <v>30</v>
      </c>
      <c r="Y112" s="37">
        <v>0</v>
      </c>
      <c r="Z112" s="37" t="s">
        <v>31</v>
      </c>
      <c r="AA112" s="37" t="s">
        <v>31</v>
      </c>
      <c r="AB112" s="37" t="s">
        <v>513</v>
      </c>
      <c r="AC112" s="61"/>
      <c r="AD112" s="34"/>
      <c r="AE112" s="98" t="s">
        <v>28</v>
      </c>
      <c r="AF112" s="36">
        <v>44191</v>
      </c>
      <c r="AG112" s="36">
        <v>44191</v>
      </c>
      <c r="AH112" s="37"/>
      <c r="AI112" s="72">
        <v>44185</v>
      </c>
      <c r="AJ112" s="38" t="s">
        <v>27</v>
      </c>
      <c r="AK112" s="39" t="e">
        <f>VLOOKUP(A112,'[1]Externe MAJ Nov'!$A:$H,8,0)</f>
        <v>#N/A</v>
      </c>
      <c r="AL112" s="61"/>
      <c r="AM112" s="61"/>
      <c r="AN112" s="61"/>
      <c r="AO112" s="58">
        <v>44185</v>
      </c>
      <c r="AP112" s="29" t="e">
        <f>VLOOKUP(A112,'[2]External Scan 02_21'!$B:$J,9,0)</f>
        <v>#N/A</v>
      </c>
      <c r="AQ112" s="29" t="s">
        <v>28</v>
      </c>
      <c r="AR112" s="21"/>
      <c r="AS112" s="21" t="str">
        <f>VLOOKUP(AE112,'ref statu'!A:B,2,0)</f>
        <v>Fixed</v>
      </c>
      <c r="AT112" s="8" t="e">
        <f>VLOOKUP(A112,chk!A:B,2,0)</f>
        <v>#N/A</v>
      </c>
      <c r="AU112" s="29" t="e">
        <f>VLOOKUP(A112,checker!A:B,2,0)</f>
        <v>#N/A</v>
      </c>
      <c r="AV112" s="29" t="e">
        <f>VLOOKUP(A112,checker!B:C,2,0)</f>
        <v>#N/A</v>
      </c>
    </row>
    <row r="113" spans="1:48" x14ac:dyDescent="0.3">
      <c r="A113" s="29" t="str">
        <f t="shared" si="1"/>
        <v>96.692.66.646/0/oracle_linux-cve-2017-17807</v>
      </c>
      <c r="B113" s="61" t="s">
        <v>2997</v>
      </c>
      <c r="C113" s="61" t="s">
        <v>528</v>
      </c>
      <c r="D113" s="61" t="s">
        <v>2964</v>
      </c>
      <c r="E113" s="61" t="s">
        <v>28</v>
      </c>
      <c r="F113" s="61" t="s">
        <v>529</v>
      </c>
      <c r="G113" s="61" t="s">
        <v>530</v>
      </c>
      <c r="H113" s="61" t="s">
        <v>531</v>
      </c>
      <c r="I113" s="37" t="s">
        <v>532</v>
      </c>
      <c r="J113" s="37">
        <v>0</v>
      </c>
      <c r="K113" s="61" t="s">
        <v>258</v>
      </c>
      <c r="L113" s="61" t="s">
        <v>31</v>
      </c>
      <c r="M113" s="9">
        <v>2</v>
      </c>
      <c r="N113" s="9" t="s">
        <v>42</v>
      </c>
      <c r="O113" s="61" t="s">
        <v>972</v>
      </c>
      <c r="P113" s="61" t="s">
        <v>973</v>
      </c>
      <c r="Q113" s="61" t="s">
        <v>974</v>
      </c>
      <c r="R113" s="61" t="s">
        <v>606</v>
      </c>
      <c r="S113" s="61" t="s">
        <v>975</v>
      </c>
      <c r="T113" s="61" t="s">
        <v>31</v>
      </c>
      <c r="U113" s="61" t="s">
        <v>976</v>
      </c>
      <c r="V113" s="61" t="s">
        <v>977</v>
      </c>
      <c r="W113" s="62">
        <v>43089</v>
      </c>
      <c r="X113" s="37" t="s">
        <v>30</v>
      </c>
      <c r="Y113" s="37">
        <v>0</v>
      </c>
      <c r="Z113" s="37" t="s">
        <v>31</v>
      </c>
      <c r="AA113" s="37" t="s">
        <v>31</v>
      </c>
      <c r="AB113" s="37" t="s">
        <v>513</v>
      </c>
      <c r="AC113" s="61"/>
      <c r="AD113" s="34"/>
      <c r="AE113" s="98" t="s">
        <v>28</v>
      </c>
      <c r="AF113" s="36">
        <v>44191</v>
      </c>
      <c r="AG113" s="36">
        <v>44191</v>
      </c>
      <c r="AH113" s="37"/>
      <c r="AI113" s="72">
        <v>44185</v>
      </c>
      <c r="AJ113" s="38" t="s">
        <v>27</v>
      </c>
      <c r="AK113" s="39" t="e">
        <f>VLOOKUP(A113,'[1]Externe MAJ Nov'!$A:$H,8,0)</f>
        <v>#N/A</v>
      </c>
      <c r="AL113" s="61"/>
      <c r="AM113" s="61"/>
      <c r="AN113" s="61"/>
      <c r="AO113" s="58">
        <v>44185</v>
      </c>
      <c r="AP113" s="29" t="e">
        <f>VLOOKUP(A113,'[2]External Scan 02_21'!$B:$J,9,0)</f>
        <v>#N/A</v>
      </c>
      <c r="AQ113" s="29" t="s">
        <v>28</v>
      </c>
      <c r="AR113" s="21"/>
      <c r="AS113" s="21" t="str">
        <f>VLOOKUP(AE113,'ref statu'!A:B,2,0)</f>
        <v>Fixed</v>
      </c>
      <c r="AT113" s="8" t="e">
        <f>VLOOKUP(A113,chk!A:B,2,0)</f>
        <v>#N/A</v>
      </c>
      <c r="AU113" s="29" t="e">
        <f>VLOOKUP(A113,checker!A:B,2,0)</f>
        <v>#N/A</v>
      </c>
      <c r="AV113" s="29" t="e">
        <f>VLOOKUP(A113,checker!B:C,2,0)</f>
        <v>#N/A</v>
      </c>
    </row>
    <row r="114" spans="1:48" x14ac:dyDescent="0.3">
      <c r="A114" s="29" t="str">
        <f t="shared" si="1"/>
        <v>96.692.66.646/0/oracle_linux-cve-2017-18017</v>
      </c>
      <c r="B114" s="61" t="s">
        <v>2997</v>
      </c>
      <c r="C114" s="61" t="s">
        <v>528</v>
      </c>
      <c r="D114" s="61" t="s">
        <v>2964</v>
      </c>
      <c r="E114" s="61" t="s">
        <v>28</v>
      </c>
      <c r="F114" s="61" t="s">
        <v>529</v>
      </c>
      <c r="G114" s="61" t="s">
        <v>530</v>
      </c>
      <c r="H114" s="61" t="s">
        <v>531</v>
      </c>
      <c r="I114" s="37" t="s">
        <v>532</v>
      </c>
      <c r="J114" s="37">
        <v>0</v>
      </c>
      <c r="K114" s="61" t="s">
        <v>258</v>
      </c>
      <c r="L114" s="61" t="s">
        <v>31</v>
      </c>
      <c r="M114" s="9">
        <v>10</v>
      </c>
      <c r="N114" s="10" t="s">
        <v>164</v>
      </c>
      <c r="O114" s="61" t="s">
        <v>978</v>
      </c>
      <c r="P114" s="61" t="s">
        <v>979</v>
      </c>
      <c r="Q114" s="61" t="s">
        <v>980</v>
      </c>
      <c r="R114" s="61" t="s">
        <v>668</v>
      </c>
      <c r="S114" s="61" t="s">
        <v>981</v>
      </c>
      <c r="T114" s="61" t="s">
        <v>31</v>
      </c>
      <c r="U114" s="61" t="s">
        <v>982</v>
      </c>
      <c r="V114" s="61" t="s">
        <v>983</v>
      </c>
      <c r="W114" s="62">
        <v>43103</v>
      </c>
      <c r="X114" s="37" t="s">
        <v>30</v>
      </c>
      <c r="Y114" s="37">
        <v>0</v>
      </c>
      <c r="Z114" s="37" t="s">
        <v>31</v>
      </c>
      <c r="AA114" s="37" t="s">
        <v>31</v>
      </c>
      <c r="AB114" s="37" t="s">
        <v>513</v>
      </c>
      <c r="AC114" s="61"/>
      <c r="AD114" s="33"/>
      <c r="AE114" s="98" t="s">
        <v>28</v>
      </c>
      <c r="AF114" s="36">
        <v>44191</v>
      </c>
      <c r="AG114" s="36">
        <v>44191</v>
      </c>
      <c r="AH114" s="37"/>
      <c r="AI114" s="72">
        <v>44185</v>
      </c>
      <c r="AJ114" s="38" t="s">
        <v>27</v>
      </c>
      <c r="AK114" s="39" t="e">
        <f>VLOOKUP(A114,'[1]Externe MAJ Nov'!$A:$H,8,0)</f>
        <v>#N/A</v>
      </c>
      <c r="AL114" s="61"/>
      <c r="AM114" s="61"/>
      <c r="AN114" s="61"/>
      <c r="AO114" s="58">
        <v>44185</v>
      </c>
      <c r="AP114" s="29" t="e">
        <f>VLOOKUP(A114,'[2]External Scan 02_21'!$B:$J,9,0)</f>
        <v>#N/A</v>
      </c>
      <c r="AQ114" s="29" t="s">
        <v>28</v>
      </c>
      <c r="AR114" s="21"/>
      <c r="AS114" s="21" t="str">
        <f>VLOOKUP(AE114,'ref statu'!A:B,2,0)</f>
        <v>Fixed</v>
      </c>
      <c r="AT114" s="8" t="e">
        <f>VLOOKUP(A114,chk!A:B,2,0)</f>
        <v>#N/A</v>
      </c>
      <c r="AU114" s="29" t="e">
        <f>VLOOKUP(A114,checker!A:B,2,0)</f>
        <v>#N/A</v>
      </c>
      <c r="AV114" s="29" t="e">
        <f>VLOOKUP(A114,checker!B:C,2,0)</f>
        <v>#N/A</v>
      </c>
    </row>
    <row r="115" spans="1:48" x14ac:dyDescent="0.3">
      <c r="A115" s="29" t="str">
        <f t="shared" si="1"/>
        <v>96.692.66.646/0/oracle_linux-cve-2017-18079</v>
      </c>
      <c r="B115" s="61" t="s">
        <v>2997</v>
      </c>
      <c r="C115" s="61" t="s">
        <v>528</v>
      </c>
      <c r="D115" s="61" t="s">
        <v>2964</v>
      </c>
      <c r="E115" s="61" t="s">
        <v>28</v>
      </c>
      <c r="F115" s="61" t="s">
        <v>529</v>
      </c>
      <c r="G115" s="61" t="s">
        <v>530</v>
      </c>
      <c r="H115" s="61" t="s">
        <v>531</v>
      </c>
      <c r="I115" s="37" t="s">
        <v>532</v>
      </c>
      <c r="J115" s="37">
        <v>0</v>
      </c>
      <c r="K115" s="61" t="s">
        <v>258</v>
      </c>
      <c r="L115" s="61" t="s">
        <v>31</v>
      </c>
      <c r="M115" s="9">
        <v>7</v>
      </c>
      <c r="N115" s="10" t="s">
        <v>2540</v>
      </c>
      <c r="O115" s="61" t="s">
        <v>984</v>
      </c>
      <c r="P115" s="61" t="s">
        <v>985</v>
      </c>
      <c r="Q115" s="61" t="s">
        <v>986</v>
      </c>
      <c r="R115" s="61" t="s">
        <v>556</v>
      </c>
      <c r="S115" s="61" t="s">
        <v>987</v>
      </c>
      <c r="T115" s="61" t="s">
        <v>31</v>
      </c>
      <c r="U115" s="61" t="s">
        <v>988</v>
      </c>
      <c r="V115" s="61" t="s">
        <v>989</v>
      </c>
      <c r="W115" s="62">
        <v>43129</v>
      </c>
      <c r="X115" s="37" t="s">
        <v>30</v>
      </c>
      <c r="Y115" s="37">
        <v>0</v>
      </c>
      <c r="Z115" s="37" t="s">
        <v>31</v>
      </c>
      <c r="AA115" s="37" t="s">
        <v>31</v>
      </c>
      <c r="AB115" s="37" t="s">
        <v>513</v>
      </c>
      <c r="AC115" s="61"/>
      <c r="AD115" s="34"/>
      <c r="AE115" s="98" t="s">
        <v>28</v>
      </c>
      <c r="AF115" s="36">
        <v>44191</v>
      </c>
      <c r="AG115" s="36">
        <v>44191</v>
      </c>
      <c r="AH115" s="37"/>
      <c r="AI115" s="72">
        <v>44185</v>
      </c>
      <c r="AJ115" s="38" t="s">
        <v>27</v>
      </c>
      <c r="AK115" s="39" t="e">
        <f>VLOOKUP(A115,'[1]Externe MAJ Nov'!$A:$H,8,0)</f>
        <v>#N/A</v>
      </c>
      <c r="AL115" s="61"/>
      <c r="AM115" s="61"/>
      <c r="AN115" s="61"/>
      <c r="AO115" s="58">
        <v>44185</v>
      </c>
      <c r="AP115" s="29" t="e">
        <f>VLOOKUP(A115,'[2]External Scan 02_21'!$B:$J,9,0)</f>
        <v>#N/A</v>
      </c>
      <c r="AQ115" s="29" t="s">
        <v>28</v>
      </c>
      <c r="AR115" s="21"/>
      <c r="AS115" s="21" t="str">
        <f>VLOOKUP(AE115,'ref statu'!A:B,2,0)</f>
        <v>Fixed</v>
      </c>
      <c r="AT115" s="8" t="e">
        <f>VLOOKUP(A115,chk!A:B,2,0)</f>
        <v>#N/A</v>
      </c>
      <c r="AU115" s="29" t="e">
        <f>VLOOKUP(A115,checker!A:B,2,0)</f>
        <v>#N/A</v>
      </c>
      <c r="AV115" s="29" t="e">
        <f>VLOOKUP(A115,checker!B:C,2,0)</f>
        <v>#N/A</v>
      </c>
    </row>
    <row r="116" spans="1:48" x14ac:dyDescent="0.3">
      <c r="A116" s="29" t="str">
        <f t="shared" si="1"/>
        <v>96.692.66.646/0/oracle_linux-cve-2017-18174</v>
      </c>
      <c r="B116" s="61" t="s">
        <v>2997</v>
      </c>
      <c r="C116" s="61" t="s">
        <v>528</v>
      </c>
      <c r="D116" s="61" t="s">
        <v>2964</v>
      </c>
      <c r="E116" s="61" t="s">
        <v>28</v>
      </c>
      <c r="F116" s="61" t="s">
        <v>529</v>
      </c>
      <c r="G116" s="61" t="s">
        <v>530</v>
      </c>
      <c r="H116" s="61" t="s">
        <v>531</v>
      </c>
      <c r="I116" s="37" t="s">
        <v>532</v>
      </c>
      <c r="J116" s="37">
        <v>0</v>
      </c>
      <c r="K116" s="61" t="s">
        <v>258</v>
      </c>
      <c r="L116" s="61" t="s">
        <v>31</v>
      </c>
      <c r="M116" s="9">
        <v>8</v>
      </c>
      <c r="N116" s="10" t="s">
        <v>2540</v>
      </c>
      <c r="O116" s="61" t="s">
        <v>990</v>
      </c>
      <c r="P116" s="61" t="s">
        <v>991</v>
      </c>
      <c r="Q116" s="61" t="s">
        <v>992</v>
      </c>
      <c r="R116" s="61" t="s">
        <v>536</v>
      </c>
      <c r="S116" s="61" t="s">
        <v>993</v>
      </c>
      <c r="T116" s="61" t="s">
        <v>31</v>
      </c>
      <c r="U116" s="61" t="s">
        <v>994</v>
      </c>
      <c r="V116" s="61" t="s">
        <v>995</v>
      </c>
      <c r="W116" s="62">
        <v>43142</v>
      </c>
      <c r="X116" s="37" t="s">
        <v>30</v>
      </c>
      <c r="Y116" s="37">
        <v>0</v>
      </c>
      <c r="Z116" s="37" t="s">
        <v>31</v>
      </c>
      <c r="AA116" s="37" t="s">
        <v>31</v>
      </c>
      <c r="AB116" s="37" t="s">
        <v>513</v>
      </c>
      <c r="AC116" s="61"/>
      <c r="AD116" s="34"/>
      <c r="AE116" s="98" t="s">
        <v>28</v>
      </c>
      <c r="AF116" s="36">
        <v>44191</v>
      </c>
      <c r="AG116" s="36">
        <v>44191</v>
      </c>
      <c r="AH116" s="37"/>
      <c r="AI116" s="72">
        <v>44185</v>
      </c>
      <c r="AJ116" s="38" t="s">
        <v>27</v>
      </c>
      <c r="AK116" s="39" t="e">
        <f>VLOOKUP(A116,'[1]Externe MAJ Nov'!$A:$H,8,0)</f>
        <v>#N/A</v>
      </c>
      <c r="AL116" s="61"/>
      <c r="AM116" s="61"/>
      <c r="AN116" s="61"/>
      <c r="AO116" s="58">
        <v>44185</v>
      </c>
      <c r="AP116" s="29" t="e">
        <f>VLOOKUP(A116,'[2]External Scan 02_21'!$B:$J,9,0)</f>
        <v>#N/A</v>
      </c>
      <c r="AQ116" s="29" t="s">
        <v>28</v>
      </c>
      <c r="AR116" s="21"/>
      <c r="AS116" s="21" t="str">
        <f>VLOOKUP(AE116,'ref statu'!A:B,2,0)</f>
        <v>Fixed</v>
      </c>
      <c r="AT116" s="8" t="e">
        <f>VLOOKUP(A116,chk!A:B,2,0)</f>
        <v>#N/A</v>
      </c>
      <c r="AU116" s="29" t="e">
        <f>VLOOKUP(A116,checker!A:B,2,0)</f>
        <v>#N/A</v>
      </c>
      <c r="AV116" s="29" t="e">
        <f>VLOOKUP(A116,checker!B:C,2,0)</f>
        <v>#N/A</v>
      </c>
    </row>
    <row r="117" spans="1:48" x14ac:dyDescent="0.3">
      <c r="A117" s="29" t="str">
        <f t="shared" si="1"/>
        <v>96.692.66.646/0/oracle_linux-cve-2017-18203</v>
      </c>
      <c r="B117" s="61" t="s">
        <v>2997</v>
      </c>
      <c r="C117" s="61" t="s">
        <v>528</v>
      </c>
      <c r="D117" s="61" t="s">
        <v>2964</v>
      </c>
      <c r="E117" s="61" t="s">
        <v>28</v>
      </c>
      <c r="F117" s="61" t="s">
        <v>529</v>
      </c>
      <c r="G117" s="61" t="s">
        <v>530</v>
      </c>
      <c r="H117" s="61" t="s">
        <v>531</v>
      </c>
      <c r="I117" s="37" t="s">
        <v>532</v>
      </c>
      <c r="J117" s="37">
        <v>0</v>
      </c>
      <c r="K117" s="61" t="s">
        <v>258</v>
      </c>
      <c r="L117" s="61" t="s">
        <v>31</v>
      </c>
      <c r="M117" s="9">
        <v>2</v>
      </c>
      <c r="N117" s="9" t="s">
        <v>42</v>
      </c>
      <c r="O117" s="61" t="s">
        <v>996</v>
      </c>
      <c r="P117" s="61" t="s">
        <v>997</v>
      </c>
      <c r="Q117" s="61" t="s">
        <v>998</v>
      </c>
      <c r="R117" s="61" t="s">
        <v>668</v>
      </c>
      <c r="S117" s="61" t="s">
        <v>999</v>
      </c>
      <c r="T117" s="61" t="s">
        <v>31</v>
      </c>
      <c r="U117" s="61" t="s">
        <v>1000</v>
      </c>
      <c r="V117" s="61" t="s">
        <v>1001</v>
      </c>
      <c r="W117" s="62">
        <v>43158</v>
      </c>
      <c r="X117" s="37" t="s">
        <v>30</v>
      </c>
      <c r="Y117" s="37">
        <v>0</v>
      </c>
      <c r="Z117" s="37" t="s">
        <v>31</v>
      </c>
      <c r="AA117" s="37" t="s">
        <v>31</v>
      </c>
      <c r="AB117" s="37" t="s">
        <v>513</v>
      </c>
      <c r="AC117" s="61"/>
      <c r="AD117" s="33"/>
      <c r="AE117" s="98" t="s">
        <v>28</v>
      </c>
      <c r="AF117" s="36">
        <v>44191</v>
      </c>
      <c r="AG117" s="36">
        <v>44191</v>
      </c>
      <c r="AH117" s="37"/>
      <c r="AI117" s="72">
        <v>44185</v>
      </c>
      <c r="AJ117" s="38" t="s">
        <v>27</v>
      </c>
      <c r="AK117" s="39" t="e">
        <f>VLOOKUP(A117,'[1]Externe MAJ Nov'!$A:$H,8,0)</f>
        <v>#N/A</v>
      </c>
      <c r="AL117" s="61"/>
      <c r="AM117" s="61"/>
      <c r="AN117" s="61"/>
      <c r="AO117" s="58">
        <v>44185</v>
      </c>
      <c r="AP117" s="29" t="e">
        <f>VLOOKUP(A117,'[2]External Scan 02_21'!$B:$J,9,0)</f>
        <v>#N/A</v>
      </c>
      <c r="AQ117" s="29" t="s">
        <v>28</v>
      </c>
      <c r="AR117" s="21"/>
      <c r="AS117" s="21" t="str">
        <f>VLOOKUP(AE117,'ref statu'!A:B,2,0)</f>
        <v>Fixed</v>
      </c>
      <c r="AT117" s="8" t="e">
        <f>VLOOKUP(A117,chk!A:B,2,0)</f>
        <v>#N/A</v>
      </c>
      <c r="AU117" s="29" t="e">
        <f>VLOOKUP(A117,checker!A:B,2,0)</f>
        <v>#N/A</v>
      </c>
      <c r="AV117" s="29" t="e">
        <f>VLOOKUP(A117,checker!B:C,2,0)</f>
        <v>#N/A</v>
      </c>
    </row>
    <row r="118" spans="1:48" x14ac:dyDescent="0.3">
      <c r="A118" s="29" t="str">
        <f t="shared" si="1"/>
        <v>96.692.66.646/0/oracle_linux-cve-2017-18208</v>
      </c>
      <c r="B118" s="61" t="s">
        <v>2997</v>
      </c>
      <c r="C118" s="61" t="s">
        <v>528</v>
      </c>
      <c r="D118" s="61" t="s">
        <v>2964</v>
      </c>
      <c r="E118" s="61" t="s">
        <v>28</v>
      </c>
      <c r="F118" s="61" t="s">
        <v>529</v>
      </c>
      <c r="G118" s="61" t="s">
        <v>530</v>
      </c>
      <c r="H118" s="61" t="s">
        <v>531</v>
      </c>
      <c r="I118" s="37" t="s">
        <v>532</v>
      </c>
      <c r="J118" s="37">
        <v>0</v>
      </c>
      <c r="K118" s="61" t="s">
        <v>258</v>
      </c>
      <c r="L118" s="61" t="s">
        <v>31</v>
      </c>
      <c r="M118" s="9">
        <v>5</v>
      </c>
      <c r="N118" s="9" t="s">
        <v>29</v>
      </c>
      <c r="O118" s="61" t="s">
        <v>1002</v>
      </c>
      <c r="P118" s="61" t="s">
        <v>1003</v>
      </c>
      <c r="Q118" s="61" t="s">
        <v>1004</v>
      </c>
      <c r="R118" s="61" t="s">
        <v>581</v>
      </c>
      <c r="S118" s="61" t="s">
        <v>1005</v>
      </c>
      <c r="T118" s="61" t="s">
        <v>31</v>
      </c>
      <c r="U118" s="61" t="s">
        <v>1006</v>
      </c>
      <c r="V118" s="61" t="s">
        <v>1007</v>
      </c>
      <c r="W118" s="62">
        <v>43160</v>
      </c>
      <c r="X118" s="37" t="s">
        <v>30</v>
      </c>
      <c r="Y118" s="37">
        <v>0</v>
      </c>
      <c r="Z118" s="37" t="s">
        <v>31</v>
      </c>
      <c r="AA118" s="37" t="s">
        <v>31</v>
      </c>
      <c r="AB118" s="37" t="s">
        <v>513</v>
      </c>
      <c r="AC118" s="61"/>
      <c r="AD118" s="34"/>
      <c r="AE118" s="98" t="s">
        <v>28</v>
      </c>
      <c r="AF118" s="36">
        <v>44191</v>
      </c>
      <c r="AG118" s="36">
        <v>44191</v>
      </c>
      <c r="AH118" s="37"/>
      <c r="AI118" s="72">
        <v>44185</v>
      </c>
      <c r="AJ118" s="38" t="s">
        <v>27</v>
      </c>
      <c r="AK118" s="39" t="e">
        <f>VLOOKUP(A118,'[1]Externe MAJ Nov'!$A:$H,8,0)</f>
        <v>#N/A</v>
      </c>
      <c r="AL118" s="61"/>
      <c r="AM118" s="61"/>
      <c r="AN118" s="61"/>
      <c r="AO118" s="58">
        <v>44185</v>
      </c>
      <c r="AP118" s="29" t="e">
        <f>VLOOKUP(A118,'[2]External Scan 02_21'!$B:$J,9,0)</f>
        <v>#N/A</v>
      </c>
      <c r="AQ118" s="29" t="s">
        <v>28</v>
      </c>
      <c r="AR118" s="21"/>
      <c r="AS118" s="21" t="str">
        <f>VLOOKUP(AE118,'ref statu'!A:B,2,0)</f>
        <v>Fixed</v>
      </c>
      <c r="AT118" s="8" t="e">
        <f>VLOOKUP(A118,chk!A:B,2,0)</f>
        <v>#N/A</v>
      </c>
      <c r="AU118" s="29" t="e">
        <f>VLOOKUP(A118,checker!A:B,2,0)</f>
        <v>#N/A</v>
      </c>
      <c r="AV118" s="29" t="e">
        <f>VLOOKUP(A118,checker!B:C,2,0)</f>
        <v>#N/A</v>
      </c>
    </row>
    <row r="119" spans="1:48" x14ac:dyDescent="0.3">
      <c r="A119" s="29" t="str">
        <f t="shared" si="1"/>
        <v>96.692.66.646/0/oracle_linux-cve-2017-18221</v>
      </c>
      <c r="B119" s="61" t="s">
        <v>2997</v>
      </c>
      <c r="C119" s="61" t="s">
        <v>528</v>
      </c>
      <c r="D119" s="61" t="s">
        <v>2964</v>
      </c>
      <c r="E119" s="61" t="s">
        <v>28</v>
      </c>
      <c r="F119" s="61" t="s">
        <v>529</v>
      </c>
      <c r="G119" s="61" t="s">
        <v>530</v>
      </c>
      <c r="H119" s="61" t="s">
        <v>531</v>
      </c>
      <c r="I119" s="37" t="s">
        <v>532</v>
      </c>
      <c r="J119" s="37">
        <v>0</v>
      </c>
      <c r="K119" s="61" t="s">
        <v>258</v>
      </c>
      <c r="L119" s="61" t="s">
        <v>31</v>
      </c>
      <c r="M119" s="9">
        <v>5</v>
      </c>
      <c r="N119" s="9" t="s">
        <v>29</v>
      </c>
      <c r="O119" s="61" t="s">
        <v>1008</v>
      </c>
      <c r="P119" s="61" t="s">
        <v>1009</v>
      </c>
      <c r="Q119" s="61" t="s">
        <v>1010</v>
      </c>
      <c r="R119" s="61" t="s">
        <v>536</v>
      </c>
      <c r="S119" s="61" t="s">
        <v>1011</v>
      </c>
      <c r="T119" s="61" t="s">
        <v>31</v>
      </c>
      <c r="U119" s="61" t="s">
        <v>1012</v>
      </c>
      <c r="V119" s="61" t="s">
        <v>1013</v>
      </c>
      <c r="W119" s="62">
        <v>43166</v>
      </c>
      <c r="X119" s="37" t="s">
        <v>30</v>
      </c>
      <c r="Y119" s="37">
        <v>0</v>
      </c>
      <c r="Z119" s="37" t="s">
        <v>31</v>
      </c>
      <c r="AA119" s="37" t="s">
        <v>31</v>
      </c>
      <c r="AB119" s="37" t="s">
        <v>513</v>
      </c>
      <c r="AC119" s="61"/>
      <c r="AD119" s="34"/>
      <c r="AE119" s="98" t="s">
        <v>28</v>
      </c>
      <c r="AF119" s="36">
        <v>44191</v>
      </c>
      <c r="AG119" s="36">
        <v>44191</v>
      </c>
      <c r="AH119" s="37"/>
      <c r="AI119" s="72">
        <v>44185</v>
      </c>
      <c r="AJ119" s="38" t="s">
        <v>27</v>
      </c>
      <c r="AK119" s="39" t="e">
        <f>VLOOKUP(A119,'[1]Externe MAJ Nov'!$A:$H,8,0)</f>
        <v>#N/A</v>
      </c>
      <c r="AL119" s="61"/>
      <c r="AM119" s="61"/>
      <c r="AN119" s="61"/>
      <c r="AO119" s="58">
        <v>44185</v>
      </c>
      <c r="AP119" s="29" t="e">
        <f>VLOOKUP(A119,'[2]External Scan 02_21'!$B:$J,9,0)</f>
        <v>#N/A</v>
      </c>
      <c r="AQ119" s="29" t="s">
        <v>28</v>
      </c>
      <c r="AR119" s="21"/>
      <c r="AS119" s="21" t="str">
        <f>VLOOKUP(AE119,'ref statu'!A:B,2,0)</f>
        <v>Fixed</v>
      </c>
      <c r="AT119" s="8" t="e">
        <f>VLOOKUP(A119,chk!A:B,2,0)</f>
        <v>#N/A</v>
      </c>
      <c r="AU119" s="29" t="e">
        <f>VLOOKUP(A119,checker!A:B,2,0)</f>
        <v>#N/A</v>
      </c>
      <c r="AV119" s="29" t="e">
        <f>VLOOKUP(A119,checker!B:C,2,0)</f>
        <v>#N/A</v>
      </c>
    </row>
    <row r="120" spans="1:48" x14ac:dyDescent="0.3">
      <c r="A120" s="29" t="str">
        <f t="shared" si="1"/>
        <v>96.692.66.646/0/oracle_linux-cve-2017-18255</v>
      </c>
      <c r="B120" s="61" t="s">
        <v>2997</v>
      </c>
      <c r="C120" s="61" t="s">
        <v>528</v>
      </c>
      <c r="D120" s="61" t="s">
        <v>2964</v>
      </c>
      <c r="E120" s="61" t="s">
        <v>28</v>
      </c>
      <c r="F120" s="61" t="s">
        <v>529</v>
      </c>
      <c r="G120" s="61" t="s">
        <v>530</v>
      </c>
      <c r="H120" s="61" t="s">
        <v>531</v>
      </c>
      <c r="I120" s="37" t="s">
        <v>532</v>
      </c>
      <c r="J120" s="37">
        <v>0</v>
      </c>
      <c r="K120" s="61" t="s">
        <v>258</v>
      </c>
      <c r="L120" s="61" t="s">
        <v>31</v>
      </c>
      <c r="M120" s="9">
        <v>5</v>
      </c>
      <c r="N120" s="9" t="s">
        <v>29</v>
      </c>
      <c r="O120" s="61" t="s">
        <v>1014</v>
      </c>
      <c r="P120" s="61" t="s">
        <v>1015</v>
      </c>
      <c r="Q120" s="61" t="s">
        <v>1016</v>
      </c>
      <c r="R120" s="61" t="s">
        <v>536</v>
      </c>
      <c r="S120" s="61" t="s">
        <v>1017</v>
      </c>
      <c r="T120" s="61" t="s">
        <v>31</v>
      </c>
      <c r="U120" s="61" t="s">
        <v>1018</v>
      </c>
      <c r="V120" s="61" t="s">
        <v>1019</v>
      </c>
      <c r="W120" s="62">
        <v>43190</v>
      </c>
      <c r="X120" s="37" t="s">
        <v>30</v>
      </c>
      <c r="Y120" s="37">
        <v>0</v>
      </c>
      <c r="Z120" s="37" t="s">
        <v>31</v>
      </c>
      <c r="AA120" s="37" t="s">
        <v>31</v>
      </c>
      <c r="AB120" s="37" t="s">
        <v>513</v>
      </c>
      <c r="AC120" s="61"/>
      <c r="AD120" s="33"/>
      <c r="AE120" s="98" t="s">
        <v>28</v>
      </c>
      <c r="AF120" s="36">
        <v>44191</v>
      </c>
      <c r="AG120" s="36">
        <v>44191</v>
      </c>
      <c r="AH120" s="37"/>
      <c r="AI120" s="72">
        <v>44185</v>
      </c>
      <c r="AJ120" s="38" t="s">
        <v>27</v>
      </c>
      <c r="AK120" s="39" t="e">
        <f>VLOOKUP(A120,'[1]Externe MAJ Nov'!$A:$H,8,0)</f>
        <v>#N/A</v>
      </c>
      <c r="AL120" s="61"/>
      <c r="AM120" s="61"/>
      <c r="AN120" s="61"/>
      <c r="AO120" s="58">
        <v>44185</v>
      </c>
      <c r="AP120" s="29" t="e">
        <f>VLOOKUP(A120,'[2]External Scan 02_21'!$B:$J,9,0)</f>
        <v>#N/A</v>
      </c>
      <c r="AQ120" s="29" t="s">
        <v>28</v>
      </c>
      <c r="AR120" s="21"/>
      <c r="AS120" s="21" t="str">
        <f>VLOOKUP(AE120,'ref statu'!A:B,2,0)</f>
        <v>Fixed</v>
      </c>
      <c r="AT120" s="8" t="e">
        <f>VLOOKUP(A120,chk!A:B,2,0)</f>
        <v>#N/A</v>
      </c>
      <c r="AU120" s="29" t="e">
        <f>VLOOKUP(A120,checker!A:B,2,0)</f>
        <v>#N/A</v>
      </c>
      <c r="AV120" s="29" t="e">
        <f>VLOOKUP(A120,checker!B:C,2,0)</f>
        <v>#N/A</v>
      </c>
    </row>
    <row r="121" spans="1:48" x14ac:dyDescent="0.3">
      <c r="A121" s="29" t="str">
        <f t="shared" si="1"/>
        <v>96.692.66.646/0/oracle_linux-cve-2017-18344</v>
      </c>
      <c r="B121" s="61" t="s">
        <v>2997</v>
      </c>
      <c r="C121" s="61" t="s">
        <v>528</v>
      </c>
      <c r="D121" s="61" t="s">
        <v>2964</v>
      </c>
      <c r="E121" s="61" t="s">
        <v>28</v>
      </c>
      <c r="F121" s="61" t="s">
        <v>529</v>
      </c>
      <c r="G121" s="61" t="s">
        <v>530</v>
      </c>
      <c r="H121" s="61" t="s">
        <v>531</v>
      </c>
      <c r="I121" s="37" t="s">
        <v>532</v>
      </c>
      <c r="J121" s="37">
        <v>0</v>
      </c>
      <c r="K121" s="61" t="s">
        <v>258</v>
      </c>
      <c r="L121" s="61" t="s">
        <v>31</v>
      </c>
      <c r="M121" s="9">
        <v>2</v>
      </c>
      <c r="N121" s="9" t="s">
        <v>42</v>
      </c>
      <c r="O121" s="61" t="s">
        <v>1020</v>
      </c>
      <c r="P121" s="61" t="s">
        <v>1021</v>
      </c>
      <c r="Q121" s="61" t="s">
        <v>1022</v>
      </c>
      <c r="R121" s="61" t="s">
        <v>606</v>
      </c>
      <c r="S121" s="61" t="s">
        <v>1023</v>
      </c>
      <c r="T121" s="61" t="s">
        <v>31</v>
      </c>
      <c r="U121" s="61" t="s">
        <v>1024</v>
      </c>
      <c r="V121" s="61" t="s">
        <v>1025</v>
      </c>
      <c r="W121" s="62">
        <v>43307</v>
      </c>
      <c r="X121" s="37" t="s">
        <v>30</v>
      </c>
      <c r="Y121" s="37">
        <v>1</v>
      </c>
      <c r="Z121" s="37" t="s">
        <v>279</v>
      </c>
      <c r="AA121" s="37" t="s">
        <v>1026</v>
      </c>
      <c r="AB121" s="37" t="s">
        <v>513</v>
      </c>
      <c r="AC121" s="61"/>
      <c r="AD121" s="34"/>
      <c r="AE121" s="98" t="s">
        <v>28</v>
      </c>
      <c r="AF121" s="36">
        <v>44191</v>
      </c>
      <c r="AG121" s="36">
        <v>44191</v>
      </c>
      <c r="AH121" s="37"/>
      <c r="AI121" s="72">
        <v>44185</v>
      </c>
      <c r="AJ121" s="38" t="s">
        <v>27</v>
      </c>
      <c r="AK121" s="39" t="e">
        <f>VLOOKUP(A121,'[1]Externe MAJ Nov'!$A:$H,8,0)</f>
        <v>#N/A</v>
      </c>
      <c r="AL121" s="61"/>
      <c r="AM121" s="61"/>
      <c r="AN121" s="61"/>
      <c r="AO121" s="58">
        <v>44185</v>
      </c>
      <c r="AP121" s="29" t="e">
        <f>VLOOKUP(A121,'[2]External Scan 02_21'!$B:$J,9,0)</f>
        <v>#N/A</v>
      </c>
      <c r="AQ121" s="29" t="s">
        <v>28</v>
      </c>
      <c r="AR121" s="21"/>
      <c r="AS121" s="21" t="str">
        <f>VLOOKUP(AE121,'ref statu'!A:B,2,0)</f>
        <v>Fixed</v>
      </c>
      <c r="AT121" s="8" t="e">
        <f>VLOOKUP(A121,chk!A:B,2,0)</f>
        <v>#N/A</v>
      </c>
      <c r="AU121" s="29" t="e">
        <f>VLOOKUP(A121,checker!A:B,2,0)</f>
        <v>#N/A</v>
      </c>
      <c r="AV121" s="29" t="e">
        <f>VLOOKUP(A121,checker!B:C,2,0)</f>
        <v>#N/A</v>
      </c>
    </row>
    <row r="122" spans="1:48" x14ac:dyDescent="0.3">
      <c r="A122" s="29" t="str">
        <f t="shared" si="1"/>
        <v>96.692.66.646/0/oracle_linux-cve-2017-18360</v>
      </c>
      <c r="B122" s="61" t="s">
        <v>2997</v>
      </c>
      <c r="C122" s="61" t="s">
        <v>528</v>
      </c>
      <c r="D122" s="61" t="s">
        <v>2964</v>
      </c>
      <c r="E122" s="61" t="s">
        <v>28</v>
      </c>
      <c r="F122" s="61" t="s">
        <v>529</v>
      </c>
      <c r="G122" s="61" t="s">
        <v>530</v>
      </c>
      <c r="H122" s="61" t="s">
        <v>531</v>
      </c>
      <c r="I122" s="37" t="s">
        <v>532</v>
      </c>
      <c r="J122" s="37">
        <v>0</v>
      </c>
      <c r="K122" s="61" t="s">
        <v>258</v>
      </c>
      <c r="L122" s="61" t="s">
        <v>31</v>
      </c>
      <c r="M122" s="9">
        <v>5</v>
      </c>
      <c r="N122" s="9" t="s">
        <v>29</v>
      </c>
      <c r="O122" s="61" t="s">
        <v>1027</v>
      </c>
      <c r="P122" s="61" t="s">
        <v>1028</v>
      </c>
      <c r="Q122" s="61" t="s">
        <v>1029</v>
      </c>
      <c r="R122" s="61" t="s">
        <v>536</v>
      </c>
      <c r="S122" s="61" t="s">
        <v>1030</v>
      </c>
      <c r="T122" s="61" t="s">
        <v>31</v>
      </c>
      <c r="U122" s="61" t="s">
        <v>1031</v>
      </c>
      <c r="V122" s="61" t="s">
        <v>1032</v>
      </c>
      <c r="W122" s="62">
        <v>43496</v>
      </c>
      <c r="X122" s="37" t="s">
        <v>30</v>
      </c>
      <c r="Y122" s="37">
        <v>0</v>
      </c>
      <c r="Z122" s="37" t="s">
        <v>31</v>
      </c>
      <c r="AA122" s="37" t="s">
        <v>31</v>
      </c>
      <c r="AB122" s="37" t="s">
        <v>513</v>
      </c>
      <c r="AC122" s="61"/>
      <c r="AD122" s="34"/>
      <c r="AE122" s="98" t="s">
        <v>28</v>
      </c>
      <c r="AF122" s="36">
        <v>44191</v>
      </c>
      <c r="AG122" s="36">
        <v>44191</v>
      </c>
      <c r="AH122" s="37"/>
      <c r="AI122" s="72">
        <v>44185</v>
      </c>
      <c r="AJ122" s="38" t="s">
        <v>27</v>
      </c>
      <c r="AK122" s="39" t="e">
        <f>VLOOKUP(A122,'[1]Externe MAJ Nov'!$A:$H,8,0)</f>
        <v>#N/A</v>
      </c>
      <c r="AL122" s="61"/>
      <c r="AM122" s="61"/>
      <c r="AN122" s="61"/>
      <c r="AO122" s="58">
        <v>44185</v>
      </c>
      <c r="AP122" s="29" t="e">
        <f>VLOOKUP(A122,'[2]External Scan 02_21'!$B:$J,9,0)</f>
        <v>#N/A</v>
      </c>
      <c r="AQ122" s="29" t="s">
        <v>28</v>
      </c>
      <c r="AR122" s="21"/>
      <c r="AS122" s="21" t="str">
        <f>VLOOKUP(AE122,'ref statu'!A:B,2,0)</f>
        <v>Fixed</v>
      </c>
      <c r="AT122" s="8" t="e">
        <f>VLOOKUP(A122,chk!A:B,2,0)</f>
        <v>#N/A</v>
      </c>
      <c r="AU122" s="29" t="e">
        <f>VLOOKUP(A122,checker!A:B,2,0)</f>
        <v>#N/A</v>
      </c>
      <c r="AV122" s="29" t="e">
        <f>VLOOKUP(A122,checker!B:C,2,0)</f>
        <v>#N/A</v>
      </c>
    </row>
    <row r="123" spans="1:48" x14ac:dyDescent="0.3">
      <c r="A123" s="29" t="str">
        <f t="shared" si="1"/>
        <v>96.692.66.646/0/oracle_linux-cve-2017-18551</v>
      </c>
      <c r="B123" s="61" t="s">
        <v>2997</v>
      </c>
      <c r="C123" s="61" t="s">
        <v>528</v>
      </c>
      <c r="D123" s="61" t="s">
        <v>2964</v>
      </c>
      <c r="E123" s="61" t="s">
        <v>28</v>
      </c>
      <c r="F123" s="61" t="s">
        <v>529</v>
      </c>
      <c r="G123" s="61" t="s">
        <v>530</v>
      </c>
      <c r="H123" s="61" t="s">
        <v>531</v>
      </c>
      <c r="I123" s="37" t="s">
        <v>532</v>
      </c>
      <c r="J123" s="37">
        <v>0</v>
      </c>
      <c r="K123" s="61" t="s">
        <v>258</v>
      </c>
      <c r="L123" s="61" t="s">
        <v>31</v>
      </c>
      <c r="M123" s="9">
        <v>5</v>
      </c>
      <c r="N123" s="9" t="s">
        <v>29</v>
      </c>
      <c r="O123" s="61" t="s">
        <v>1033</v>
      </c>
      <c r="P123" s="61" t="s">
        <v>1034</v>
      </c>
      <c r="Q123" s="61" t="s">
        <v>1035</v>
      </c>
      <c r="R123" s="61" t="s">
        <v>606</v>
      </c>
      <c r="S123" s="61" t="s">
        <v>1036</v>
      </c>
      <c r="T123" s="61" t="s">
        <v>31</v>
      </c>
      <c r="U123" s="61" t="s">
        <v>1037</v>
      </c>
      <c r="V123" s="61" t="s">
        <v>1038</v>
      </c>
      <c r="W123" s="62">
        <v>43696</v>
      </c>
      <c r="X123" s="37" t="s">
        <v>30</v>
      </c>
      <c r="Y123" s="37">
        <v>0</v>
      </c>
      <c r="Z123" s="37" t="s">
        <v>31</v>
      </c>
      <c r="AA123" s="37" t="s">
        <v>31</v>
      </c>
      <c r="AB123" s="37" t="s">
        <v>513</v>
      </c>
      <c r="AC123" s="61"/>
      <c r="AD123" s="33"/>
      <c r="AE123" s="98" t="s">
        <v>28</v>
      </c>
      <c r="AF123" s="36">
        <v>44191</v>
      </c>
      <c r="AG123" s="36">
        <v>44191</v>
      </c>
      <c r="AH123" s="37"/>
      <c r="AI123" s="72">
        <v>44185</v>
      </c>
      <c r="AJ123" s="38" t="s">
        <v>27</v>
      </c>
      <c r="AK123" s="39" t="e">
        <f>VLOOKUP(A123,'[1]Externe MAJ Nov'!$A:$H,8,0)</f>
        <v>#N/A</v>
      </c>
      <c r="AL123" s="61"/>
      <c r="AM123" s="61"/>
      <c r="AN123" s="61"/>
      <c r="AO123" s="58">
        <v>44185</v>
      </c>
      <c r="AP123" s="29" t="e">
        <f>VLOOKUP(A123,'[2]External Scan 02_21'!$B:$J,9,0)</f>
        <v>#N/A</v>
      </c>
      <c r="AQ123" s="29" t="s">
        <v>28</v>
      </c>
      <c r="AR123" s="21"/>
      <c r="AS123" s="21" t="str">
        <f>VLOOKUP(AE123,'ref statu'!A:B,2,0)</f>
        <v>Fixed</v>
      </c>
      <c r="AT123" s="8" t="e">
        <f>VLOOKUP(A123,chk!A:B,2,0)</f>
        <v>#N/A</v>
      </c>
      <c r="AU123" s="29" t="e">
        <f>VLOOKUP(A123,checker!A:B,2,0)</f>
        <v>#N/A</v>
      </c>
      <c r="AV123" s="29" t="e">
        <f>VLOOKUP(A123,checker!B:C,2,0)</f>
        <v>#N/A</v>
      </c>
    </row>
    <row r="124" spans="1:48" x14ac:dyDescent="0.3">
      <c r="A124" s="29" t="str">
        <f t="shared" si="1"/>
        <v>96.692.66.646/0/oracle_linux-cve-2017-18595</v>
      </c>
      <c r="B124" s="61" t="s">
        <v>2997</v>
      </c>
      <c r="C124" s="61" t="s">
        <v>528</v>
      </c>
      <c r="D124" s="61" t="s">
        <v>2964</v>
      </c>
      <c r="E124" s="61" t="s">
        <v>28</v>
      </c>
      <c r="F124" s="61" t="s">
        <v>529</v>
      </c>
      <c r="G124" s="61" t="s">
        <v>530</v>
      </c>
      <c r="H124" s="61" t="s">
        <v>531</v>
      </c>
      <c r="I124" s="37" t="s">
        <v>532</v>
      </c>
      <c r="J124" s="37">
        <v>0</v>
      </c>
      <c r="K124" s="61" t="s">
        <v>258</v>
      </c>
      <c r="L124" s="61" t="s">
        <v>31</v>
      </c>
      <c r="M124" s="9">
        <v>7</v>
      </c>
      <c r="N124" s="10" t="s">
        <v>2540</v>
      </c>
      <c r="O124" s="61" t="s">
        <v>1039</v>
      </c>
      <c r="P124" s="61" t="s">
        <v>1040</v>
      </c>
      <c r="Q124" s="61" t="s">
        <v>1041</v>
      </c>
      <c r="R124" s="61" t="s">
        <v>581</v>
      </c>
      <c r="S124" s="61" t="s">
        <v>1042</v>
      </c>
      <c r="T124" s="61" t="s">
        <v>31</v>
      </c>
      <c r="U124" s="61" t="s">
        <v>1043</v>
      </c>
      <c r="V124" s="61" t="s">
        <v>1044</v>
      </c>
      <c r="W124" s="62">
        <v>43712</v>
      </c>
      <c r="X124" s="37" t="s">
        <v>30</v>
      </c>
      <c r="Y124" s="37">
        <v>0</v>
      </c>
      <c r="Z124" s="37" t="s">
        <v>31</v>
      </c>
      <c r="AA124" s="37" t="s">
        <v>31</v>
      </c>
      <c r="AB124" s="37" t="s">
        <v>513</v>
      </c>
      <c r="AC124" s="61"/>
      <c r="AD124" s="34"/>
      <c r="AE124" s="98" t="s">
        <v>28</v>
      </c>
      <c r="AF124" s="36">
        <v>44191</v>
      </c>
      <c r="AG124" s="36">
        <v>44191</v>
      </c>
      <c r="AH124" s="37"/>
      <c r="AI124" s="72">
        <v>44185</v>
      </c>
      <c r="AJ124" s="38" t="s">
        <v>27</v>
      </c>
      <c r="AK124" s="39" t="e">
        <f>VLOOKUP(A124,'[1]Externe MAJ Nov'!$A:$H,8,0)</f>
        <v>#N/A</v>
      </c>
      <c r="AL124" s="61"/>
      <c r="AM124" s="61"/>
      <c r="AN124" s="61"/>
      <c r="AO124" s="58">
        <v>44185</v>
      </c>
      <c r="AP124" s="29" t="e">
        <f>VLOOKUP(A124,'[2]External Scan 02_21'!$B:$J,9,0)</f>
        <v>#N/A</v>
      </c>
      <c r="AQ124" s="29" t="s">
        <v>28</v>
      </c>
      <c r="AR124" s="21"/>
      <c r="AS124" s="21" t="str">
        <f>VLOOKUP(AE124,'ref statu'!A:B,2,0)</f>
        <v>Fixed</v>
      </c>
      <c r="AT124" s="8" t="e">
        <f>VLOOKUP(A124,chk!A:B,2,0)</f>
        <v>#N/A</v>
      </c>
      <c r="AU124" s="29" t="e">
        <f>VLOOKUP(A124,checker!A:B,2,0)</f>
        <v>#N/A</v>
      </c>
      <c r="AV124" s="29" t="e">
        <f>VLOOKUP(A124,checker!B:C,2,0)</f>
        <v>#N/A</v>
      </c>
    </row>
    <row r="125" spans="1:48" x14ac:dyDescent="0.3">
      <c r="A125" s="29" t="str">
        <f t="shared" si="1"/>
        <v>96.692.66.646/0/oracle_linux-cve-2017-2618</v>
      </c>
      <c r="B125" s="61" t="s">
        <v>2997</v>
      </c>
      <c r="C125" s="61" t="s">
        <v>528</v>
      </c>
      <c r="D125" s="61" t="s">
        <v>2964</v>
      </c>
      <c r="E125" s="61" t="s">
        <v>28</v>
      </c>
      <c r="F125" s="61" t="s">
        <v>529</v>
      </c>
      <c r="G125" s="61" t="s">
        <v>530</v>
      </c>
      <c r="H125" s="61" t="s">
        <v>531</v>
      </c>
      <c r="I125" s="37" t="s">
        <v>532</v>
      </c>
      <c r="J125" s="37">
        <v>0</v>
      </c>
      <c r="K125" s="61" t="s">
        <v>258</v>
      </c>
      <c r="L125" s="61" t="s">
        <v>31</v>
      </c>
      <c r="M125" s="9">
        <v>5</v>
      </c>
      <c r="N125" s="9" t="s">
        <v>29</v>
      </c>
      <c r="O125" s="61" t="s">
        <v>1045</v>
      </c>
      <c r="P125" s="61" t="s">
        <v>1046</v>
      </c>
      <c r="Q125" s="61" t="s">
        <v>1047</v>
      </c>
      <c r="R125" s="61" t="s">
        <v>661</v>
      </c>
      <c r="S125" s="61" t="s">
        <v>1048</v>
      </c>
      <c r="T125" s="61" t="s">
        <v>31</v>
      </c>
      <c r="U125" s="61" t="s">
        <v>1049</v>
      </c>
      <c r="V125" s="61" t="s">
        <v>1050</v>
      </c>
      <c r="W125" s="62">
        <v>42788</v>
      </c>
      <c r="X125" s="37" t="s">
        <v>30</v>
      </c>
      <c r="Y125" s="37">
        <v>0</v>
      </c>
      <c r="Z125" s="37" t="s">
        <v>31</v>
      </c>
      <c r="AA125" s="37" t="s">
        <v>31</v>
      </c>
      <c r="AB125" s="37" t="s">
        <v>513</v>
      </c>
      <c r="AC125" s="61"/>
      <c r="AD125" s="34"/>
      <c r="AE125" s="98" t="s">
        <v>28</v>
      </c>
      <c r="AF125" s="36">
        <v>44191</v>
      </c>
      <c r="AG125" s="36">
        <v>44191</v>
      </c>
      <c r="AH125" s="37"/>
      <c r="AI125" s="72">
        <v>44185</v>
      </c>
      <c r="AJ125" s="38" t="s">
        <v>27</v>
      </c>
      <c r="AK125" s="39" t="e">
        <f>VLOOKUP(A125,'[1]Externe MAJ Nov'!$A:$H,8,0)</f>
        <v>#N/A</v>
      </c>
      <c r="AL125" s="61"/>
      <c r="AM125" s="61"/>
      <c r="AN125" s="61"/>
      <c r="AO125" s="58">
        <v>44185</v>
      </c>
      <c r="AP125" s="29" t="e">
        <f>VLOOKUP(A125,'[2]External Scan 02_21'!$B:$J,9,0)</f>
        <v>#N/A</v>
      </c>
      <c r="AQ125" s="29" t="s">
        <v>28</v>
      </c>
      <c r="AR125" s="21"/>
      <c r="AS125" s="21" t="str">
        <f>VLOOKUP(AE125,'ref statu'!A:B,2,0)</f>
        <v>Fixed</v>
      </c>
      <c r="AT125" s="8" t="e">
        <f>VLOOKUP(A125,chk!A:B,2,0)</f>
        <v>#N/A</v>
      </c>
      <c r="AU125" s="29" t="e">
        <f>VLOOKUP(A125,checker!A:B,2,0)</f>
        <v>#N/A</v>
      </c>
      <c r="AV125" s="29" t="e">
        <f>VLOOKUP(A125,checker!B:C,2,0)</f>
        <v>#N/A</v>
      </c>
    </row>
    <row r="126" spans="1:48" x14ac:dyDescent="0.3">
      <c r="A126" s="29" t="str">
        <f t="shared" si="1"/>
        <v>96.692.66.646/0/oracle_linux-cve-2017-5715</v>
      </c>
      <c r="B126" s="61" t="s">
        <v>2997</v>
      </c>
      <c r="C126" s="61" t="s">
        <v>528</v>
      </c>
      <c r="D126" s="61" t="s">
        <v>2964</v>
      </c>
      <c r="E126" s="61" t="s">
        <v>28</v>
      </c>
      <c r="F126" s="61" t="s">
        <v>529</v>
      </c>
      <c r="G126" s="61" t="s">
        <v>530</v>
      </c>
      <c r="H126" s="61" t="s">
        <v>531</v>
      </c>
      <c r="I126" s="37" t="s">
        <v>532</v>
      </c>
      <c r="J126" s="37">
        <v>0</v>
      </c>
      <c r="K126" s="61" t="s">
        <v>258</v>
      </c>
      <c r="L126" s="61" t="s">
        <v>31</v>
      </c>
      <c r="M126" s="9">
        <v>5</v>
      </c>
      <c r="N126" s="9" t="s">
        <v>29</v>
      </c>
      <c r="O126" s="61" t="s">
        <v>1051</v>
      </c>
      <c r="P126" s="61" t="s">
        <v>1052</v>
      </c>
      <c r="Q126" s="61" t="s">
        <v>464</v>
      </c>
      <c r="R126" s="61" t="s">
        <v>1053</v>
      </c>
      <c r="S126" s="61" t="s">
        <v>1054</v>
      </c>
      <c r="T126" s="61" t="s">
        <v>31</v>
      </c>
      <c r="U126" s="61" t="s">
        <v>458</v>
      </c>
      <c r="V126" s="61" t="s">
        <v>459</v>
      </c>
      <c r="W126" s="62">
        <v>43104</v>
      </c>
      <c r="X126" s="37" t="s">
        <v>30</v>
      </c>
      <c r="Y126" s="37">
        <v>0</v>
      </c>
      <c r="Z126" s="37" t="s">
        <v>31</v>
      </c>
      <c r="AA126" s="37" t="s">
        <v>31</v>
      </c>
      <c r="AB126" s="37" t="s">
        <v>513</v>
      </c>
      <c r="AC126" s="61"/>
      <c r="AD126" s="33"/>
      <c r="AE126" s="98" t="s">
        <v>28</v>
      </c>
      <c r="AF126" s="36">
        <v>44191</v>
      </c>
      <c r="AG126" s="36">
        <v>44191</v>
      </c>
      <c r="AH126" s="37"/>
      <c r="AI126" s="72">
        <v>44185</v>
      </c>
      <c r="AJ126" s="38" t="s">
        <v>27</v>
      </c>
      <c r="AK126" s="39" t="e">
        <f>VLOOKUP(A126,'[1]Externe MAJ Nov'!$A:$H,8,0)</f>
        <v>#N/A</v>
      </c>
      <c r="AL126" s="61"/>
      <c r="AM126" s="61"/>
      <c r="AN126" s="61"/>
      <c r="AO126" s="58">
        <v>44185</v>
      </c>
      <c r="AP126" s="29" t="e">
        <f>VLOOKUP(A126,'[2]External Scan 02_21'!$B:$J,9,0)</f>
        <v>#N/A</v>
      </c>
      <c r="AQ126" s="29" t="s">
        <v>28</v>
      </c>
      <c r="AR126" s="21"/>
      <c r="AS126" s="21" t="str">
        <f>VLOOKUP(AE126,'ref statu'!A:B,2,0)</f>
        <v>Fixed</v>
      </c>
      <c r="AT126" s="8" t="e">
        <f>VLOOKUP(A126,chk!A:B,2,0)</f>
        <v>#N/A</v>
      </c>
      <c r="AU126" s="29" t="e">
        <f>VLOOKUP(A126,checker!A:B,2,0)</f>
        <v>#N/A</v>
      </c>
      <c r="AV126" s="29" t="e">
        <f>VLOOKUP(A126,checker!B:C,2,0)</f>
        <v>#N/A</v>
      </c>
    </row>
    <row r="127" spans="1:48" x14ac:dyDescent="0.3">
      <c r="A127" s="29" t="str">
        <f t="shared" si="1"/>
        <v>96.692.66.646/0/oracle_linux-cve-2017-5753</v>
      </c>
      <c r="B127" s="61" t="s">
        <v>2997</v>
      </c>
      <c r="C127" s="61" t="s">
        <v>528</v>
      </c>
      <c r="D127" s="61" t="s">
        <v>2964</v>
      </c>
      <c r="E127" s="61" t="s">
        <v>28</v>
      </c>
      <c r="F127" s="61" t="s">
        <v>529</v>
      </c>
      <c r="G127" s="61" t="s">
        <v>530</v>
      </c>
      <c r="H127" s="61" t="s">
        <v>531</v>
      </c>
      <c r="I127" s="37" t="s">
        <v>532</v>
      </c>
      <c r="J127" s="37">
        <v>0</v>
      </c>
      <c r="K127" s="61" t="s">
        <v>258</v>
      </c>
      <c r="L127" s="61" t="s">
        <v>31</v>
      </c>
      <c r="M127" s="9">
        <v>5</v>
      </c>
      <c r="N127" s="9" t="s">
        <v>29</v>
      </c>
      <c r="O127" s="61" t="s">
        <v>1055</v>
      </c>
      <c r="P127" s="61" t="s">
        <v>1056</v>
      </c>
      <c r="Q127" s="61" t="s">
        <v>452</v>
      </c>
      <c r="R127" s="61" t="s">
        <v>1057</v>
      </c>
      <c r="S127" s="61" t="s">
        <v>1058</v>
      </c>
      <c r="T127" s="61" t="s">
        <v>31</v>
      </c>
      <c r="U127" s="61" t="s">
        <v>453</v>
      </c>
      <c r="V127" s="61" t="s">
        <v>454</v>
      </c>
      <c r="W127" s="62">
        <v>43104</v>
      </c>
      <c r="X127" s="37" t="s">
        <v>30</v>
      </c>
      <c r="Y127" s="37">
        <v>0</v>
      </c>
      <c r="Z127" s="37" t="s">
        <v>31</v>
      </c>
      <c r="AA127" s="37" t="s">
        <v>31</v>
      </c>
      <c r="AB127" s="37" t="s">
        <v>513</v>
      </c>
      <c r="AC127" s="61"/>
      <c r="AD127" s="34"/>
      <c r="AE127" s="98" t="s">
        <v>28</v>
      </c>
      <c r="AF127" s="36">
        <v>44191</v>
      </c>
      <c r="AG127" s="36">
        <v>44191</v>
      </c>
      <c r="AH127" s="37"/>
      <c r="AI127" s="72">
        <v>44185</v>
      </c>
      <c r="AJ127" s="38" t="s">
        <v>27</v>
      </c>
      <c r="AK127" s="39" t="e">
        <f>VLOOKUP(A127,'[1]Externe MAJ Nov'!$A:$H,8,0)</f>
        <v>#N/A</v>
      </c>
      <c r="AL127" s="61"/>
      <c r="AM127" s="61"/>
      <c r="AN127" s="61"/>
      <c r="AO127" s="58">
        <v>44185</v>
      </c>
      <c r="AP127" s="29" t="e">
        <f>VLOOKUP(A127,'[2]External Scan 02_21'!$B:$J,9,0)</f>
        <v>#N/A</v>
      </c>
      <c r="AQ127" s="29" t="s">
        <v>28</v>
      </c>
      <c r="AR127" s="21"/>
      <c r="AS127" s="21" t="str">
        <f>VLOOKUP(AE127,'ref statu'!A:B,2,0)</f>
        <v>Fixed</v>
      </c>
      <c r="AT127" s="8" t="e">
        <f>VLOOKUP(A127,chk!A:B,2,0)</f>
        <v>#N/A</v>
      </c>
      <c r="AU127" s="29" t="e">
        <f>VLOOKUP(A127,checker!A:B,2,0)</f>
        <v>#N/A</v>
      </c>
      <c r="AV127" s="29" t="e">
        <f>VLOOKUP(A127,checker!B:C,2,0)</f>
        <v>#N/A</v>
      </c>
    </row>
    <row r="128" spans="1:48" x14ac:dyDescent="0.3">
      <c r="A128" s="29" t="str">
        <f t="shared" si="1"/>
        <v>96.692.66.646/0/oracle_linux-cve-2017-5754</v>
      </c>
      <c r="B128" s="61" t="s">
        <v>2997</v>
      </c>
      <c r="C128" s="61" t="s">
        <v>528</v>
      </c>
      <c r="D128" s="61" t="s">
        <v>2964</v>
      </c>
      <c r="E128" s="61" t="s">
        <v>28</v>
      </c>
      <c r="F128" s="61" t="s">
        <v>529</v>
      </c>
      <c r="G128" s="61" t="s">
        <v>530</v>
      </c>
      <c r="H128" s="61" t="s">
        <v>531</v>
      </c>
      <c r="I128" s="37" t="s">
        <v>532</v>
      </c>
      <c r="J128" s="37">
        <v>0</v>
      </c>
      <c r="K128" s="61" t="s">
        <v>258</v>
      </c>
      <c r="L128" s="61" t="s">
        <v>31</v>
      </c>
      <c r="M128" s="9">
        <v>5</v>
      </c>
      <c r="N128" s="9" t="s">
        <v>29</v>
      </c>
      <c r="O128" s="61" t="s">
        <v>1059</v>
      </c>
      <c r="P128" s="61" t="s">
        <v>1060</v>
      </c>
      <c r="Q128" s="61" t="s">
        <v>1061</v>
      </c>
      <c r="R128" s="61" t="s">
        <v>1062</v>
      </c>
      <c r="S128" s="61" t="s">
        <v>1063</v>
      </c>
      <c r="T128" s="61" t="s">
        <v>31</v>
      </c>
      <c r="U128" s="61" t="s">
        <v>447</v>
      </c>
      <c r="V128" s="61" t="s">
        <v>448</v>
      </c>
      <c r="W128" s="62">
        <v>43103</v>
      </c>
      <c r="X128" s="37" t="s">
        <v>30</v>
      </c>
      <c r="Y128" s="37">
        <v>0</v>
      </c>
      <c r="Z128" s="37" t="s">
        <v>31</v>
      </c>
      <c r="AA128" s="37" t="s">
        <v>31</v>
      </c>
      <c r="AB128" s="37" t="s">
        <v>513</v>
      </c>
      <c r="AC128" s="61"/>
      <c r="AD128" s="34"/>
      <c r="AE128" s="98" t="s">
        <v>28</v>
      </c>
      <c r="AF128" s="36">
        <v>44191</v>
      </c>
      <c r="AG128" s="36">
        <v>44191</v>
      </c>
      <c r="AH128" s="37"/>
      <c r="AI128" s="72">
        <v>44185</v>
      </c>
      <c r="AJ128" s="38" t="s">
        <v>27</v>
      </c>
      <c r="AK128" s="39" t="e">
        <f>VLOOKUP(A128,'[1]Externe MAJ Nov'!$A:$H,8,0)</f>
        <v>#N/A</v>
      </c>
      <c r="AL128" s="61"/>
      <c r="AM128" s="61"/>
      <c r="AN128" s="61"/>
      <c r="AO128" s="58">
        <v>44185</v>
      </c>
      <c r="AP128" s="29" t="e">
        <f>VLOOKUP(A128,'[2]External Scan 02_21'!$B:$J,9,0)</f>
        <v>#N/A</v>
      </c>
      <c r="AQ128" s="29" t="s">
        <v>28</v>
      </c>
      <c r="AR128" s="21"/>
      <c r="AS128" s="21" t="str">
        <f>VLOOKUP(AE128,'ref statu'!A:B,2,0)</f>
        <v>Fixed</v>
      </c>
      <c r="AT128" s="8" t="e">
        <f>VLOOKUP(A128,chk!A:B,2,0)</f>
        <v>#N/A</v>
      </c>
      <c r="AU128" s="29" t="e">
        <f>VLOOKUP(A128,checker!A:B,2,0)</f>
        <v>#N/A</v>
      </c>
      <c r="AV128" s="29" t="e">
        <f>VLOOKUP(A128,checker!B:C,2,0)</f>
        <v>#N/A</v>
      </c>
    </row>
    <row r="129" spans="1:48" x14ac:dyDescent="0.3">
      <c r="A129" s="29" t="str">
        <f t="shared" si="1"/>
        <v>96.692.66.646/0/oracle_linux-cve-2017-7273</v>
      </c>
      <c r="B129" s="61" t="s">
        <v>2997</v>
      </c>
      <c r="C129" s="61" t="s">
        <v>528</v>
      </c>
      <c r="D129" s="61" t="s">
        <v>2964</v>
      </c>
      <c r="E129" s="61" t="s">
        <v>28</v>
      </c>
      <c r="F129" s="61" t="s">
        <v>529</v>
      </c>
      <c r="G129" s="61" t="s">
        <v>530</v>
      </c>
      <c r="H129" s="61" t="s">
        <v>531</v>
      </c>
      <c r="I129" s="37" t="s">
        <v>532</v>
      </c>
      <c r="J129" s="37">
        <v>0</v>
      </c>
      <c r="K129" s="61" t="s">
        <v>258</v>
      </c>
      <c r="L129" s="61" t="s">
        <v>31</v>
      </c>
      <c r="M129" s="9">
        <v>5</v>
      </c>
      <c r="N129" s="9" t="s">
        <v>29</v>
      </c>
      <c r="O129" s="61" t="s">
        <v>1064</v>
      </c>
      <c r="P129" s="61" t="s">
        <v>1065</v>
      </c>
      <c r="Q129" s="61" t="s">
        <v>1066</v>
      </c>
      <c r="R129" s="61" t="s">
        <v>543</v>
      </c>
      <c r="S129" s="61" t="s">
        <v>1067</v>
      </c>
      <c r="T129" s="61" t="s">
        <v>31</v>
      </c>
      <c r="U129" s="61" t="s">
        <v>1068</v>
      </c>
      <c r="V129" s="61" t="s">
        <v>1069</v>
      </c>
      <c r="W129" s="62">
        <v>42821</v>
      </c>
      <c r="X129" s="37" t="s">
        <v>30</v>
      </c>
      <c r="Y129" s="37">
        <v>0</v>
      </c>
      <c r="Z129" s="37" t="s">
        <v>31</v>
      </c>
      <c r="AA129" s="37" t="s">
        <v>31</v>
      </c>
      <c r="AB129" s="37" t="s">
        <v>513</v>
      </c>
      <c r="AC129" s="61"/>
      <c r="AD129" s="33"/>
      <c r="AE129" s="98" t="s">
        <v>28</v>
      </c>
      <c r="AF129" s="36">
        <v>44191</v>
      </c>
      <c r="AG129" s="36">
        <v>44191</v>
      </c>
      <c r="AH129" s="37"/>
      <c r="AI129" s="72">
        <v>44185</v>
      </c>
      <c r="AJ129" s="38" t="s">
        <v>27</v>
      </c>
      <c r="AK129" s="39" t="e">
        <f>VLOOKUP(A129,'[1]Externe MAJ Nov'!$A:$H,8,0)</f>
        <v>#N/A</v>
      </c>
      <c r="AL129" s="61"/>
      <c r="AM129" s="61"/>
      <c r="AN129" s="61"/>
      <c r="AO129" s="58">
        <v>44185</v>
      </c>
      <c r="AP129" s="29" t="e">
        <f>VLOOKUP(A129,'[2]External Scan 02_21'!$B:$J,9,0)</f>
        <v>#N/A</v>
      </c>
      <c r="AQ129" s="29" t="s">
        <v>28</v>
      </c>
      <c r="AR129" s="21"/>
      <c r="AS129" s="21" t="str">
        <f>VLOOKUP(AE129,'ref statu'!A:B,2,0)</f>
        <v>Fixed</v>
      </c>
      <c r="AT129" s="8" t="e">
        <f>VLOOKUP(A129,chk!A:B,2,0)</f>
        <v>#N/A</v>
      </c>
      <c r="AU129" s="29" t="e">
        <f>VLOOKUP(A129,checker!A:B,2,0)</f>
        <v>#N/A</v>
      </c>
      <c r="AV129" s="29" t="e">
        <f>VLOOKUP(A129,checker!B:C,2,0)</f>
        <v>#N/A</v>
      </c>
    </row>
    <row r="130" spans="1:48" x14ac:dyDescent="0.3">
      <c r="A130" s="29" t="str">
        <f t="shared" ref="A130:A193" si="2">B130&amp;"/"&amp;J130&amp;"/"&amp;O130</f>
        <v>96.692.66.646/0/oracle_linux-cve-2017-7294</v>
      </c>
      <c r="B130" s="61" t="s">
        <v>2997</v>
      </c>
      <c r="C130" s="61" t="s">
        <v>528</v>
      </c>
      <c r="D130" s="61" t="s">
        <v>2964</v>
      </c>
      <c r="E130" s="61" t="s">
        <v>28</v>
      </c>
      <c r="F130" s="61" t="s">
        <v>529</v>
      </c>
      <c r="G130" s="61" t="s">
        <v>530</v>
      </c>
      <c r="H130" s="61" t="s">
        <v>531</v>
      </c>
      <c r="I130" s="37" t="s">
        <v>532</v>
      </c>
      <c r="J130" s="37">
        <v>0</v>
      </c>
      <c r="K130" s="61" t="s">
        <v>258</v>
      </c>
      <c r="L130" s="61" t="s">
        <v>31</v>
      </c>
      <c r="M130" s="9">
        <v>7</v>
      </c>
      <c r="N130" s="10" t="s">
        <v>2540</v>
      </c>
      <c r="O130" s="61" t="s">
        <v>1070</v>
      </c>
      <c r="P130" s="61" t="s">
        <v>1071</v>
      </c>
      <c r="Q130" s="61" t="s">
        <v>1072</v>
      </c>
      <c r="R130" s="61" t="s">
        <v>661</v>
      </c>
      <c r="S130" s="61" t="s">
        <v>1073</v>
      </c>
      <c r="T130" s="61" t="s">
        <v>31</v>
      </c>
      <c r="U130" s="61" t="s">
        <v>1074</v>
      </c>
      <c r="V130" s="61" t="s">
        <v>1075</v>
      </c>
      <c r="W130" s="62">
        <v>42822</v>
      </c>
      <c r="X130" s="37" t="s">
        <v>30</v>
      </c>
      <c r="Y130" s="37">
        <v>0</v>
      </c>
      <c r="Z130" s="37" t="s">
        <v>31</v>
      </c>
      <c r="AA130" s="37" t="s">
        <v>31</v>
      </c>
      <c r="AB130" s="37" t="s">
        <v>513</v>
      </c>
      <c r="AC130" s="61"/>
      <c r="AD130" s="34"/>
      <c r="AE130" s="98" t="s">
        <v>28</v>
      </c>
      <c r="AF130" s="36">
        <v>44191</v>
      </c>
      <c r="AG130" s="36">
        <v>44191</v>
      </c>
      <c r="AH130" s="37"/>
      <c r="AI130" s="72">
        <v>44185</v>
      </c>
      <c r="AJ130" s="38" t="s">
        <v>27</v>
      </c>
      <c r="AK130" s="39" t="e">
        <f>VLOOKUP(A130,'[1]Externe MAJ Nov'!$A:$H,8,0)</f>
        <v>#N/A</v>
      </c>
      <c r="AL130" s="61"/>
      <c r="AM130" s="61"/>
      <c r="AN130" s="61"/>
      <c r="AO130" s="58">
        <v>44185</v>
      </c>
      <c r="AP130" s="29" t="e">
        <f>VLOOKUP(A130,'[2]External Scan 02_21'!$B:$J,9,0)</f>
        <v>#N/A</v>
      </c>
      <c r="AQ130" s="29" t="s">
        <v>28</v>
      </c>
      <c r="AR130" s="21"/>
      <c r="AS130" s="21" t="str">
        <f>VLOOKUP(AE130,'ref statu'!A:B,2,0)</f>
        <v>Fixed</v>
      </c>
      <c r="AT130" s="8" t="e">
        <f>VLOOKUP(A130,chk!A:B,2,0)</f>
        <v>#N/A</v>
      </c>
      <c r="AU130" s="29" t="e">
        <f>VLOOKUP(A130,checker!A:B,2,0)</f>
        <v>#N/A</v>
      </c>
      <c r="AV130" s="29" t="e">
        <f>VLOOKUP(A130,checker!B:C,2,0)</f>
        <v>#N/A</v>
      </c>
    </row>
    <row r="131" spans="1:48" x14ac:dyDescent="0.3">
      <c r="A131" s="29" t="str">
        <f t="shared" si="2"/>
        <v>96.692.66.646/0/oracle_linux-cve-2017-7346</v>
      </c>
      <c r="B131" s="61" t="s">
        <v>2997</v>
      </c>
      <c r="C131" s="61" t="s">
        <v>528</v>
      </c>
      <c r="D131" s="61" t="s">
        <v>2964</v>
      </c>
      <c r="E131" s="61" t="s">
        <v>28</v>
      </c>
      <c r="F131" s="61" t="s">
        <v>529</v>
      </c>
      <c r="G131" s="61" t="s">
        <v>530</v>
      </c>
      <c r="H131" s="61" t="s">
        <v>531</v>
      </c>
      <c r="I131" s="37" t="s">
        <v>532</v>
      </c>
      <c r="J131" s="37">
        <v>0</v>
      </c>
      <c r="K131" s="61" t="s">
        <v>258</v>
      </c>
      <c r="L131" s="61" t="s">
        <v>31</v>
      </c>
      <c r="M131" s="9">
        <v>5</v>
      </c>
      <c r="N131" s="9" t="s">
        <v>29</v>
      </c>
      <c r="O131" s="61" t="s">
        <v>1076</v>
      </c>
      <c r="P131" s="61" t="s">
        <v>1077</v>
      </c>
      <c r="Q131" s="61" t="s">
        <v>1078</v>
      </c>
      <c r="R131" s="61" t="s">
        <v>536</v>
      </c>
      <c r="S131" s="61" t="s">
        <v>1079</v>
      </c>
      <c r="T131" s="61" t="s">
        <v>31</v>
      </c>
      <c r="U131" s="61" t="s">
        <v>1080</v>
      </c>
      <c r="V131" s="61" t="s">
        <v>1081</v>
      </c>
      <c r="W131" s="62">
        <v>42824</v>
      </c>
      <c r="X131" s="37" t="s">
        <v>30</v>
      </c>
      <c r="Y131" s="37">
        <v>0</v>
      </c>
      <c r="Z131" s="37" t="s">
        <v>31</v>
      </c>
      <c r="AA131" s="37" t="s">
        <v>31</v>
      </c>
      <c r="AB131" s="37" t="s">
        <v>513</v>
      </c>
      <c r="AC131" s="61"/>
      <c r="AD131" s="34"/>
      <c r="AE131" s="98" t="s">
        <v>28</v>
      </c>
      <c r="AF131" s="36">
        <v>44191</v>
      </c>
      <c r="AG131" s="36">
        <v>44191</v>
      </c>
      <c r="AH131" s="37"/>
      <c r="AI131" s="72">
        <v>44185</v>
      </c>
      <c r="AJ131" s="38" t="s">
        <v>27</v>
      </c>
      <c r="AK131" s="39" t="e">
        <f>VLOOKUP(A131,'[1]Externe MAJ Nov'!$A:$H,8,0)</f>
        <v>#N/A</v>
      </c>
      <c r="AL131" s="61"/>
      <c r="AM131" s="61"/>
      <c r="AN131" s="61"/>
      <c r="AO131" s="58">
        <v>44185</v>
      </c>
      <c r="AP131" s="29" t="e">
        <f>VLOOKUP(A131,'[2]External Scan 02_21'!$B:$J,9,0)</f>
        <v>#N/A</v>
      </c>
      <c r="AQ131" s="29" t="s">
        <v>28</v>
      </c>
      <c r="AR131" s="21"/>
      <c r="AS131" s="21" t="str">
        <f>VLOOKUP(AE131,'ref statu'!A:B,2,0)</f>
        <v>Fixed</v>
      </c>
      <c r="AT131" s="8" t="e">
        <f>VLOOKUP(A131,chk!A:B,2,0)</f>
        <v>#N/A</v>
      </c>
      <c r="AU131" s="29" t="e">
        <f>VLOOKUP(A131,checker!A:B,2,0)</f>
        <v>#N/A</v>
      </c>
      <c r="AV131" s="29" t="e">
        <f>VLOOKUP(A131,checker!B:C,2,0)</f>
        <v>#N/A</v>
      </c>
    </row>
    <row r="132" spans="1:48" x14ac:dyDescent="0.3">
      <c r="A132" s="29" t="str">
        <f t="shared" si="2"/>
        <v>96.692.66.646/0/oracle_linux-cve-2017-7482</v>
      </c>
      <c r="B132" s="61" t="s">
        <v>2997</v>
      </c>
      <c r="C132" s="61" t="s">
        <v>528</v>
      </c>
      <c r="D132" s="61" t="s">
        <v>2964</v>
      </c>
      <c r="E132" s="61" t="s">
        <v>28</v>
      </c>
      <c r="F132" s="61" t="s">
        <v>529</v>
      </c>
      <c r="G132" s="61" t="s">
        <v>530</v>
      </c>
      <c r="H132" s="61" t="s">
        <v>531</v>
      </c>
      <c r="I132" s="37" t="s">
        <v>532</v>
      </c>
      <c r="J132" s="37">
        <v>0</v>
      </c>
      <c r="K132" s="61" t="s">
        <v>258</v>
      </c>
      <c r="L132" s="61" t="s">
        <v>31</v>
      </c>
      <c r="M132" s="9">
        <v>7</v>
      </c>
      <c r="N132" s="10" t="s">
        <v>2540</v>
      </c>
      <c r="O132" s="61" t="s">
        <v>1082</v>
      </c>
      <c r="P132" s="61" t="s">
        <v>1083</v>
      </c>
      <c r="Q132" s="61" t="s">
        <v>1084</v>
      </c>
      <c r="R132" s="61" t="s">
        <v>556</v>
      </c>
      <c r="S132" s="61" t="s">
        <v>1085</v>
      </c>
      <c r="T132" s="61" t="s">
        <v>31</v>
      </c>
      <c r="U132" s="61" t="s">
        <v>1086</v>
      </c>
      <c r="V132" s="61" t="s">
        <v>1087</v>
      </c>
      <c r="W132" s="62">
        <v>42950</v>
      </c>
      <c r="X132" s="37" t="s">
        <v>30</v>
      </c>
      <c r="Y132" s="37">
        <v>0</v>
      </c>
      <c r="Z132" s="37" t="s">
        <v>31</v>
      </c>
      <c r="AA132" s="37" t="s">
        <v>31</v>
      </c>
      <c r="AB132" s="37" t="s">
        <v>513</v>
      </c>
      <c r="AC132" s="61"/>
      <c r="AD132" s="33"/>
      <c r="AE132" s="98" t="s">
        <v>28</v>
      </c>
      <c r="AF132" s="36">
        <v>44191</v>
      </c>
      <c r="AG132" s="36">
        <v>44191</v>
      </c>
      <c r="AH132" s="37"/>
      <c r="AI132" s="72">
        <v>44185</v>
      </c>
      <c r="AJ132" s="38" t="s">
        <v>27</v>
      </c>
      <c r="AK132" s="39" t="e">
        <f>VLOOKUP(A132,'[1]Externe MAJ Nov'!$A:$H,8,0)</f>
        <v>#N/A</v>
      </c>
      <c r="AL132" s="61"/>
      <c r="AM132" s="61"/>
      <c r="AN132" s="61"/>
      <c r="AO132" s="58">
        <v>44185</v>
      </c>
      <c r="AP132" s="29" t="e">
        <f>VLOOKUP(A132,'[2]External Scan 02_21'!$B:$J,9,0)</f>
        <v>#N/A</v>
      </c>
      <c r="AQ132" s="29" t="s">
        <v>28</v>
      </c>
      <c r="AR132" s="21"/>
      <c r="AS132" s="21" t="str">
        <f>VLOOKUP(AE132,'ref statu'!A:B,2,0)</f>
        <v>Fixed</v>
      </c>
      <c r="AT132" s="8" t="e">
        <f>VLOOKUP(A132,chk!A:B,2,0)</f>
        <v>#N/A</v>
      </c>
      <c r="AU132" s="29" t="e">
        <f>VLOOKUP(A132,checker!A:B,2,0)</f>
        <v>#N/A</v>
      </c>
      <c r="AV132" s="29" t="e">
        <f>VLOOKUP(A132,checker!B:C,2,0)</f>
        <v>#N/A</v>
      </c>
    </row>
    <row r="133" spans="1:48" x14ac:dyDescent="0.3">
      <c r="A133" s="29" t="str">
        <f t="shared" si="2"/>
        <v>96.692.66.646/0/oracle_linux-cve-2017-7495</v>
      </c>
      <c r="B133" s="61" t="s">
        <v>2997</v>
      </c>
      <c r="C133" s="61" t="s">
        <v>528</v>
      </c>
      <c r="D133" s="61" t="s">
        <v>2964</v>
      </c>
      <c r="E133" s="61" t="s">
        <v>28</v>
      </c>
      <c r="F133" s="61" t="s">
        <v>529</v>
      </c>
      <c r="G133" s="61" t="s">
        <v>530</v>
      </c>
      <c r="H133" s="61" t="s">
        <v>531</v>
      </c>
      <c r="I133" s="37" t="s">
        <v>532</v>
      </c>
      <c r="J133" s="37">
        <v>0</v>
      </c>
      <c r="K133" s="61" t="s">
        <v>258</v>
      </c>
      <c r="L133" s="61" t="s">
        <v>31</v>
      </c>
      <c r="M133" s="9">
        <v>2</v>
      </c>
      <c r="N133" s="9" t="s">
        <v>42</v>
      </c>
      <c r="O133" s="61" t="s">
        <v>1088</v>
      </c>
      <c r="P133" s="61" t="s">
        <v>1089</v>
      </c>
      <c r="Q133" s="61" t="s">
        <v>1090</v>
      </c>
      <c r="R133" s="61" t="s">
        <v>536</v>
      </c>
      <c r="S133" s="61" t="s">
        <v>1091</v>
      </c>
      <c r="T133" s="61" t="s">
        <v>31</v>
      </c>
      <c r="U133" s="61" t="s">
        <v>1092</v>
      </c>
      <c r="V133" s="61" t="s">
        <v>1093</v>
      </c>
      <c r="W133" s="62">
        <v>42870</v>
      </c>
      <c r="X133" s="37" t="s">
        <v>30</v>
      </c>
      <c r="Y133" s="37">
        <v>0</v>
      </c>
      <c r="Z133" s="37" t="s">
        <v>31</v>
      </c>
      <c r="AA133" s="37" t="s">
        <v>31</v>
      </c>
      <c r="AB133" s="37" t="s">
        <v>513</v>
      </c>
      <c r="AC133" s="61"/>
      <c r="AD133" s="34"/>
      <c r="AE133" s="98" t="s">
        <v>28</v>
      </c>
      <c r="AF133" s="36">
        <v>44191</v>
      </c>
      <c r="AG133" s="36">
        <v>44191</v>
      </c>
      <c r="AH133" s="37"/>
      <c r="AI133" s="72">
        <v>44185</v>
      </c>
      <c r="AJ133" s="38" t="s">
        <v>27</v>
      </c>
      <c r="AK133" s="39" t="e">
        <f>VLOOKUP(A133,'[1]Externe MAJ Nov'!$A:$H,8,0)</f>
        <v>#N/A</v>
      </c>
      <c r="AL133" s="61"/>
      <c r="AM133" s="61"/>
      <c r="AN133" s="61"/>
      <c r="AO133" s="58">
        <v>44185</v>
      </c>
      <c r="AP133" s="29" t="e">
        <f>VLOOKUP(A133,'[2]External Scan 02_21'!$B:$J,9,0)</f>
        <v>#N/A</v>
      </c>
      <c r="AQ133" s="29" t="s">
        <v>28</v>
      </c>
      <c r="AR133" s="21"/>
      <c r="AS133" s="21" t="str">
        <f>VLOOKUP(AE133,'ref statu'!A:B,2,0)</f>
        <v>Fixed</v>
      </c>
      <c r="AT133" s="8" t="e">
        <f>VLOOKUP(A133,chk!A:B,2,0)</f>
        <v>#N/A</v>
      </c>
      <c r="AU133" s="29" t="e">
        <f>VLOOKUP(A133,checker!A:B,2,0)</f>
        <v>#N/A</v>
      </c>
      <c r="AV133" s="29" t="e">
        <f>VLOOKUP(A133,checker!B:C,2,0)</f>
        <v>#N/A</v>
      </c>
    </row>
    <row r="134" spans="1:48" x14ac:dyDescent="0.3">
      <c r="A134" s="29" t="str">
        <f t="shared" si="2"/>
        <v>96.692.66.646/0/oracle_linux-cve-2017-7518</v>
      </c>
      <c r="B134" s="61" t="s">
        <v>2997</v>
      </c>
      <c r="C134" s="61" t="s">
        <v>528</v>
      </c>
      <c r="D134" s="61" t="s">
        <v>2964</v>
      </c>
      <c r="E134" s="61" t="s">
        <v>28</v>
      </c>
      <c r="F134" s="61" t="s">
        <v>529</v>
      </c>
      <c r="G134" s="61" t="s">
        <v>530</v>
      </c>
      <c r="H134" s="61" t="s">
        <v>531</v>
      </c>
      <c r="I134" s="37" t="s">
        <v>532</v>
      </c>
      <c r="J134" s="37">
        <v>0</v>
      </c>
      <c r="K134" s="61" t="s">
        <v>258</v>
      </c>
      <c r="L134" s="61" t="s">
        <v>31</v>
      </c>
      <c r="M134" s="9">
        <v>5</v>
      </c>
      <c r="N134" s="9" t="s">
        <v>29</v>
      </c>
      <c r="O134" s="61" t="s">
        <v>1094</v>
      </c>
      <c r="P134" s="61" t="s">
        <v>1095</v>
      </c>
      <c r="Q134" s="61" t="s">
        <v>1096</v>
      </c>
      <c r="R134" s="61" t="s">
        <v>581</v>
      </c>
      <c r="S134" s="61" t="s">
        <v>1097</v>
      </c>
      <c r="T134" s="61" t="s">
        <v>31</v>
      </c>
      <c r="U134" s="61" t="s">
        <v>1098</v>
      </c>
      <c r="V134" s="61" t="s">
        <v>1099</v>
      </c>
      <c r="W134" s="62">
        <v>42924</v>
      </c>
      <c r="X134" s="37" t="s">
        <v>30</v>
      </c>
      <c r="Y134" s="37">
        <v>0</v>
      </c>
      <c r="Z134" s="37" t="s">
        <v>31</v>
      </c>
      <c r="AA134" s="37" t="s">
        <v>31</v>
      </c>
      <c r="AB134" s="37" t="s">
        <v>513</v>
      </c>
      <c r="AC134" s="61"/>
      <c r="AD134" s="34"/>
      <c r="AE134" s="98" t="s">
        <v>28</v>
      </c>
      <c r="AF134" s="36">
        <v>44191</v>
      </c>
      <c r="AG134" s="36">
        <v>44191</v>
      </c>
      <c r="AH134" s="37"/>
      <c r="AI134" s="72">
        <v>44185</v>
      </c>
      <c r="AJ134" s="38" t="s">
        <v>27</v>
      </c>
      <c r="AK134" s="39" t="e">
        <f>VLOOKUP(A134,'[1]Externe MAJ Nov'!$A:$H,8,0)</f>
        <v>#N/A</v>
      </c>
      <c r="AL134" s="61"/>
      <c r="AM134" s="61"/>
      <c r="AN134" s="61"/>
      <c r="AO134" s="58">
        <v>44185</v>
      </c>
      <c r="AP134" s="29" t="e">
        <f>VLOOKUP(A134,'[2]External Scan 02_21'!$B:$J,9,0)</f>
        <v>#N/A</v>
      </c>
      <c r="AQ134" s="29" t="s">
        <v>28</v>
      </c>
      <c r="AR134" s="21"/>
      <c r="AS134" s="21" t="str">
        <f>VLOOKUP(AE134,'ref statu'!A:B,2,0)</f>
        <v>Fixed</v>
      </c>
      <c r="AT134" s="8" t="e">
        <f>VLOOKUP(A134,chk!A:B,2,0)</f>
        <v>#N/A</v>
      </c>
      <c r="AU134" s="29" t="e">
        <f>VLOOKUP(A134,checker!A:B,2,0)</f>
        <v>#N/A</v>
      </c>
      <c r="AV134" s="29" t="e">
        <f>VLOOKUP(A134,checker!B:C,2,0)</f>
        <v>#N/A</v>
      </c>
    </row>
    <row r="135" spans="1:48" x14ac:dyDescent="0.3">
      <c r="A135" s="29" t="str">
        <f t="shared" si="2"/>
        <v>96.692.66.646/0/oracle_linux-cve-2017-7533</v>
      </c>
      <c r="B135" s="61" t="s">
        <v>2997</v>
      </c>
      <c r="C135" s="61" t="s">
        <v>528</v>
      </c>
      <c r="D135" s="61" t="s">
        <v>2964</v>
      </c>
      <c r="E135" s="61" t="s">
        <v>28</v>
      </c>
      <c r="F135" s="61" t="s">
        <v>529</v>
      </c>
      <c r="G135" s="61" t="s">
        <v>530</v>
      </c>
      <c r="H135" s="61" t="s">
        <v>531</v>
      </c>
      <c r="I135" s="37" t="s">
        <v>532</v>
      </c>
      <c r="J135" s="37">
        <v>0</v>
      </c>
      <c r="K135" s="61" t="s">
        <v>258</v>
      </c>
      <c r="L135" s="61" t="s">
        <v>31</v>
      </c>
      <c r="M135" s="9">
        <v>7</v>
      </c>
      <c r="N135" s="10" t="s">
        <v>2540</v>
      </c>
      <c r="O135" s="61" t="s">
        <v>1100</v>
      </c>
      <c r="P135" s="61" t="s">
        <v>1101</v>
      </c>
      <c r="Q135" s="61" t="s">
        <v>1102</v>
      </c>
      <c r="R135" s="61" t="s">
        <v>647</v>
      </c>
      <c r="S135" s="61" t="s">
        <v>1103</v>
      </c>
      <c r="T135" s="61" t="s">
        <v>31</v>
      </c>
      <c r="U135" s="61" t="s">
        <v>1104</v>
      </c>
      <c r="V135" s="61" t="s">
        <v>1105</v>
      </c>
      <c r="W135" s="62">
        <v>42950</v>
      </c>
      <c r="X135" s="37" t="s">
        <v>30</v>
      </c>
      <c r="Y135" s="37">
        <v>1</v>
      </c>
      <c r="Z135" s="37" t="s">
        <v>279</v>
      </c>
      <c r="AA135" s="37" t="s">
        <v>1106</v>
      </c>
      <c r="AB135" s="37" t="s">
        <v>513</v>
      </c>
      <c r="AC135" s="61"/>
      <c r="AD135" s="33"/>
      <c r="AE135" s="98" t="s">
        <v>28</v>
      </c>
      <c r="AF135" s="36">
        <v>44191</v>
      </c>
      <c r="AG135" s="36">
        <v>44191</v>
      </c>
      <c r="AH135" s="37"/>
      <c r="AI135" s="72">
        <v>44185</v>
      </c>
      <c r="AJ135" s="38" t="s">
        <v>27</v>
      </c>
      <c r="AK135" s="39" t="e">
        <f>VLOOKUP(A135,'[1]Externe MAJ Nov'!$A:$H,8,0)</f>
        <v>#N/A</v>
      </c>
      <c r="AL135" s="61"/>
      <c r="AM135" s="61"/>
      <c r="AN135" s="61"/>
      <c r="AO135" s="58">
        <v>44185</v>
      </c>
      <c r="AP135" s="29" t="e">
        <f>VLOOKUP(A135,'[2]External Scan 02_21'!$B:$J,9,0)</f>
        <v>#N/A</v>
      </c>
      <c r="AQ135" s="29" t="s">
        <v>28</v>
      </c>
      <c r="AR135" s="21"/>
      <c r="AS135" s="21" t="str">
        <f>VLOOKUP(AE135,'ref statu'!A:B,2,0)</f>
        <v>Fixed</v>
      </c>
      <c r="AT135" s="8" t="e">
        <f>VLOOKUP(A135,chk!A:B,2,0)</f>
        <v>#N/A</v>
      </c>
      <c r="AU135" s="29" t="e">
        <f>VLOOKUP(A135,checker!A:B,2,0)</f>
        <v>#N/A</v>
      </c>
      <c r="AV135" s="29" t="e">
        <f>VLOOKUP(A135,checker!B:C,2,0)</f>
        <v>#N/A</v>
      </c>
    </row>
    <row r="136" spans="1:48" x14ac:dyDescent="0.3">
      <c r="A136" s="29" t="str">
        <f t="shared" si="2"/>
        <v>96.692.66.646/0/oracle_linux-cve-2017-7541</v>
      </c>
      <c r="B136" s="61" t="s">
        <v>2997</v>
      </c>
      <c r="C136" s="61" t="s">
        <v>528</v>
      </c>
      <c r="D136" s="61" t="s">
        <v>2964</v>
      </c>
      <c r="E136" s="61" t="s">
        <v>28</v>
      </c>
      <c r="F136" s="61" t="s">
        <v>529</v>
      </c>
      <c r="G136" s="61" t="s">
        <v>530</v>
      </c>
      <c r="H136" s="61" t="s">
        <v>531</v>
      </c>
      <c r="I136" s="37" t="s">
        <v>532</v>
      </c>
      <c r="J136" s="37">
        <v>0</v>
      </c>
      <c r="K136" s="61" t="s">
        <v>258</v>
      </c>
      <c r="L136" s="61" t="s">
        <v>31</v>
      </c>
      <c r="M136" s="9">
        <v>7</v>
      </c>
      <c r="N136" s="10" t="s">
        <v>2540</v>
      </c>
      <c r="O136" s="61" t="s">
        <v>1107</v>
      </c>
      <c r="P136" s="61" t="s">
        <v>1108</v>
      </c>
      <c r="Q136" s="61" t="s">
        <v>1109</v>
      </c>
      <c r="R136" s="61" t="s">
        <v>613</v>
      </c>
      <c r="S136" s="61" t="s">
        <v>1110</v>
      </c>
      <c r="T136" s="61" t="s">
        <v>31</v>
      </c>
      <c r="U136" s="61" t="s">
        <v>1111</v>
      </c>
      <c r="V136" s="61" t="s">
        <v>1112</v>
      </c>
      <c r="W136" s="62">
        <v>42941</v>
      </c>
      <c r="X136" s="37" t="s">
        <v>30</v>
      </c>
      <c r="Y136" s="37">
        <v>0</v>
      </c>
      <c r="Z136" s="37" t="s">
        <v>31</v>
      </c>
      <c r="AA136" s="37" t="s">
        <v>31</v>
      </c>
      <c r="AB136" s="37" t="s">
        <v>513</v>
      </c>
      <c r="AC136" s="61"/>
      <c r="AD136" s="34"/>
      <c r="AE136" s="98" t="s">
        <v>28</v>
      </c>
      <c r="AF136" s="36">
        <v>44191</v>
      </c>
      <c r="AG136" s="36">
        <v>44191</v>
      </c>
      <c r="AH136" s="37"/>
      <c r="AI136" s="72">
        <v>44185</v>
      </c>
      <c r="AJ136" s="38" t="s">
        <v>27</v>
      </c>
      <c r="AK136" s="39" t="e">
        <f>VLOOKUP(A136,'[1]Externe MAJ Nov'!$A:$H,8,0)</f>
        <v>#N/A</v>
      </c>
      <c r="AL136" s="61"/>
      <c r="AM136" s="61"/>
      <c r="AN136" s="61"/>
      <c r="AO136" s="58">
        <v>44185</v>
      </c>
      <c r="AP136" s="29" t="e">
        <f>VLOOKUP(A136,'[2]External Scan 02_21'!$B:$J,9,0)</f>
        <v>#N/A</v>
      </c>
      <c r="AQ136" s="29" t="s">
        <v>28</v>
      </c>
      <c r="AR136" s="21"/>
      <c r="AS136" s="21" t="str">
        <f>VLOOKUP(AE136,'ref statu'!A:B,2,0)</f>
        <v>Fixed</v>
      </c>
      <c r="AT136" s="8" t="e">
        <f>VLOOKUP(A136,chk!A:B,2,0)</f>
        <v>#N/A</v>
      </c>
      <c r="AU136" s="29" t="e">
        <f>VLOOKUP(A136,checker!A:B,2,0)</f>
        <v>#N/A</v>
      </c>
      <c r="AV136" s="29" t="e">
        <f>VLOOKUP(A136,checker!B:C,2,0)</f>
        <v>#N/A</v>
      </c>
    </row>
    <row r="137" spans="1:48" x14ac:dyDescent="0.3">
      <c r="A137" s="29" t="str">
        <f t="shared" si="2"/>
        <v>96.692.66.646/0/oracle_linux-cve-2017-7542</v>
      </c>
      <c r="B137" s="61" t="s">
        <v>2997</v>
      </c>
      <c r="C137" s="61" t="s">
        <v>528</v>
      </c>
      <c r="D137" s="61" t="s">
        <v>2964</v>
      </c>
      <c r="E137" s="61" t="s">
        <v>28</v>
      </c>
      <c r="F137" s="61" t="s">
        <v>529</v>
      </c>
      <c r="G137" s="61" t="s">
        <v>530</v>
      </c>
      <c r="H137" s="61" t="s">
        <v>531</v>
      </c>
      <c r="I137" s="37" t="s">
        <v>532</v>
      </c>
      <c r="J137" s="37">
        <v>0</v>
      </c>
      <c r="K137" s="61" t="s">
        <v>258</v>
      </c>
      <c r="L137" s="61" t="s">
        <v>31</v>
      </c>
      <c r="M137" s="9">
        <v>5</v>
      </c>
      <c r="N137" s="9" t="s">
        <v>29</v>
      </c>
      <c r="O137" s="61" t="s">
        <v>1113</v>
      </c>
      <c r="P137" s="61" t="s">
        <v>1114</v>
      </c>
      <c r="Q137" s="61" t="s">
        <v>1115</v>
      </c>
      <c r="R137" s="61" t="s">
        <v>742</v>
      </c>
      <c r="S137" s="61" t="s">
        <v>1116</v>
      </c>
      <c r="T137" s="61" t="s">
        <v>31</v>
      </c>
      <c r="U137" s="61" t="s">
        <v>1117</v>
      </c>
      <c r="V137" s="61" t="s">
        <v>1118</v>
      </c>
      <c r="W137" s="62">
        <v>42937</v>
      </c>
      <c r="X137" s="37" t="s">
        <v>30</v>
      </c>
      <c r="Y137" s="37">
        <v>0</v>
      </c>
      <c r="Z137" s="37" t="s">
        <v>31</v>
      </c>
      <c r="AA137" s="37" t="s">
        <v>31</v>
      </c>
      <c r="AB137" s="37" t="s">
        <v>513</v>
      </c>
      <c r="AC137" s="61"/>
      <c r="AD137" s="34"/>
      <c r="AE137" s="98" t="s">
        <v>28</v>
      </c>
      <c r="AF137" s="36">
        <v>44191</v>
      </c>
      <c r="AG137" s="36">
        <v>44191</v>
      </c>
      <c r="AH137" s="37"/>
      <c r="AI137" s="72">
        <v>44185</v>
      </c>
      <c r="AJ137" s="38" t="s">
        <v>27</v>
      </c>
      <c r="AK137" s="39" t="e">
        <f>VLOOKUP(A137,'[1]Externe MAJ Nov'!$A:$H,8,0)</f>
        <v>#N/A</v>
      </c>
      <c r="AL137" s="61"/>
      <c r="AM137" s="61"/>
      <c r="AN137" s="61"/>
      <c r="AO137" s="58">
        <v>44185</v>
      </c>
      <c r="AP137" s="29" t="e">
        <f>VLOOKUP(A137,'[2]External Scan 02_21'!$B:$J,9,0)</f>
        <v>#N/A</v>
      </c>
      <c r="AQ137" s="29" t="s">
        <v>28</v>
      </c>
      <c r="AR137" s="21"/>
      <c r="AS137" s="21" t="str">
        <f>VLOOKUP(AE137,'ref statu'!A:B,2,0)</f>
        <v>Fixed</v>
      </c>
      <c r="AT137" s="8" t="e">
        <f>VLOOKUP(A137,chk!A:B,2,0)</f>
        <v>#N/A</v>
      </c>
      <c r="AU137" s="29" t="e">
        <f>VLOOKUP(A137,checker!A:B,2,0)</f>
        <v>#N/A</v>
      </c>
      <c r="AV137" s="29" t="e">
        <f>VLOOKUP(A137,checker!B:C,2,0)</f>
        <v>#N/A</v>
      </c>
    </row>
    <row r="138" spans="1:48" x14ac:dyDescent="0.3">
      <c r="A138" s="29" t="str">
        <f t="shared" si="2"/>
        <v>96.692.66.646/0/oracle_linux-cve-2017-7616</v>
      </c>
      <c r="B138" s="61" t="s">
        <v>2997</v>
      </c>
      <c r="C138" s="61" t="s">
        <v>528</v>
      </c>
      <c r="D138" s="61" t="s">
        <v>2964</v>
      </c>
      <c r="E138" s="61" t="s">
        <v>28</v>
      </c>
      <c r="F138" s="61" t="s">
        <v>529</v>
      </c>
      <c r="G138" s="61" t="s">
        <v>530</v>
      </c>
      <c r="H138" s="61" t="s">
        <v>531</v>
      </c>
      <c r="I138" s="37" t="s">
        <v>532</v>
      </c>
      <c r="J138" s="37">
        <v>0</v>
      </c>
      <c r="K138" s="61" t="s">
        <v>258</v>
      </c>
      <c r="L138" s="61" t="s">
        <v>31</v>
      </c>
      <c r="M138" s="9">
        <v>2</v>
      </c>
      <c r="N138" s="9" t="s">
        <v>42</v>
      </c>
      <c r="O138" s="61" t="s">
        <v>1119</v>
      </c>
      <c r="P138" s="61" t="s">
        <v>1120</v>
      </c>
      <c r="Q138" s="61" t="s">
        <v>1121</v>
      </c>
      <c r="R138" s="61" t="s">
        <v>606</v>
      </c>
      <c r="S138" s="61" t="s">
        <v>1122</v>
      </c>
      <c r="T138" s="61" t="s">
        <v>31</v>
      </c>
      <c r="U138" s="61" t="s">
        <v>1123</v>
      </c>
      <c r="V138" s="61" t="s">
        <v>1124</v>
      </c>
      <c r="W138" s="62">
        <v>42835</v>
      </c>
      <c r="X138" s="37" t="s">
        <v>30</v>
      </c>
      <c r="Y138" s="37">
        <v>0</v>
      </c>
      <c r="Z138" s="37" t="s">
        <v>31</v>
      </c>
      <c r="AA138" s="37" t="s">
        <v>31</v>
      </c>
      <c r="AB138" s="37" t="s">
        <v>513</v>
      </c>
      <c r="AC138" s="61"/>
      <c r="AD138" s="33"/>
      <c r="AE138" s="98" t="s">
        <v>28</v>
      </c>
      <c r="AF138" s="36">
        <v>44191</v>
      </c>
      <c r="AG138" s="36">
        <v>44191</v>
      </c>
      <c r="AH138" s="37"/>
      <c r="AI138" s="72">
        <v>44185</v>
      </c>
      <c r="AJ138" s="38" t="s">
        <v>27</v>
      </c>
      <c r="AK138" s="39" t="e">
        <f>VLOOKUP(A138,'[1]Externe MAJ Nov'!$A:$H,8,0)</f>
        <v>#N/A</v>
      </c>
      <c r="AL138" s="61"/>
      <c r="AM138" s="61"/>
      <c r="AN138" s="61"/>
      <c r="AO138" s="58">
        <v>44185</v>
      </c>
      <c r="AP138" s="29" t="e">
        <f>VLOOKUP(A138,'[2]External Scan 02_21'!$B:$J,9,0)</f>
        <v>#N/A</v>
      </c>
      <c r="AQ138" s="29" t="s">
        <v>28</v>
      </c>
      <c r="AR138" s="21"/>
      <c r="AS138" s="21" t="str">
        <f>VLOOKUP(AE138,'ref statu'!A:B,2,0)</f>
        <v>Fixed</v>
      </c>
      <c r="AT138" s="8" t="e">
        <f>VLOOKUP(A138,chk!A:B,2,0)</f>
        <v>#N/A</v>
      </c>
      <c r="AU138" s="29" t="e">
        <f>VLOOKUP(A138,checker!A:B,2,0)</f>
        <v>#N/A</v>
      </c>
      <c r="AV138" s="29" t="e">
        <f>VLOOKUP(A138,checker!B:C,2,0)</f>
        <v>#N/A</v>
      </c>
    </row>
    <row r="139" spans="1:48" x14ac:dyDescent="0.3">
      <c r="A139" s="29" t="str">
        <f t="shared" si="2"/>
        <v>96.692.66.646/0/oracle_linux-cve-2017-7618</v>
      </c>
      <c r="B139" s="61" t="s">
        <v>2997</v>
      </c>
      <c r="C139" s="61" t="s">
        <v>528</v>
      </c>
      <c r="D139" s="61" t="s">
        <v>2964</v>
      </c>
      <c r="E139" s="61" t="s">
        <v>28</v>
      </c>
      <c r="F139" s="61" t="s">
        <v>529</v>
      </c>
      <c r="G139" s="61" t="s">
        <v>530</v>
      </c>
      <c r="H139" s="61" t="s">
        <v>531</v>
      </c>
      <c r="I139" s="37" t="s">
        <v>532</v>
      </c>
      <c r="J139" s="37">
        <v>0</v>
      </c>
      <c r="K139" s="61" t="s">
        <v>258</v>
      </c>
      <c r="L139" s="61" t="s">
        <v>31</v>
      </c>
      <c r="M139" s="9">
        <v>8</v>
      </c>
      <c r="N139" s="10" t="s">
        <v>2540</v>
      </c>
      <c r="O139" s="61" t="s">
        <v>1125</v>
      </c>
      <c r="P139" s="61" t="s">
        <v>1126</v>
      </c>
      <c r="Q139" s="61" t="s">
        <v>1127</v>
      </c>
      <c r="R139" s="61" t="s">
        <v>536</v>
      </c>
      <c r="S139" s="61" t="s">
        <v>1128</v>
      </c>
      <c r="T139" s="61" t="s">
        <v>31</v>
      </c>
      <c r="U139" s="61" t="s">
        <v>1129</v>
      </c>
      <c r="V139" s="61" t="s">
        <v>1130</v>
      </c>
      <c r="W139" s="62">
        <v>42835</v>
      </c>
      <c r="X139" s="37" t="s">
        <v>30</v>
      </c>
      <c r="Y139" s="37">
        <v>0</v>
      </c>
      <c r="Z139" s="37" t="s">
        <v>31</v>
      </c>
      <c r="AA139" s="37" t="s">
        <v>31</v>
      </c>
      <c r="AB139" s="37" t="s">
        <v>513</v>
      </c>
      <c r="AC139" s="61"/>
      <c r="AD139" s="34"/>
      <c r="AE139" s="98" t="s">
        <v>28</v>
      </c>
      <c r="AF139" s="36">
        <v>44191</v>
      </c>
      <c r="AG139" s="36">
        <v>44191</v>
      </c>
      <c r="AH139" s="37"/>
      <c r="AI139" s="72">
        <v>44185</v>
      </c>
      <c r="AJ139" s="38" t="s">
        <v>27</v>
      </c>
      <c r="AK139" s="39" t="e">
        <f>VLOOKUP(A139,'[1]Externe MAJ Nov'!$A:$H,8,0)</f>
        <v>#N/A</v>
      </c>
      <c r="AL139" s="61"/>
      <c r="AM139" s="61"/>
      <c r="AN139" s="61"/>
      <c r="AO139" s="58">
        <v>44185</v>
      </c>
      <c r="AP139" s="29" t="e">
        <f>VLOOKUP(A139,'[2]External Scan 02_21'!$B:$J,9,0)</f>
        <v>#N/A</v>
      </c>
      <c r="AQ139" s="29" t="s">
        <v>28</v>
      </c>
      <c r="AR139" s="21"/>
      <c r="AS139" s="21" t="str">
        <f>VLOOKUP(AE139,'ref statu'!A:B,2,0)</f>
        <v>Fixed</v>
      </c>
      <c r="AT139" s="8" t="e">
        <f>VLOOKUP(A139,chk!A:B,2,0)</f>
        <v>#N/A</v>
      </c>
      <c r="AU139" s="29" t="e">
        <f>VLOOKUP(A139,checker!A:B,2,0)</f>
        <v>#N/A</v>
      </c>
      <c r="AV139" s="29" t="e">
        <f>VLOOKUP(A139,checker!B:C,2,0)</f>
        <v>#N/A</v>
      </c>
    </row>
    <row r="140" spans="1:48" x14ac:dyDescent="0.3">
      <c r="A140" s="29" t="str">
        <f t="shared" si="2"/>
        <v>96.692.66.646/0/oracle_linux-cve-2017-8824</v>
      </c>
      <c r="B140" s="61" t="s">
        <v>2997</v>
      </c>
      <c r="C140" s="61" t="s">
        <v>528</v>
      </c>
      <c r="D140" s="61" t="s">
        <v>2964</v>
      </c>
      <c r="E140" s="61" t="s">
        <v>28</v>
      </c>
      <c r="F140" s="61" t="s">
        <v>529</v>
      </c>
      <c r="G140" s="61" t="s">
        <v>530</v>
      </c>
      <c r="H140" s="61" t="s">
        <v>531</v>
      </c>
      <c r="I140" s="37" t="s">
        <v>532</v>
      </c>
      <c r="J140" s="37">
        <v>0</v>
      </c>
      <c r="K140" s="61" t="s">
        <v>258</v>
      </c>
      <c r="L140" s="61" t="s">
        <v>31</v>
      </c>
      <c r="M140" s="9">
        <v>7</v>
      </c>
      <c r="N140" s="10" t="s">
        <v>2540</v>
      </c>
      <c r="O140" s="61" t="s">
        <v>1131</v>
      </c>
      <c r="P140" s="61" t="s">
        <v>1132</v>
      </c>
      <c r="Q140" s="61" t="s">
        <v>1133</v>
      </c>
      <c r="R140" s="61" t="s">
        <v>668</v>
      </c>
      <c r="S140" s="61" t="s">
        <v>1134</v>
      </c>
      <c r="T140" s="61" t="s">
        <v>31</v>
      </c>
      <c r="U140" s="61" t="s">
        <v>1135</v>
      </c>
      <c r="V140" s="61" t="s">
        <v>1136</v>
      </c>
      <c r="W140" s="62">
        <v>43074</v>
      </c>
      <c r="X140" s="37" t="s">
        <v>30</v>
      </c>
      <c r="Y140" s="37">
        <v>1</v>
      </c>
      <c r="Z140" s="37" t="s">
        <v>279</v>
      </c>
      <c r="AA140" s="37" t="s">
        <v>1137</v>
      </c>
      <c r="AB140" s="37" t="s">
        <v>513</v>
      </c>
      <c r="AC140" s="61"/>
      <c r="AD140" s="34"/>
      <c r="AE140" s="98" t="s">
        <v>28</v>
      </c>
      <c r="AF140" s="36">
        <v>44191</v>
      </c>
      <c r="AG140" s="36">
        <v>44191</v>
      </c>
      <c r="AH140" s="37"/>
      <c r="AI140" s="72">
        <v>44185</v>
      </c>
      <c r="AJ140" s="38" t="s">
        <v>27</v>
      </c>
      <c r="AK140" s="39" t="e">
        <f>VLOOKUP(A140,'[1]Externe MAJ Nov'!$A:$H,8,0)</f>
        <v>#N/A</v>
      </c>
      <c r="AL140" s="61"/>
      <c r="AM140" s="61"/>
      <c r="AN140" s="61"/>
      <c r="AO140" s="58">
        <v>44185</v>
      </c>
      <c r="AP140" s="29" t="e">
        <f>VLOOKUP(A140,'[2]External Scan 02_21'!$B:$J,9,0)</f>
        <v>#N/A</v>
      </c>
      <c r="AQ140" s="29" t="s">
        <v>28</v>
      </c>
      <c r="AR140" s="21"/>
      <c r="AS140" s="21" t="str">
        <f>VLOOKUP(AE140,'ref statu'!A:B,2,0)</f>
        <v>Fixed</v>
      </c>
      <c r="AT140" s="8" t="e">
        <f>VLOOKUP(A140,chk!A:B,2,0)</f>
        <v>#N/A</v>
      </c>
      <c r="AU140" s="29" t="e">
        <f>VLOOKUP(A140,checker!A:B,2,0)</f>
        <v>#N/A</v>
      </c>
      <c r="AV140" s="29" t="e">
        <f>VLOOKUP(A140,checker!B:C,2,0)</f>
        <v>#N/A</v>
      </c>
    </row>
    <row r="141" spans="1:48" x14ac:dyDescent="0.3">
      <c r="A141" s="29" t="str">
        <f t="shared" si="2"/>
        <v>96.692.66.646/0/oracle_linux-cve-2017-8924</v>
      </c>
      <c r="B141" s="61" t="s">
        <v>2997</v>
      </c>
      <c r="C141" s="61" t="s">
        <v>528</v>
      </c>
      <c r="D141" s="61" t="s">
        <v>2964</v>
      </c>
      <c r="E141" s="61" t="s">
        <v>28</v>
      </c>
      <c r="F141" s="61" t="s">
        <v>529</v>
      </c>
      <c r="G141" s="61" t="s">
        <v>530</v>
      </c>
      <c r="H141" s="61" t="s">
        <v>531</v>
      </c>
      <c r="I141" s="37" t="s">
        <v>532</v>
      </c>
      <c r="J141" s="37">
        <v>0</v>
      </c>
      <c r="K141" s="61" t="s">
        <v>258</v>
      </c>
      <c r="L141" s="61" t="s">
        <v>31</v>
      </c>
      <c r="M141" s="9">
        <v>2</v>
      </c>
      <c r="N141" s="9" t="s">
        <v>42</v>
      </c>
      <c r="O141" s="61" t="s">
        <v>1138</v>
      </c>
      <c r="P141" s="61" t="s">
        <v>1139</v>
      </c>
      <c r="Q141" s="61" t="s">
        <v>1140</v>
      </c>
      <c r="R141" s="61" t="s">
        <v>556</v>
      </c>
      <c r="S141" s="61" t="s">
        <v>1141</v>
      </c>
      <c r="T141" s="61" t="s">
        <v>31</v>
      </c>
      <c r="U141" s="61" t="s">
        <v>1142</v>
      </c>
      <c r="V141" s="61" t="s">
        <v>1143</v>
      </c>
      <c r="W141" s="62">
        <v>42867</v>
      </c>
      <c r="X141" s="37" t="s">
        <v>30</v>
      </c>
      <c r="Y141" s="37">
        <v>0</v>
      </c>
      <c r="Z141" s="37" t="s">
        <v>31</v>
      </c>
      <c r="AA141" s="37" t="s">
        <v>31</v>
      </c>
      <c r="AB141" s="37" t="s">
        <v>513</v>
      </c>
      <c r="AC141" s="61"/>
      <c r="AD141" s="33"/>
      <c r="AE141" s="98" t="s">
        <v>28</v>
      </c>
      <c r="AF141" s="36">
        <v>44191</v>
      </c>
      <c r="AG141" s="36">
        <v>44191</v>
      </c>
      <c r="AH141" s="37"/>
      <c r="AI141" s="72">
        <v>44185</v>
      </c>
      <c r="AJ141" s="38" t="s">
        <v>27</v>
      </c>
      <c r="AK141" s="39" t="e">
        <f>VLOOKUP(A141,'[1]Externe MAJ Nov'!$A:$H,8,0)</f>
        <v>#N/A</v>
      </c>
      <c r="AL141" s="61"/>
      <c r="AM141" s="61"/>
      <c r="AN141" s="61"/>
      <c r="AO141" s="58">
        <v>44185</v>
      </c>
      <c r="AP141" s="29" t="e">
        <f>VLOOKUP(A141,'[2]External Scan 02_21'!$B:$J,9,0)</f>
        <v>#N/A</v>
      </c>
      <c r="AQ141" s="29" t="s">
        <v>28</v>
      </c>
      <c r="AR141" s="21"/>
      <c r="AS141" s="21" t="str">
        <f>VLOOKUP(AE141,'ref statu'!A:B,2,0)</f>
        <v>Fixed</v>
      </c>
      <c r="AT141" s="8" t="e">
        <f>VLOOKUP(A141,chk!A:B,2,0)</f>
        <v>#N/A</v>
      </c>
      <c r="AU141" s="29" t="e">
        <f>VLOOKUP(A141,checker!A:B,2,0)</f>
        <v>#N/A</v>
      </c>
      <c r="AV141" s="29" t="e">
        <f>VLOOKUP(A141,checker!B:C,2,0)</f>
        <v>#N/A</v>
      </c>
    </row>
    <row r="142" spans="1:48" x14ac:dyDescent="0.3">
      <c r="A142" s="29" t="str">
        <f t="shared" si="2"/>
        <v>96.692.66.646/0/oracle_linux-cve-2017-8925</v>
      </c>
      <c r="B142" s="61" t="s">
        <v>2997</v>
      </c>
      <c r="C142" s="61" t="s">
        <v>528</v>
      </c>
      <c r="D142" s="61" t="s">
        <v>2964</v>
      </c>
      <c r="E142" s="61" t="s">
        <v>28</v>
      </c>
      <c r="F142" s="61" t="s">
        <v>529</v>
      </c>
      <c r="G142" s="61" t="s">
        <v>530</v>
      </c>
      <c r="H142" s="61" t="s">
        <v>531</v>
      </c>
      <c r="I142" s="37" t="s">
        <v>532</v>
      </c>
      <c r="J142" s="37">
        <v>0</v>
      </c>
      <c r="K142" s="61" t="s">
        <v>258</v>
      </c>
      <c r="L142" s="61" t="s">
        <v>31</v>
      </c>
      <c r="M142" s="9">
        <v>2</v>
      </c>
      <c r="N142" s="9" t="s">
        <v>42</v>
      </c>
      <c r="O142" s="61" t="s">
        <v>1144</v>
      </c>
      <c r="P142" s="61" t="s">
        <v>1145</v>
      </c>
      <c r="Q142" s="61" t="s">
        <v>1146</v>
      </c>
      <c r="R142" s="61" t="s">
        <v>556</v>
      </c>
      <c r="S142" s="61" t="s">
        <v>1147</v>
      </c>
      <c r="T142" s="61" t="s">
        <v>31</v>
      </c>
      <c r="U142" s="61" t="s">
        <v>1148</v>
      </c>
      <c r="V142" s="61" t="s">
        <v>1149</v>
      </c>
      <c r="W142" s="62">
        <v>42867</v>
      </c>
      <c r="X142" s="37" t="s">
        <v>30</v>
      </c>
      <c r="Y142" s="37">
        <v>0</v>
      </c>
      <c r="Z142" s="37" t="s">
        <v>31</v>
      </c>
      <c r="AA142" s="37" t="s">
        <v>31</v>
      </c>
      <c r="AB142" s="37" t="s">
        <v>513</v>
      </c>
      <c r="AC142" s="61"/>
      <c r="AD142" s="34"/>
      <c r="AE142" s="98" t="s">
        <v>28</v>
      </c>
      <c r="AF142" s="36">
        <v>44191</v>
      </c>
      <c r="AG142" s="36">
        <v>44191</v>
      </c>
      <c r="AH142" s="37"/>
      <c r="AI142" s="72">
        <v>44185</v>
      </c>
      <c r="AJ142" s="38" t="s">
        <v>27</v>
      </c>
      <c r="AK142" s="39" t="e">
        <f>VLOOKUP(A142,'[1]Externe MAJ Nov'!$A:$H,8,0)</f>
        <v>#N/A</v>
      </c>
      <c r="AL142" s="61"/>
      <c r="AM142" s="61"/>
      <c r="AN142" s="61"/>
      <c r="AO142" s="58">
        <v>44185</v>
      </c>
      <c r="AP142" s="29" t="e">
        <f>VLOOKUP(A142,'[2]External Scan 02_21'!$B:$J,9,0)</f>
        <v>#N/A</v>
      </c>
      <c r="AQ142" s="29" t="s">
        <v>28</v>
      </c>
      <c r="AR142" s="21"/>
      <c r="AS142" s="21" t="str">
        <f>VLOOKUP(AE142,'ref statu'!A:B,2,0)</f>
        <v>Fixed</v>
      </c>
      <c r="AT142" s="8" t="e">
        <f>VLOOKUP(A142,chk!A:B,2,0)</f>
        <v>#N/A</v>
      </c>
      <c r="AU142" s="29" t="e">
        <f>VLOOKUP(A142,checker!A:B,2,0)</f>
        <v>#N/A</v>
      </c>
      <c r="AV142" s="29" t="e">
        <f>VLOOKUP(A142,checker!B:C,2,0)</f>
        <v>#N/A</v>
      </c>
    </row>
    <row r="143" spans="1:48" x14ac:dyDescent="0.3">
      <c r="A143" s="29" t="str">
        <f t="shared" si="2"/>
        <v>96.692.66.646/0/oracle_linux-cve-2017-9077</v>
      </c>
      <c r="B143" s="61" t="s">
        <v>2997</v>
      </c>
      <c r="C143" s="61" t="s">
        <v>528</v>
      </c>
      <c r="D143" s="61" t="s">
        <v>2964</v>
      </c>
      <c r="E143" s="61" t="s">
        <v>28</v>
      </c>
      <c r="F143" s="61" t="s">
        <v>529</v>
      </c>
      <c r="G143" s="61" t="s">
        <v>530</v>
      </c>
      <c r="H143" s="61" t="s">
        <v>531</v>
      </c>
      <c r="I143" s="37" t="s">
        <v>532</v>
      </c>
      <c r="J143" s="37">
        <v>0</v>
      </c>
      <c r="K143" s="61" t="s">
        <v>258</v>
      </c>
      <c r="L143" s="61" t="s">
        <v>31</v>
      </c>
      <c r="M143" s="9">
        <v>7</v>
      </c>
      <c r="N143" s="10" t="s">
        <v>2540</v>
      </c>
      <c r="O143" s="61" t="s">
        <v>1150</v>
      </c>
      <c r="P143" s="61" t="s">
        <v>1151</v>
      </c>
      <c r="Q143" s="61" t="s">
        <v>1152</v>
      </c>
      <c r="R143" s="61" t="s">
        <v>1153</v>
      </c>
      <c r="S143" s="61" t="s">
        <v>1154</v>
      </c>
      <c r="T143" s="61" t="s">
        <v>31</v>
      </c>
      <c r="U143" s="61" t="s">
        <v>1155</v>
      </c>
      <c r="V143" s="61" t="s">
        <v>1156</v>
      </c>
      <c r="W143" s="62">
        <v>42874</v>
      </c>
      <c r="X143" s="37" t="s">
        <v>30</v>
      </c>
      <c r="Y143" s="37">
        <v>0</v>
      </c>
      <c r="Z143" s="37" t="s">
        <v>31</v>
      </c>
      <c r="AA143" s="37" t="s">
        <v>31</v>
      </c>
      <c r="AB143" s="37" t="s">
        <v>513</v>
      </c>
      <c r="AC143" s="61"/>
      <c r="AD143" s="34"/>
      <c r="AE143" s="98" t="s">
        <v>28</v>
      </c>
      <c r="AF143" s="36">
        <v>44191</v>
      </c>
      <c r="AG143" s="36">
        <v>44191</v>
      </c>
      <c r="AH143" s="37"/>
      <c r="AI143" s="72">
        <v>44185</v>
      </c>
      <c r="AJ143" s="38" t="s">
        <v>27</v>
      </c>
      <c r="AK143" s="39" t="e">
        <f>VLOOKUP(A143,'[1]Externe MAJ Nov'!$A:$H,8,0)</f>
        <v>#N/A</v>
      </c>
      <c r="AL143" s="61"/>
      <c r="AM143" s="61"/>
      <c r="AN143" s="61"/>
      <c r="AO143" s="58">
        <v>44185</v>
      </c>
      <c r="AP143" s="29" t="e">
        <f>VLOOKUP(A143,'[2]External Scan 02_21'!$B:$J,9,0)</f>
        <v>#N/A</v>
      </c>
      <c r="AQ143" s="29" t="s">
        <v>28</v>
      </c>
      <c r="AR143" s="21"/>
      <c r="AS143" s="21" t="str">
        <f>VLOOKUP(AE143,'ref statu'!A:B,2,0)</f>
        <v>Fixed</v>
      </c>
      <c r="AT143" s="8" t="e">
        <f>VLOOKUP(A143,chk!A:B,2,0)</f>
        <v>#N/A</v>
      </c>
      <c r="AU143" s="29" t="e">
        <f>VLOOKUP(A143,checker!A:B,2,0)</f>
        <v>#N/A</v>
      </c>
      <c r="AV143" s="29" t="e">
        <f>VLOOKUP(A143,checker!B:C,2,0)</f>
        <v>#N/A</v>
      </c>
    </row>
    <row r="144" spans="1:48" x14ac:dyDescent="0.3">
      <c r="A144" s="29" t="str">
        <f t="shared" si="2"/>
        <v>96.692.66.646/0/oracle_linux-cve-2017-9242</v>
      </c>
      <c r="B144" s="61" t="s">
        <v>2997</v>
      </c>
      <c r="C144" s="61" t="s">
        <v>528</v>
      </c>
      <c r="D144" s="61" t="s">
        <v>2964</v>
      </c>
      <c r="E144" s="61" t="s">
        <v>28</v>
      </c>
      <c r="F144" s="61" t="s">
        <v>529</v>
      </c>
      <c r="G144" s="61" t="s">
        <v>530</v>
      </c>
      <c r="H144" s="61" t="s">
        <v>531</v>
      </c>
      <c r="I144" s="37" t="s">
        <v>532</v>
      </c>
      <c r="J144" s="37">
        <v>0</v>
      </c>
      <c r="K144" s="61" t="s">
        <v>258</v>
      </c>
      <c r="L144" s="61" t="s">
        <v>31</v>
      </c>
      <c r="M144" s="9">
        <v>5</v>
      </c>
      <c r="N144" s="9" t="s">
        <v>29</v>
      </c>
      <c r="O144" s="61" t="s">
        <v>1157</v>
      </c>
      <c r="P144" s="61" t="s">
        <v>1158</v>
      </c>
      <c r="Q144" s="61" t="s">
        <v>1159</v>
      </c>
      <c r="R144" s="61" t="s">
        <v>543</v>
      </c>
      <c r="S144" s="61" t="s">
        <v>1160</v>
      </c>
      <c r="T144" s="61" t="s">
        <v>31</v>
      </c>
      <c r="U144" s="61" t="s">
        <v>1161</v>
      </c>
      <c r="V144" s="61" t="s">
        <v>1162</v>
      </c>
      <c r="W144" s="62">
        <v>42881</v>
      </c>
      <c r="X144" s="37" t="s">
        <v>30</v>
      </c>
      <c r="Y144" s="37">
        <v>0</v>
      </c>
      <c r="Z144" s="37" t="s">
        <v>31</v>
      </c>
      <c r="AA144" s="37" t="s">
        <v>31</v>
      </c>
      <c r="AB144" s="37" t="s">
        <v>513</v>
      </c>
      <c r="AC144" s="61"/>
      <c r="AD144" s="33"/>
      <c r="AE144" s="98" t="s">
        <v>28</v>
      </c>
      <c r="AF144" s="36">
        <v>44191</v>
      </c>
      <c r="AG144" s="36">
        <v>44191</v>
      </c>
      <c r="AH144" s="37"/>
      <c r="AI144" s="72">
        <v>44185</v>
      </c>
      <c r="AJ144" s="38" t="s">
        <v>27</v>
      </c>
      <c r="AK144" s="39" t="e">
        <f>VLOOKUP(A144,'[1]Externe MAJ Nov'!$A:$H,8,0)</f>
        <v>#N/A</v>
      </c>
      <c r="AL144" s="61"/>
      <c r="AM144" s="61"/>
      <c r="AN144" s="61"/>
      <c r="AO144" s="58">
        <v>44185</v>
      </c>
      <c r="AP144" s="29" t="e">
        <f>VLOOKUP(A144,'[2]External Scan 02_21'!$B:$J,9,0)</f>
        <v>#N/A</v>
      </c>
      <c r="AQ144" s="29" t="s">
        <v>28</v>
      </c>
      <c r="AR144" s="21"/>
      <c r="AS144" s="21" t="str">
        <f>VLOOKUP(AE144,'ref statu'!A:B,2,0)</f>
        <v>Fixed</v>
      </c>
      <c r="AT144" s="8" t="e">
        <f>VLOOKUP(A144,chk!A:B,2,0)</f>
        <v>#N/A</v>
      </c>
      <c r="AU144" s="29" t="e">
        <f>VLOOKUP(A144,checker!A:B,2,0)</f>
        <v>#N/A</v>
      </c>
      <c r="AV144" s="29" t="e">
        <f>VLOOKUP(A144,checker!B:C,2,0)</f>
        <v>#N/A</v>
      </c>
    </row>
    <row r="145" spans="1:48" x14ac:dyDescent="0.3">
      <c r="A145" s="29" t="str">
        <f t="shared" si="2"/>
        <v>96.692.66.646/0/oracle_linux-cve-2017-9605</v>
      </c>
      <c r="B145" s="61" t="s">
        <v>2997</v>
      </c>
      <c r="C145" s="61" t="s">
        <v>528</v>
      </c>
      <c r="D145" s="61" t="s">
        <v>2964</v>
      </c>
      <c r="E145" s="61" t="s">
        <v>28</v>
      </c>
      <c r="F145" s="61" t="s">
        <v>529</v>
      </c>
      <c r="G145" s="61" t="s">
        <v>530</v>
      </c>
      <c r="H145" s="61" t="s">
        <v>531</v>
      </c>
      <c r="I145" s="37" t="s">
        <v>532</v>
      </c>
      <c r="J145" s="37">
        <v>0</v>
      </c>
      <c r="K145" s="61" t="s">
        <v>258</v>
      </c>
      <c r="L145" s="61" t="s">
        <v>31</v>
      </c>
      <c r="M145" s="9">
        <v>5</v>
      </c>
      <c r="N145" s="9" t="s">
        <v>29</v>
      </c>
      <c r="O145" s="61" t="s">
        <v>1163</v>
      </c>
      <c r="P145" s="61" t="s">
        <v>1164</v>
      </c>
      <c r="Q145" s="61" t="s">
        <v>1165</v>
      </c>
      <c r="R145" s="61" t="s">
        <v>536</v>
      </c>
      <c r="S145" s="61" t="s">
        <v>1166</v>
      </c>
      <c r="T145" s="61" t="s">
        <v>31</v>
      </c>
      <c r="U145" s="61" t="s">
        <v>1167</v>
      </c>
      <c r="V145" s="61" t="s">
        <v>1168</v>
      </c>
      <c r="W145" s="62">
        <v>42899</v>
      </c>
      <c r="X145" s="37" t="s">
        <v>30</v>
      </c>
      <c r="Y145" s="37">
        <v>0</v>
      </c>
      <c r="Z145" s="37" t="s">
        <v>31</v>
      </c>
      <c r="AA145" s="37" t="s">
        <v>31</v>
      </c>
      <c r="AB145" s="37" t="s">
        <v>513</v>
      </c>
      <c r="AC145" s="61"/>
      <c r="AD145" s="34"/>
      <c r="AE145" s="98" t="s">
        <v>28</v>
      </c>
      <c r="AF145" s="36">
        <v>44191</v>
      </c>
      <c r="AG145" s="36">
        <v>44191</v>
      </c>
      <c r="AH145" s="37"/>
      <c r="AI145" s="72">
        <v>44185</v>
      </c>
      <c r="AJ145" s="38" t="s">
        <v>27</v>
      </c>
      <c r="AK145" s="39" t="e">
        <f>VLOOKUP(A145,'[1]Externe MAJ Nov'!$A:$H,8,0)</f>
        <v>#N/A</v>
      </c>
      <c r="AL145" s="61"/>
      <c r="AM145" s="61"/>
      <c r="AN145" s="61"/>
      <c r="AO145" s="58">
        <v>44185</v>
      </c>
      <c r="AP145" s="29" t="e">
        <f>VLOOKUP(A145,'[2]External Scan 02_21'!$B:$J,9,0)</f>
        <v>#N/A</v>
      </c>
      <c r="AQ145" s="29" t="s">
        <v>28</v>
      </c>
      <c r="AR145" s="21"/>
      <c r="AS145" s="21" t="str">
        <f>VLOOKUP(AE145,'ref statu'!A:B,2,0)</f>
        <v>Fixed</v>
      </c>
      <c r="AT145" s="8" t="e">
        <f>VLOOKUP(A145,chk!A:B,2,0)</f>
        <v>#N/A</v>
      </c>
      <c r="AU145" s="29" t="e">
        <f>VLOOKUP(A145,checker!A:B,2,0)</f>
        <v>#N/A</v>
      </c>
      <c r="AV145" s="29" t="e">
        <f>VLOOKUP(A145,checker!B:C,2,0)</f>
        <v>#N/A</v>
      </c>
    </row>
    <row r="146" spans="1:48" x14ac:dyDescent="0.3">
      <c r="A146" s="29" t="str">
        <f t="shared" si="2"/>
        <v>96.692.66.646/0/oracle_linux-cve-2017-9725</v>
      </c>
      <c r="B146" s="61" t="s">
        <v>2997</v>
      </c>
      <c r="C146" s="61" t="s">
        <v>528</v>
      </c>
      <c r="D146" s="61" t="s">
        <v>2964</v>
      </c>
      <c r="E146" s="61" t="s">
        <v>28</v>
      </c>
      <c r="F146" s="61" t="s">
        <v>529</v>
      </c>
      <c r="G146" s="61" t="s">
        <v>530</v>
      </c>
      <c r="H146" s="61" t="s">
        <v>531</v>
      </c>
      <c r="I146" s="37" t="s">
        <v>532</v>
      </c>
      <c r="J146" s="37">
        <v>0</v>
      </c>
      <c r="K146" s="61" t="s">
        <v>258</v>
      </c>
      <c r="L146" s="61" t="s">
        <v>31</v>
      </c>
      <c r="M146" s="9">
        <v>9</v>
      </c>
      <c r="N146" s="10" t="s">
        <v>164</v>
      </c>
      <c r="O146" s="61" t="s">
        <v>1169</v>
      </c>
      <c r="P146" s="61" t="s">
        <v>1170</v>
      </c>
      <c r="Q146" s="61" t="s">
        <v>1171</v>
      </c>
      <c r="R146" s="61" t="s">
        <v>661</v>
      </c>
      <c r="S146" s="61" t="s">
        <v>1172</v>
      </c>
      <c r="T146" s="61" t="s">
        <v>31</v>
      </c>
      <c r="U146" s="61" t="s">
        <v>1173</v>
      </c>
      <c r="V146" s="61" t="s">
        <v>1174</v>
      </c>
      <c r="W146" s="62">
        <v>42999</v>
      </c>
      <c r="X146" s="37" t="s">
        <v>30</v>
      </c>
      <c r="Y146" s="37">
        <v>0</v>
      </c>
      <c r="Z146" s="37" t="s">
        <v>31</v>
      </c>
      <c r="AA146" s="37" t="s">
        <v>31</v>
      </c>
      <c r="AB146" s="37" t="s">
        <v>513</v>
      </c>
      <c r="AC146" s="61"/>
      <c r="AD146" s="34"/>
      <c r="AE146" s="98" t="s">
        <v>28</v>
      </c>
      <c r="AF146" s="36">
        <v>44191</v>
      </c>
      <c r="AG146" s="36">
        <v>44191</v>
      </c>
      <c r="AH146" s="37"/>
      <c r="AI146" s="72">
        <v>44185</v>
      </c>
      <c r="AJ146" s="38" t="s">
        <v>27</v>
      </c>
      <c r="AK146" s="39" t="e">
        <f>VLOOKUP(A146,'[1]Externe MAJ Nov'!$A:$H,8,0)</f>
        <v>#N/A</v>
      </c>
      <c r="AL146" s="61"/>
      <c r="AM146" s="61"/>
      <c r="AN146" s="61"/>
      <c r="AO146" s="58">
        <v>44185</v>
      </c>
      <c r="AP146" s="29" t="e">
        <f>VLOOKUP(A146,'[2]External Scan 02_21'!$B:$J,9,0)</f>
        <v>#N/A</v>
      </c>
      <c r="AQ146" s="29" t="s">
        <v>28</v>
      </c>
      <c r="AR146" s="21"/>
      <c r="AS146" s="21" t="str">
        <f>VLOOKUP(AE146,'ref statu'!A:B,2,0)</f>
        <v>Fixed</v>
      </c>
      <c r="AT146" s="8" t="e">
        <f>VLOOKUP(A146,chk!A:B,2,0)</f>
        <v>#N/A</v>
      </c>
      <c r="AU146" s="29" t="e">
        <f>VLOOKUP(A146,checker!A:B,2,0)</f>
        <v>#N/A</v>
      </c>
      <c r="AV146" s="29" t="e">
        <f>VLOOKUP(A146,checker!B:C,2,0)</f>
        <v>#N/A</v>
      </c>
    </row>
    <row r="147" spans="1:48" x14ac:dyDescent="0.3">
      <c r="A147" s="29" t="str">
        <f t="shared" si="2"/>
        <v>96.692.66.646/0/oracle_linux-cve-2018-1000004</v>
      </c>
      <c r="B147" s="61" t="s">
        <v>2997</v>
      </c>
      <c r="C147" s="61" t="s">
        <v>528</v>
      </c>
      <c r="D147" s="61" t="s">
        <v>2964</v>
      </c>
      <c r="E147" s="61" t="s">
        <v>28</v>
      </c>
      <c r="F147" s="61" t="s">
        <v>529</v>
      </c>
      <c r="G147" s="61" t="s">
        <v>530</v>
      </c>
      <c r="H147" s="61" t="s">
        <v>531</v>
      </c>
      <c r="I147" s="37" t="s">
        <v>532</v>
      </c>
      <c r="J147" s="37">
        <v>0</v>
      </c>
      <c r="K147" s="61" t="s">
        <v>258</v>
      </c>
      <c r="L147" s="61" t="s">
        <v>31</v>
      </c>
      <c r="M147" s="9">
        <v>7</v>
      </c>
      <c r="N147" s="10" t="s">
        <v>2540</v>
      </c>
      <c r="O147" s="61" t="s">
        <v>1175</v>
      </c>
      <c r="P147" s="61" t="s">
        <v>1176</v>
      </c>
      <c r="Q147" s="61" t="s">
        <v>1177</v>
      </c>
      <c r="R147" s="61" t="s">
        <v>668</v>
      </c>
      <c r="S147" s="61" t="s">
        <v>1178</v>
      </c>
      <c r="T147" s="61" t="s">
        <v>31</v>
      </c>
      <c r="U147" s="61" t="s">
        <v>1179</v>
      </c>
      <c r="V147" s="61" t="s">
        <v>1180</v>
      </c>
      <c r="W147" s="62">
        <v>43116</v>
      </c>
      <c r="X147" s="37" t="s">
        <v>30</v>
      </c>
      <c r="Y147" s="37">
        <v>0</v>
      </c>
      <c r="Z147" s="37" t="s">
        <v>31</v>
      </c>
      <c r="AA147" s="37" t="s">
        <v>31</v>
      </c>
      <c r="AB147" s="37" t="s">
        <v>513</v>
      </c>
      <c r="AC147" s="61"/>
      <c r="AD147" s="33"/>
      <c r="AE147" s="98" t="s">
        <v>28</v>
      </c>
      <c r="AF147" s="36">
        <v>44191</v>
      </c>
      <c r="AG147" s="36">
        <v>44191</v>
      </c>
      <c r="AH147" s="37"/>
      <c r="AI147" s="72">
        <v>44185</v>
      </c>
      <c r="AJ147" s="38" t="s">
        <v>27</v>
      </c>
      <c r="AK147" s="39" t="e">
        <f>VLOOKUP(A147,'[1]Externe MAJ Nov'!$A:$H,8,0)</f>
        <v>#N/A</v>
      </c>
      <c r="AL147" s="61"/>
      <c r="AM147" s="61"/>
      <c r="AN147" s="61"/>
      <c r="AO147" s="58">
        <v>44185</v>
      </c>
      <c r="AP147" s="29" t="e">
        <f>VLOOKUP(A147,'[2]External Scan 02_21'!$B:$J,9,0)</f>
        <v>#N/A</v>
      </c>
      <c r="AQ147" s="29" t="s">
        <v>28</v>
      </c>
      <c r="AR147" s="21"/>
      <c r="AS147" s="21" t="str">
        <f>VLOOKUP(AE147,'ref statu'!A:B,2,0)</f>
        <v>Fixed</v>
      </c>
      <c r="AT147" s="8" t="e">
        <f>VLOOKUP(A147,chk!A:B,2,0)</f>
        <v>#N/A</v>
      </c>
      <c r="AU147" s="29" t="e">
        <f>VLOOKUP(A147,checker!A:B,2,0)</f>
        <v>#N/A</v>
      </c>
      <c r="AV147" s="29" t="e">
        <f>VLOOKUP(A147,checker!B:C,2,0)</f>
        <v>#N/A</v>
      </c>
    </row>
    <row r="148" spans="1:48" x14ac:dyDescent="0.3">
      <c r="A148" s="29" t="str">
        <f t="shared" si="2"/>
        <v>96.692.66.646/0/oracle_linux-cve-2018-1000199</v>
      </c>
      <c r="B148" s="61" t="s">
        <v>2997</v>
      </c>
      <c r="C148" s="61" t="s">
        <v>528</v>
      </c>
      <c r="D148" s="61" t="s">
        <v>2964</v>
      </c>
      <c r="E148" s="61" t="s">
        <v>28</v>
      </c>
      <c r="F148" s="61" t="s">
        <v>529</v>
      </c>
      <c r="G148" s="61" t="s">
        <v>530</v>
      </c>
      <c r="H148" s="61" t="s">
        <v>531</v>
      </c>
      <c r="I148" s="37" t="s">
        <v>532</v>
      </c>
      <c r="J148" s="37">
        <v>0</v>
      </c>
      <c r="K148" s="61" t="s">
        <v>258</v>
      </c>
      <c r="L148" s="61" t="s">
        <v>31</v>
      </c>
      <c r="M148" s="9">
        <v>5</v>
      </c>
      <c r="N148" s="9" t="s">
        <v>29</v>
      </c>
      <c r="O148" s="61" t="s">
        <v>1181</v>
      </c>
      <c r="P148" s="61" t="s">
        <v>1182</v>
      </c>
      <c r="Q148" s="61" t="s">
        <v>1183</v>
      </c>
      <c r="R148" s="61" t="s">
        <v>606</v>
      </c>
      <c r="S148" s="61" t="s">
        <v>1184</v>
      </c>
      <c r="T148" s="61" t="s">
        <v>31</v>
      </c>
      <c r="U148" s="61" t="s">
        <v>1185</v>
      </c>
      <c r="V148" s="61" t="s">
        <v>1186</v>
      </c>
      <c r="W148" s="62">
        <v>43221</v>
      </c>
      <c r="X148" s="37" t="s">
        <v>30</v>
      </c>
      <c r="Y148" s="37">
        <v>0</v>
      </c>
      <c r="Z148" s="37" t="s">
        <v>31</v>
      </c>
      <c r="AA148" s="37" t="s">
        <v>31</v>
      </c>
      <c r="AB148" s="37" t="s">
        <v>513</v>
      </c>
      <c r="AC148" s="61"/>
      <c r="AD148" s="34"/>
      <c r="AE148" s="98" t="s">
        <v>28</v>
      </c>
      <c r="AF148" s="36">
        <v>44191</v>
      </c>
      <c r="AG148" s="36">
        <v>44191</v>
      </c>
      <c r="AH148" s="37"/>
      <c r="AI148" s="72">
        <v>44185</v>
      </c>
      <c r="AJ148" s="38" t="s">
        <v>27</v>
      </c>
      <c r="AK148" s="39" t="e">
        <f>VLOOKUP(A148,'[1]Externe MAJ Nov'!$A:$H,8,0)</f>
        <v>#N/A</v>
      </c>
      <c r="AL148" s="61"/>
      <c r="AM148" s="61"/>
      <c r="AN148" s="61"/>
      <c r="AO148" s="58">
        <v>44185</v>
      </c>
      <c r="AP148" s="29" t="e">
        <f>VLOOKUP(A148,'[2]External Scan 02_21'!$B:$J,9,0)</f>
        <v>#N/A</v>
      </c>
      <c r="AQ148" s="29" t="s">
        <v>28</v>
      </c>
      <c r="AR148" s="21"/>
      <c r="AS148" s="21" t="str">
        <f>VLOOKUP(AE148,'ref statu'!A:B,2,0)</f>
        <v>Fixed</v>
      </c>
      <c r="AT148" s="8" t="e">
        <f>VLOOKUP(A148,chk!A:B,2,0)</f>
        <v>#N/A</v>
      </c>
      <c r="AU148" s="29" t="e">
        <f>VLOOKUP(A148,checker!A:B,2,0)</f>
        <v>#N/A</v>
      </c>
      <c r="AV148" s="29" t="e">
        <f>VLOOKUP(A148,checker!B:C,2,0)</f>
        <v>#N/A</v>
      </c>
    </row>
    <row r="149" spans="1:48" x14ac:dyDescent="0.3">
      <c r="A149" s="29" t="str">
        <f t="shared" si="2"/>
        <v>96.692.66.646/0/oracle_linux-cve-2018-1000204</v>
      </c>
      <c r="B149" s="61" t="s">
        <v>2997</v>
      </c>
      <c r="C149" s="61" t="s">
        <v>528</v>
      </c>
      <c r="D149" s="61" t="s">
        <v>2964</v>
      </c>
      <c r="E149" s="61" t="s">
        <v>28</v>
      </c>
      <c r="F149" s="61" t="s">
        <v>529</v>
      </c>
      <c r="G149" s="61" t="s">
        <v>530</v>
      </c>
      <c r="H149" s="61" t="s">
        <v>531</v>
      </c>
      <c r="I149" s="37" t="s">
        <v>532</v>
      </c>
      <c r="J149" s="37">
        <v>0</v>
      </c>
      <c r="K149" s="61" t="s">
        <v>258</v>
      </c>
      <c r="L149" s="61" t="s">
        <v>31</v>
      </c>
      <c r="M149" s="9">
        <v>6</v>
      </c>
      <c r="N149" s="9" t="s">
        <v>29</v>
      </c>
      <c r="O149" s="61" t="s">
        <v>1187</v>
      </c>
      <c r="P149" s="61" t="s">
        <v>1188</v>
      </c>
      <c r="Q149" s="61" t="s">
        <v>1189</v>
      </c>
      <c r="R149" s="61" t="s">
        <v>556</v>
      </c>
      <c r="S149" s="61" t="s">
        <v>1190</v>
      </c>
      <c r="T149" s="61" t="s">
        <v>31</v>
      </c>
      <c r="U149" s="61" t="s">
        <v>1191</v>
      </c>
      <c r="V149" s="61" t="s">
        <v>1192</v>
      </c>
      <c r="W149" s="62">
        <v>43272</v>
      </c>
      <c r="X149" s="37" t="s">
        <v>30</v>
      </c>
      <c r="Y149" s="37">
        <v>0</v>
      </c>
      <c r="Z149" s="37" t="s">
        <v>31</v>
      </c>
      <c r="AA149" s="37" t="s">
        <v>31</v>
      </c>
      <c r="AB149" s="37" t="s">
        <v>513</v>
      </c>
      <c r="AC149" s="61"/>
      <c r="AD149" s="34"/>
      <c r="AE149" s="98" t="s">
        <v>28</v>
      </c>
      <c r="AF149" s="36">
        <v>44191</v>
      </c>
      <c r="AG149" s="36">
        <v>44191</v>
      </c>
      <c r="AH149" s="37"/>
      <c r="AI149" s="72">
        <v>44185</v>
      </c>
      <c r="AJ149" s="38" t="s">
        <v>27</v>
      </c>
      <c r="AK149" s="39" t="e">
        <f>VLOOKUP(A149,'[1]Externe MAJ Nov'!$A:$H,8,0)</f>
        <v>#N/A</v>
      </c>
      <c r="AL149" s="61"/>
      <c r="AM149" s="61"/>
      <c r="AN149" s="61"/>
      <c r="AO149" s="58">
        <v>44185</v>
      </c>
      <c r="AP149" s="29" t="e">
        <f>VLOOKUP(A149,'[2]External Scan 02_21'!$B:$J,9,0)</f>
        <v>#N/A</v>
      </c>
      <c r="AQ149" s="29" t="s">
        <v>28</v>
      </c>
      <c r="AR149" s="21"/>
      <c r="AS149" s="21" t="str">
        <f>VLOOKUP(AE149,'ref statu'!A:B,2,0)</f>
        <v>Fixed</v>
      </c>
      <c r="AT149" s="8" t="e">
        <f>VLOOKUP(A149,chk!A:B,2,0)</f>
        <v>#N/A</v>
      </c>
      <c r="AU149" s="29" t="e">
        <f>VLOOKUP(A149,checker!A:B,2,0)</f>
        <v>#N/A</v>
      </c>
      <c r="AV149" s="29" t="e">
        <f>VLOOKUP(A149,checker!B:C,2,0)</f>
        <v>#N/A</v>
      </c>
    </row>
    <row r="150" spans="1:48" x14ac:dyDescent="0.3">
      <c r="A150" s="29" t="str">
        <f t="shared" si="2"/>
        <v>96.692.66.646/0/oracle_linux-cve-2018-10087</v>
      </c>
      <c r="B150" s="61" t="s">
        <v>2997</v>
      </c>
      <c r="C150" s="61" t="s">
        <v>528</v>
      </c>
      <c r="D150" s="61" t="s">
        <v>2964</v>
      </c>
      <c r="E150" s="61" t="s">
        <v>28</v>
      </c>
      <c r="F150" s="61" t="s">
        <v>529</v>
      </c>
      <c r="G150" s="61" t="s">
        <v>530</v>
      </c>
      <c r="H150" s="61" t="s">
        <v>531</v>
      </c>
      <c r="I150" s="37" t="s">
        <v>532</v>
      </c>
      <c r="J150" s="37">
        <v>0</v>
      </c>
      <c r="K150" s="61" t="s">
        <v>258</v>
      </c>
      <c r="L150" s="61" t="s">
        <v>31</v>
      </c>
      <c r="M150" s="9">
        <v>2</v>
      </c>
      <c r="N150" s="9" t="s">
        <v>42</v>
      </c>
      <c r="O150" s="61" t="s">
        <v>1193</v>
      </c>
      <c r="P150" s="61" t="s">
        <v>1194</v>
      </c>
      <c r="Q150" s="61" t="s">
        <v>1195</v>
      </c>
      <c r="R150" s="61" t="s">
        <v>556</v>
      </c>
      <c r="S150" s="61" t="s">
        <v>1196</v>
      </c>
      <c r="T150" s="61" t="s">
        <v>31</v>
      </c>
      <c r="U150" s="61" t="s">
        <v>1197</v>
      </c>
      <c r="V150" s="61" t="s">
        <v>1198</v>
      </c>
      <c r="W150" s="62">
        <v>43203</v>
      </c>
      <c r="X150" s="37" t="s">
        <v>30</v>
      </c>
      <c r="Y150" s="37">
        <v>0</v>
      </c>
      <c r="Z150" s="37" t="s">
        <v>31</v>
      </c>
      <c r="AA150" s="37" t="s">
        <v>31</v>
      </c>
      <c r="AB150" s="37" t="s">
        <v>513</v>
      </c>
      <c r="AC150" s="61"/>
      <c r="AD150" s="33"/>
      <c r="AE150" s="98" t="s">
        <v>28</v>
      </c>
      <c r="AF150" s="36">
        <v>44191</v>
      </c>
      <c r="AG150" s="36">
        <v>44191</v>
      </c>
      <c r="AH150" s="37"/>
      <c r="AI150" s="72">
        <v>44185</v>
      </c>
      <c r="AJ150" s="38" t="s">
        <v>27</v>
      </c>
      <c r="AK150" s="39" t="e">
        <f>VLOOKUP(A150,'[1]Externe MAJ Nov'!$A:$H,8,0)</f>
        <v>#N/A</v>
      </c>
      <c r="AL150" s="61"/>
      <c r="AM150" s="61"/>
      <c r="AN150" s="61"/>
      <c r="AO150" s="58">
        <v>44185</v>
      </c>
      <c r="AP150" s="29" t="e">
        <f>VLOOKUP(A150,'[2]External Scan 02_21'!$B:$J,9,0)</f>
        <v>#N/A</v>
      </c>
      <c r="AQ150" s="29" t="s">
        <v>28</v>
      </c>
      <c r="AR150" s="21"/>
      <c r="AS150" s="21" t="str">
        <f>VLOOKUP(AE150,'ref statu'!A:B,2,0)</f>
        <v>Fixed</v>
      </c>
      <c r="AT150" s="8" t="e">
        <f>VLOOKUP(A150,chk!A:B,2,0)</f>
        <v>#N/A</v>
      </c>
      <c r="AU150" s="29" t="e">
        <f>VLOOKUP(A150,checker!A:B,2,0)</f>
        <v>#N/A</v>
      </c>
      <c r="AV150" s="29" t="e">
        <f>VLOOKUP(A150,checker!B:C,2,0)</f>
        <v>#N/A</v>
      </c>
    </row>
    <row r="151" spans="1:48" x14ac:dyDescent="0.3">
      <c r="A151" s="29" t="str">
        <f t="shared" si="2"/>
        <v>96.692.66.646/0/oracle_linux-cve-2018-10124</v>
      </c>
      <c r="B151" s="61" t="s">
        <v>2997</v>
      </c>
      <c r="C151" s="61" t="s">
        <v>528</v>
      </c>
      <c r="D151" s="61" t="s">
        <v>2964</v>
      </c>
      <c r="E151" s="61" t="s">
        <v>28</v>
      </c>
      <c r="F151" s="61" t="s">
        <v>529</v>
      </c>
      <c r="G151" s="61" t="s">
        <v>530</v>
      </c>
      <c r="H151" s="61" t="s">
        <v>531</v>
      </c>
      <c r="I151" s="37" t="s">
        <v>532</v>
      </c>
      <c r="J151" s="37">
        <v>0</v>
      </c>
      <c r="K151" s="61" t="s">
        <v>258</v>
      </c>
      <c r="L151" s="61" t="s">
        <v>31</v>
      </c>
      <c r="M151" s="9">
        <v>2</v>
      </c>
      <c r="N151" s="9" t="s">
        <v>42</v>
      </c>
      <c r="O151" s="61" t="s">
        <v>1199</v>
      </c>
      <c r="P151" s="61" t="s">
        <v>1200</v>
      </c>
      <c r="Q151" s="61" t="s">
        <v>1201</v>
      </c>
      <c r="R151" s="61" t="s">
        <v>556</v>
      </c>
      <c r="S151" s="61" t="s">
        <v>1202</v>
      </c>
      <c r="T151" s="61" t="s">
        <v>31</v>
      </c>
      <c r="U151" s="61" t="s">
        <v>1203</v>
      </c>
      <c r="V151" s="61" t="s">
        <v>1204</v>
      </c>
      <c r="W151" s="62">
        <v>43206</v>
      </c>
      <c r="X151" s="37" t="s">
        <v>30</v>
      </c>
      <c r="Y151" s="37">
        <v>0</v>
      </c>
      <c r="Z151" s="37" t="s">
        <v>31</v>
      </c>
      <c r="AA151" s="37" t="s">
        <v>31</v>
      </c>
      <c r="AB151" s="37" t="s">
        <v>513</v>
      </c>
      <c r="AC151" s="61"/>
      <c r="AD151" s="34"/>
      <c r="AE151" s="98" t="s">
        <v>28</v>
      </c>
      <c r="AF151" s="36">
        <v>44191</v>
      </c>
      <c r="AG151" s="36">
        <v>44191</v>
      </c>
      <c r="AH151" s="37"/>
      <c r="AI151" s="72">
        <v>44185</v>
      </c>
      <c r="AJ151" s="38" t="s">
        <v>27</v>
      </c>
      <c r="AK151" s="39" t="e">
        <f>VLOOKUP(A151,'[1]Externe MAJ Nov'!$A:$H,8,0)</f>
        <v>#N/A</v>
      </c>
      <c r="AL151" s="61"/>
      <c r="AM151" s="61"/>
      <c r="AN151" s="61"/>
      <c r="AO151" s="58">
        <v>44185</v>
      </c>
      <c r="AP151" s="29" t="e">
        <f>VLOOKUP(A151,'[2]External Scan 02_21'!$B:$J,9,0)</f>
        <v>#N/A</v>
      </c>
      <c r="AQ151" s="29" t="s">
        <v>28</v>
      </c>
      <c r="AR151" s="21"/>
      <c r="AS151" s="21" t="str">
        <f>VLOOKUP(AE151,'ref statu'!A:B,2,0)</f>
        <v>Fixed</v>
      </c>
      <c r="AT151" s="8" t="e">
        <f>VLOOKUP(A151,chk!A:B,2,0)</f>
        <v>#N/A</v>
      </c>
      <c r="AU151" s="29" t="e">
        <f>VLOOKUP(A151,checker!A:B,2,0)</f>
        <v>#N/A</v>
      </c>
      <c r="AV151" s="29" t="e">
        <f>VLOOKUP(A151,checker!B:C,2,0)</f>
        <v>#N/A</v>
      </c>
    </row>
    <row r="152" spans="1:48" x14ac:dyDescent="0.3">
      <c r="A152" s="29" t="str">
        <f t="shared" si="2"/>
        <v>96.692.66.646/0/oracle_linux-cve-2018-10323</v>
      </c>
      <c r="B152" s="61" t="s">
        <v>2997</v>
      </c>
      <c r="C152" s="61" t="s">
        <v>528</v>
      </c>
      <c r="D152" s="61" t="s">
        <v>2964</v>
      </c>
      <c r="E152" s="61" t="s">
        <v>28</v>
      </c>
      <c r="F152" s="61" t="s">
        <v>529</v>
      </c>
      <c r="G152" s="61" t="s">
        <v>530</v>
      </c>
      <c r="H152" s="61" t="s">
        <v>531</v>
      </c>
      <c r="I152" s="37" t="s">
        <v>532</v>
      </c>
      <c r="J152" s="37">
        <v>0</v>
      </c>
      <c r="K152" s="61" t="s">
        <v>258</v>
      </c>
      <c r="L152" s="61" t="s">
        <v>31</v>
      </c>
      <c r="M152" s="9">
        <v>5</v>
      </c>
      <c r="N152" s="9" t="s">
        <v>29</v>
      </c>
      <c r="O152" s="61" t="s">
        <v>1205</v>
      </c>
      <c r="P152" s="61" t="s">
        <v>1206</v>
      </c>
      <c r="Q152" s="61" t="s">
        <v>1207</v>
      </c>
      <c r="R152" s="61" t="s">
        <v>556</v>
      </c>
      <c r="S152" s="61" t="s">
        <v>1208</v>
      </c>
      <c r="T152" s="61" t="s">
        <v>31</v>
      </c>
      <c r="U152" s="61" t="s">
        <v>1209</v>
      </c>
      <c r="V152" s="61" t="s">
        <v>1210</v>
      </c>
      <c r="W152" s="62">
        <v>43214</v>
      </c>
      <c r="X152" s="37" t="s">
        <v>30</v>
      </c>
      <c r="Y152" s="37">
        <v>0</v>
      </c>
      <c r="Z152" s="37" t="s">
        <v>31</v>
      </c>
      <c r="AA152" s="37" t="s">
        <v>31</v>
      </c>
      <c r="AB152" s="37" t="s">
        <v>513</v>
      </c>
      <c r="AC152" s="61"/>
      <c r="AD152" s="34"/>
      <c r="AE152" s="98" t="s">
        <v>28</v>
      </c>
      <c r="AF152" s="36">
        <v>44191</v>
      </c>
      <c r="AG152" s="36">
        <v>44191</v>
      </c>
      <c r="AH152" s="37"/>
      <c r="AI152" s="72">
        <v>44185</v>
      </c>
      <c r="AJ152" s="38" t="s">
        <v>27</v>
      </c>
      <c r="AK152" s="39" t="e">
        <f>VLOOKUP(A152,'[1]Externe MAJ Nov'!$A:$H,8,0)</f>
        <v>#N/A</v>
      </c>
      <c r="AL152" s="61"/>
      <c r="AM152" s="61"/>
      <c r="AN152" s="61"/>
      <c r="AO152" s="58">
        <v>44185</v>
      </c>
      <c r="AP152" s="29" t="e">
        <f>VLOOKUP(A152,'[2]External Scan 02_21'!$B:$J,9,0)</f>
        <v>#N/A</v>
      </c>
      <c r="AQ152" s="29" t="s">
        <v>28</v>
      </c>
      <c r="AR152" s="21"/>
      <c r="AS152" s="21" t="str">
        <f>VLOOKUP(AE152,'ref statu'!A:B,2,0)</f>
        <v>Fixed</v>
      </c>
      <c r="AT152" s="8" t="e">
        <f>VLOOKUP(A152,chk!A:B,2,0)</f>
        <v>#N/A</v>
      </c>
      <c r="AU152" s="29" t="e">
        <f>VLOOKUP(A152,checker!A:B,2,0)</f>
        <v>#N/A</v>
      </c>
      <c r="AV152" s="29" t="e">
        <f>VLOOKUP(A152,checker!B:C,2,0)</f>
        <v>#N/A</v>
      </c>
    </row>
    <row r="153" spans="1:48" x14ac:dyDescent="0.3">
      <c r="A153" s="29" t="str">
        <f t="shared" si="2"/>
        <v>96.692.66.646/0/oracle_linux-cve-2018-1066</v>
      </c>
      <c r="B153" s="61" t="s">
        <v>2997</v>
      </c>
      <c r="C153" s="61" t="s">
        <v>528</v>
      </c>
      <c r="D153" s="61" t="s">
        <v>2964</v>
      </c>
      <c r="E153" s="61" t="s">
        <v>28</v>
      </c>
      <c r="F153" s="61" t="s">
        <v>529</v>
      </c>
      <c r="G153" s="61" t="s">
        <v>530</v>
      </c>
      <c r="H153" s="61" t="s">
        <v>531</v>
      </c>
      <c r="I153" s="37" t="s">
        <v>532</v>
      </c>
      <c r="J153" s="37">
        <v>0</v>
      </c>
      <c r="K153" s="61" t="s">
        <v>258</v>
      </c>
      <c r="L153" s="61" t="s">
        <v>31</v>
      </c>
      <c r="M153" s="9">
        <v>7</v>
      </c>
      <c r="N153" s="10" t="s">
        <v>2540</v>
      </c>
      <c r="O153" s="61" t="s">
        <v>1211</v>
      </c>
      <c r="P153" s="61" t="s">
        <v>1212</v>
      </c>
      <c r="Q153" s="61" t="s">
        <v>1213</v>
      </c>
      <c r="R153" s="61" t="s">
        <v>536</v>
      </c>
      <c r="S153" s="61" t="s">
        <v>1214</v>
      </c>
      <c r="T153" s="61" t="s">
        <v>31</v>
      </c>
      <c r="U153" s="61" t="s">
        <v>1215</v>
      </c>
      <c r="V153" s="61" t="s">
        <v>1216</v>
      </c>
      <c r="W153" s="62">
        <v>43161</v>
      </c>
      <c r="X153" s="37" t="s">
        <v>30</v>
      </c>
      <c r="Y153" s="37">
        <v>0</v>
      </c>
      <c r="Z153" s="37" t="s">
        <v>31</v>
      </c>
      <c r="AA153" s="37" t="s">
        <v>31</v>
      </c>
      <c r="AB153" s="37" t="s">
        <v>513</v>
      </c>
      <c r="AC153" s="61"/>
      <c r="AD153" s="33"/>
      <c r="AE153" s="98" t="s">
        <v>28</v>
      </c>
      <c r="AF153" s="36">
        <v>44191</v>
      </c>
      <c r="AG153" s="36">
        <v>44191</v>
      </c>
      <c r="AH153" s="37"/>
      <c r="AI153" s="72">
        <v>44185</v>
      </c>
      <c r="AJ153" s="38" t="s">
        <v>27</v>
      </c>
      <c r="AK153" s="39" t="e">
        <f>VLOOKUP(A153,'[1]Externe MAJ Nov'!$A:$H,8,0)</f>
        <v>#N/A</v>
      </c>
      <c r="AL153" s="61"/>
      <c r="AM153" s="61"/>
      <c r="AN153" s="61"/>
      <c r="AO153" s="58">
        <v>44185</v>
      </c>
      <c r="AP153" s="29" t="e">
        <f>VLOOKUP(A153,'[2]External Scan 02_21'!$B:$J,9,0)</f>
        <v>#N/A</v>
      </c>
      <c r="AQ153" s="29" t="s">
        <v>28</v>
      </c>
      <c r="AR153" s="21"/>
      <c r="AS153" s="21" t="str">
        <f>VLOOKUP(AE153,'ref statu'!A:B,2,0)</f>
        <v>Fixed</v>
      </c>
      <c r="AT153" s="8" t="e">
        <f>VLOOKUP(A153,chk!A:B,2,0)</f>
        <v>#N/A</v>
      </c>
      <c r="AU153" s="29" t="e">
        <f>VLOOKUP(A153,checker!A:B,2,0)</f>
        <v>#N/A</v>
      </c>
      <c r="AV153" s="29" t="e">
        <f>VLOOKUP(A153,checker!B:C,2,0)</f>
        <v>#N/A</v>
      </c>
    </row>
    <row r="154" spans="1:48" x14ac:dyDescent="0.3">
      <c r="A154" s="29" t="str">
        <f t="shared" si="2"/>
        <v>96.692.66.646/0/oracle_linux-cve-2018-10675</v>
      </c>
      <c r="B154" s="61" t="s">
        <v>2997</v>
      </c>
      <c r="C154" s="61" t="s">
        <v>528</v>
      </c>
      <c r="D154" s="61" t="s">
        <v>2964</v>
      </c>
      <c r="E154" s="61" t="s">
        <v>28</v>
      </c>
      <c r="F154" s="61" t="s">
        <v>529</v>
      </c>
      <c r="G154" s="61" t="s">
        <v>530</v>
      </c>
      <c r="H154" s="61" t="s">
        <v>531</v>
      </c>
      <c r="I154" s="37" t="s">
        <v>532</v>
      </c>
      <c r="J154" s="37">
        <v>0</v>
      </c>
      <c r="K154" s="61" t="s">
        <v>258</v>
      </c>
      <c r="L154" s="61" t="s">
        <v>31</v>
      </c>
      <c r="M154" s="9">
        <v>7</v>
      </c>
      <c r="N154" s="10" t="s">
        <v>2540</v>
      </c>
      <c r="O154" s="61" t="s">
        <v>1217</v>
      </c>
      <c r="P154" s="61" t="s">
        <v>1218</v>
      </c>
      <c r="Q154" s="61" t="s">
        <v>1219</v>
      </c>
      <c r="R154" s="61" t="s">
        <v>606</v>
      </c>
      <c r="S154" s="61" t="s">
        <v>1220</v>
      </c>
      <c r="T154" s="61" t="s">
        <v>31</v>
      </c>
      <c r="U154" s="61" t="s">
        <v>1221</v>
      </c>
      <c r="V154" s="61" t="s">
        <v>1222</v>
      </c>
      <c r="W154" s="62">
        <v>43222</v>
      </c>
      <c r="X154" s="37" t="s">
        <v>30</v>
      </c>
      <c r="Y154" s="37">
        <v>0</v>
      </c>
      <c r="Z154" s="37" t="s">
        <v>31</v>
      </c>
      <c r="AA154" s="37" t="s">
        <v>31</v>
      </c>
      <c r="AB154" s="37" t="s">
        <v>513</v>
      </c>
      <c r="AC154" s="61"/>
      <c r="AD154" s="34"/>
      <c r="AE154" s="98" t="s">
        <v>28</v>
      </c>
      <c r="AF154" s="36">
        <v>44191</v>
      </c>
      <c r="AG154" s="36">
        <v>44191</v>
      </c>
      <c r="AH154" s="37"/>
      <c r="AI154" s="72">
        <v>44185</v>
      </c>
      <c r="AJ154" s="38" t="s">
        <v>27</v>
      </c>
      <c r="AK154" s="39" t="e">
        <f>VLOOKUP(A154,'[1]Externe MAJ Nov'!$A:$H,8,0)</f>
        <v>#N/A</v>
      </c>
      <c r="AL154" s="61"/>
      <c r="AM154" s="61"/>
      <c r="AN154" s="61"/>
      <c r="AO154" s="58">
        <v>44185</v>
      </c>
      <c r="AP154" s="29" t="e">
        <f>VLOOKUP(A154,'[2]External Scan 02_21'!$B:$J,9,0)</f>
        <v>#N/A</v>
      </c>
      <c r="AQ154" s="29" t="s">
        <v>28</v>
      </c>
      <c r="AR154" s="21"/>
      <c r="AS154" s="21" t="str">
        <f>VLOOKUP(AE154,'ref statu'!A:B,2,0)</f>
        <v>Fixed</v>
      </c>
      <c r="AT154" s="8" t="e">
        <f>VLOOKUP(A154,chk!A:B,2,0)</f>
        <v>#N/A</v>
      </c>
      <c r="AU154" s="29" t="e">
        <f>VLOOKUP(A154,checker!A:B,2,0)</f>
        <v>#N/A</v>
      </c>
      <c r="AV154" s="29" t="e">
        <f>VLOOKUP(A154,checker!B:C,2,0)</f>
        <v>#N/A</v>
      </c>
    </row>
    <row r="155" spans="1:48" x14ac:dyDescent="0.3">
      <c r="A155" s="29" t="str">
        <f t="shared" si="2"/>
        <v>96.692.66.646/0/oracle_linux-cve-2018-1068</v>
      </c>
      <c r="B155" s="61" t="s">
        <v>2997</v>
      </c>
      <c r="C155" s="61" t="s">
        <v>528</v>
      </c>
      <c r="D155" s="61" t="s">
        <v>2964</v>
      </c>
      <c r="E155" s="61" t="s">
        <v>28</v>
      </c>
      <c r="F155" s="61" t="s">
        <v>529</v>
      </c>
      <c r="G155" s="61" t="s">
        <v>530</v>
      </c>
      <c r="H155" s="61" t="s">
        <v>531</v>
      </c>
      <c r="I155" s="37" t="s">
        <v>532</v>
      </c>
      <c r="J155" s="37">
        <v>0</v>
      </c>
      <c r="K155" s="61" t="s">
        <v>258</v>
      </c>
      <c r="L155" s="61" t="s">
        <v>31</v>
      </c>
      <c r="M155" s="9">
        <v>7</v>
      </c>
      <c r="N155" s="10" t="s">
        <v>2540</v>
      </c>
      <c r="O155" s="61" t="s">
        <v>1223</v>
      </c>
      <c r="P155" s="61" t="s">
        <v>1224</v>
      </c>
      <c r="Q155" s="61" t="s">
        <v>1225</v>
      </c>
      <c r="R155" s="61" t="s">
        <v>606</v>
      </c>
      <c r="S155" s="61" t="s">
        <v>1226</v>
      </c>
      <c r="T155" s="61" t="s">
        <v>31</v>
      </c>
      <c r="U155" s="61" t="s">
        <v>1227</v>
      </c>
      <c r="V155" s="61" t="s">
        <v>1228</v>
      </c>
      <c r="W155" s="62">
        <v>43175</v>
      </c>
      <c r="X155" s="37" t="s">
        <v>30</v>
      </c>
      <c r="Y155" s="37">
        <v>0</v>
      </c>
      <c r="Z155" s="37" t="s">
        <v>31</v>
      </c>
      <c r="AA155" s="37" t="s">
        <v>31</v>
      </c>
      <c r="AB155" s="37" t="s">
        <v>513</v>
      </c>
      <c r="AC155" s="61"/>
      <c r="AD155" s="34"/>
      <c r="AE155" s="98" t="s">
        <v>28</v>
      </c>
      <c r="AF155" s="36">
        <v>44191</v>
      </c>
      <c r="AG155" s="36">
        <v>44191</v>
      </c>
      <c r="AH155" s="37"/>
      <c r="AI155" s="72">
        <v>44185</v>
      </c>
      <c r="AJ155" s="38" t="s">
        <v>27</v>
      </c>
      <c r="AK155" s="39" t="e">
        <f>VLOOKUP(A155,'[1]Externe MAJ Nov'!$A:$H,8,0)</f>
        <v>#N/A</v>
      </c>
      <c r="AL155" s="61"/>
      <c r="AM155" s="61"/>
      <c r="AN155" s="61"/>
      <c r="AO155" s="58">
        <v>44185</v>
      </c>
      <c r="AP155" s="29" t="e">
        <f>VLOOKUP(A155,'[2]External Scan 02_21'!$B:$J,9,0)</f>
        <v>#N/A</v>
      </c>
      <c r="AQ155" s="29" t="s">
        <v>28</v>
      </c>
      <c r="AR155" s="21"/>
      <c r="AS155" s="21" t="str">
        <f>VLOOKUP(AE155,'ref statu'!A:B,2,0)</f>
        <v>Fixed</v>
      </c>
      <c r="AT155" s="8" t="e">
        <f>VLOOKUP(A155,chk!A:B,2,0)</f>
        <v>#N/A</v>
      </c>
      <c r="AU155" s="29" t="e">
        <f>VLOOKUP(A155,checker!A:B,2,0)</f>
        <v>#N/A</v>
      </c>
      <c r="AV155" s="29" t="e">
        <f>VLOOKUP(A155,checker!B:C,2,0)</f>
        <v>#N/A</v>
      </c>
    </row>
    <row r="156" spans="1:48" x14ac:dyDescent="0.3">
      <c r="A156" s="29" t="str">
        <f t="shared" si="2"/>
        <v>96.692.66.646/0/oracle_linux-cve-2018-1087</v>
      </c>
      <c r="B156" s="61" t="s">
        <v>2997</v>
      </c>
      <c r="C156" s="61" t="s">
        <v>528</v>
      </c>
      <c r="D156" s="61" t="s">
        <v>2964</v>
      </c>
      <c r="E156" s="61" t="s">
        <v>28</v>
      </c>
      <c r="F156" s="61" t="s">
        <v>529</v>
      </c>
      <c r="G156" s="61" t="s">
        <v>530</v>
      </c>
      <c r="H156" s="61" t="s">
        <v>531</v>
      </c>
      <c r="I156" s="37" t="s">
        <v>532</v>
      </c>
      <c r="J156" s="37">
        <v>0</v>
      </c>
      <c r="K156" s="61" t="s">
        <v>258</v>
      </c>
      <c r="L156" s="61" t="s">
        <v>31</v>
      </c>
      <c r="M156" s="9">
        <v>5</v>
      </c>
      <c r="N156" s="9" t="s">
        <v>29</v>
      </c>
      <c r="O156" s="61" t="s">
        <v>1229</v>
      </c>
      <c r="P156" s="61" t="s">
        <v>1230</v>
      </c>
      <c r="Q156" s="61" t="s">
        <v>1231</v>
      </c>
      <c r="R156" s="61" t="s">
        <v>581</v>
      </c>
      <c r="S156" s="61" t="s">
        <v>1232</v>
      </c>
      <c r="T156" s="61" t="s">
        <v>31</v>
      </c>
      <c r="U156" s="61" t="s">
        <v>1233</v>
      </c>
      <c r="V156" s="61" t="s">
        <v>1234</v>
      </c>
      <c r="W156" s="62">
        <v>43229</v>
      </c>
      <c r="X156" s="37" t="s">
        <v>30</v>
      </c>
      <c r="Y156" s="37">
        <v>0</v>
      </c>
      <c r="Z156" s="37" t="s">
        <v>31</v>
      </c>
      <c r="AA156" s="37" t="s">
        <v>31</v>
      </c>
      <c r="AB156" s="37" t="s">
        <v>513</v>
      </c>
      <c r="AC156" s="61"/>
      <c r="AD156" s="33"/>
      <c r="AE156" s="98" t="s">
        <v>28</v>
      </c>
      <c r="AF156" s="36">
        <v>44191</v>
      </c>
      <c r="AG156" s="36">
        <v>44191</v>
      </c>
      <c r="AH156" s="37"/>
      <c r="AI156" s="72">
        <v>44185</v>
      </c>
      <c r="AJ156" s="38" t="s">
        <v>27</v>
      </c>
      <c r="AK156" s="39" t="e">
        <f>VLOOKUP(A156,'[1]Externe MAJ Nov'!$A:$H,8,0)</f>
        <v>#N/A</v>
      </c>
      <c r="AL156" s="61"/>
      <c r="AM156" s="61"/>
      <c r="AN156" s="61"/>
      <c r="AO156" s="58">
        <v>44185</v>
      </c>
      <c r="AP156" s="29" t="e">
        <f>VLOOKUP(A156,'[2]External Scan 02_21'!$B:$J,9,0)</f>
        <v>#N/A</v>
      </c>
      <c r="AQ156" s="29" t="s">
        <v>28</v>
      </c>
      <c r="AR156" s="21"/>
      <c r="AS156" s="21" t="str">
        <f>VLOOKUP(AE156,'ref statu'!A:B,2,0)</f>
        <v>Fixed</v>
      </c>
      <c r="AT156" s="8" t="e">
        <f>VLOOKUP(A156,chk!A:B,2,0)</f>
        <v>#N/A</v>
      </c>
      <c r="AU156" s="29" t="e">
        <f>VLOOKUP(A156,checker!A:B,2,0)</f>
        <v>#N/A</v>
      </c>
      <c r="AV156" s="29" t="e">
        <f>VLOOKUP(A156,checker!B:C,2,0)</f>
        <v>#N/A</v>
      </c>
    </row>
    <row r="157" spans="1:48" x14ac:dyDescent="0.3">
      <c r="A157" s="29" t="str">
        <f t="shared" si="2"/>
        <v>96.692.66.646/0/oracle_linux-cve-2018-10876</v>
      </c>
      <c r="B157" s="61" t="s">
        <v>2997</v>
      </c>
      <c r="C157" s="61" t="s">
        <v>528</v>
      </c>
      <c r="D157" s="61" t="s">
        <v>2964</v>
      </c>
      <c r="E157" s="61" t="s">
        <v>28</v>
      </c>
      <c r="F157" s="61" t="s">
        <v>529</v>
      </c>
      <c r="G157" s="61" t="s">
        <v>530</v>
      </c>
      <c r="H157" s="61" t="s">
        <v>531</v>
      </c>
      <c r="I157" s="37" t="s">
        <v>532</v>
      </c>
      <c r="J157" s="37">
        <v>0</v>
      </c>
      <c r="K157" s="61" t="s">
        <v>258</v>
      </c>
      <c r="L157" s="61" t="s">
        <v>31</v>
      </c>
      <c r="M157" s="9">
        <v>5</v>
      </c>
      <c r="N157" s="9" t="s">
        <v>29</v>
      </c>
      <c r="O157" s="61" t="s">
        <v>1235</v>
      </c>
      <c r="P157" s="61" t="s">
        <v>1236</v>
      </c>
      <c r="Q157" s="61" t="s">
        <v>1237</v>
      </c>
      <c r="R157" s="61" t="s">
        <v>556</v>
      </c>
      <c r="S157" s="61" t="s">
        <v>1238</v>
      </c>
      <c r="T157" s="61" t="s">
        <v>31</v>
      </c>
      <c r="U157" s="61" t="s">
        <v>1239</v>
      </c>
      <c r="V157" s="61" t="s">
        <v>1240</v>
      </c>
      <c r="W157" s="62">
        <v>43307</v>
      </c>
      <c r="X157" s="37" t="s">
        <v>30</v>
      </c>
      <c r="Y157" s="37">
        <v>0</v>
      </c>
      <c r="Z157" s="37" t="s">
        <v>31</v>
      </c>
      <c r="AA157" s="37" t="s">
        <v>31</v>
      </c>
      <c r="AB157" s="37" t="s">
        <v>513</v>
      </c>
      <c r="AC157" s="61"/>
      <c r="AD157" s="34"/>
      <c r="AE157" s="98" t="s">
        <v>28</v>
      </c>
      <c r="AF157" s="36">
        <v>44191</v>
      </c>
      <c r="AG157" s="36">
        <v>44191</v>
      </c>
      <c r="AH157" s="37"/>
      <c r="AI157" s="72">
        <v>44185</v>
      </c>
      <c r="AJ157" s="38" t="s">
        <v>27</v>
      </c>
      <c r="AK157" s="39" t="e">
        <f>VLOOKUP(A157,'[1]Externe MAJ Nov'!$A:$H,8,0)</f>
        <v>#N/A</v>
      </c>
      <c r="AL157" s="61"/>
      <c r="AM157" s="61"/>
      <c r="AN157" s="61"/>
      <c r="AO157" s="58">
        <v>44185</v>
      </c>
      <c r="AP157" s="29" t="e">
        <f>VLOOKUP(A157,'[2]External Scan 02_21'!$B:$J,9,0)</f>
        <v>#N/A</v>
      </c>
      <c r="AQ157" s="29" t="s">
        <v>28</v>
      </c>
      <c r="AR157" s="21"/>
      <c r="AS157" s="21" t="str">
        <f>VLOOKUP(AE157,'ref statu'!A:B,2,0)</f>
        <v>Fixed</v>
      </c>
      <c r="AT157" s="8" t="e">
        <f>VLOOKUP(A157,chk!A:B,2,0)</f>
        <v>#N/A</v>
      </c>
      <c r="AU157" s="29" t="e">
        <f>VLOOKUP(A157,checker!A:B,2,0)</f>
        <v>#N/A</v>
      </c>
      <c r="AV157" s="29" t="e">
        <f>VLOOKUP(A157,checker!B:C,2,0)</f>
        <v>#N/A</v>
      </c>
    </row>
    <row r="158" spans="1:48" x14ac:dyDescent="0.3">
      <c r="A158" s="29" t="str">
        <f t="shared" si="2"/>
        <v>96.692.66.646/0/oracle_linux-cve-2018-10877</v>
      </c>
      <c r="B158" s="61" t="s">
        <v>2997</v>
      </c>
      <c r="C158" s="61" t="s">
        <v>528</v>
      </c>
      <c r="D158" s="61" t="s">
        <v>2964</v>
      </c>
      <c r="E158" s="61" t="s">
        <v>28</v>
      </c>
      <c r="F158" s="61" t="s">
        <v>529</v>
      </c>
      <c r="G158" s="61" t="s">
        <v>530</v>
      </c>
      <c r="H158" s="61" t="s">
        <v>531</v>
      </c>
      <c r="I158" s="37" t="s">
        <v>532</v>
      </c>
      <c r="J158" s="37">
        <v>0</v>
      </c>
      <c r="K158" s="61" t="s">
        <v>258</v>
      </c>
      <c r="L158" s="61" t="s">
        <v>31</v>
      </c>
      <c r="M158" s="9">
        <v>7</v>
      </c>
      <c r="N158" s="10" t="s">
        <v>2540</v>
      </c>
      <c r="O158" s="61" t="s">
        <v>1241</v>
      </c>
      <c r="P158" s="61" t="s">
        <v>1242</v>
      </c>
      <c r="Q158" s="61" t="s">
        <v>1243</v>
      </c>
      <c r="R158" s="61" t="s">
        <v>556</v>
      </c>
      <c r="S158" s="61" t="s">
        <v>1244</v>
      </c>
      <c r="T158" s="61" t="s">
        <v>31</v>
      </c>
      <c r="U158" s="61" t="s">
        <v>1245</v>
      </c>
      <c r="V158" s="61" t="s">
        <v>1246</v>
      </c>
      <c r="W158" s="62">
        <v>43299</v>
      </c>
      <c r="X158" s="37" t="s">
        <v>30</v>
      </c>
      <c r="Y158" s="37">
        <v>0</v>
      </c>
      <c r="Z158" s="37" t="s">
        <v>31</v>
      </c>
      <c r="AA158" s="37" t="s">
        <v>31</v>
      </c>
      <c r="AB158" s="37" t="s">
        <v>513</v>
      </c>
      <c r="AC158" s="61"/>
      <c r="AD158" s="34"/>
      <c r="AE158" s="98" t="s">
        <v>28</v>
      </c>
      <c r="AF158" s="36">
        <v>44191</v>
      </c>
      <c r="AG158" s="36">
        <v>44191</v>
      </c>
      <c r="AH158" s="37"/>
      <c r="AI158" s="72">
        <v>44185</v>
      </c>
      <c r="AJ158" s="38" t="s">
        <v>27</v>
      </c>
      <c r="AK158" s="39" t="e">
        <f>VLOOKUP(A158,'[1]Externe MAJ Nov'!$A:$H,8,0)</f>
        <v>#N/A</v>
      </c>
      <c r="AL158" s="61"/>
      <c r="AM158" s="61"/>
      <c r="AN158" s="61"/>
      <c r="AO158" s="58">
        <v>44185</v>
      </c>
      <c r="AP158" s="29" t="e">
        <f>VLOOKUP(A158,'[2]External Scan 02_21'!$B:$J,9,0)</f>
        <v>#N/A</v>
      </c>
      <c r="AQ158" s="29" t="s">
        <v>28</v>
      </c>
      <c r="AR158" s="21"/>
      <c r="AS158" s="21" t="str">
        <f>VLOOKUP(AE158,'ref statu'!A:B,2,0)</f>
        <v>Fixed</v>
      </c>
      <c r="AT158" s="8" t="e">
        <f>VLOOKUP(A158,chk!A:B,2,0)</f>
        <v>#N/A</v>
      </c>
      <c r="AU158" s="29" t="e">
        <f>VLOOKUP(A158,checker!A:B,2,0)</f>
        <v>#N/A</v>
      </c>
      <c r="AV158" s="29" t="e">
        <f>VLOOKUP(A158,checker!B:C,2,0)</f>
        <v>#N/A</v>
      </c>
    </row>
    <row r="159" spans="1:48" x14ac:dyDescent="0.3">
      <c r="A159" s="29" t="str">
        <f t="shared" si="2"/>
        <v>96.692.66.646/0/oracle_linux-cve-2018-10878</v>
      </c>
      <c r="B159" s="61" t="s">
        <v>2997</v>
      </c>
      <c r="C159" s="61" t="s">
        <v>528</v>
      </c>
      <c r="D159" s="61" t="s">
        <v>2964</v>
      </c>
      <c r="E159" s="61" t="s">
        <v>28</v>
      </c>
      <c r="F159" s="61" t="s">
        <v>529</v>
      </c>
      <c r="G159" s="61" t="s">
        <v>530</v>
      </c>
      <c r="H159" s="61" t="s">
        <v>531</v>
      </c>
      <c r="I159" s="37" t="s">
        <v>532</v>
      </c>
      <c r="J159" s="37">
        <v>0</v>
      </c>
      <c r="K159" s="61" t="s">
        <v>258</v>
      </c>
      <c r="L159" s="61" t="s">
        <v>31</v>
      </c>
      <c r="M159" s="9">
        <v>6</v>
      </c>
      <c r="N159" s="9" t="s">
        <v>29</v>
      </c>
      <c r="O159" s="61" t="s">
        <v>1247</v>
      </c>
      <c r="P159" s="61" t="s">
        <v>1248</v>
      </c>
      <c r="Q159" s="61" t="s">
        <v>1249</v>
      </c>
      <c r="R159" s="61" t="s">
        <v>606</v>
      </c>
      <c r="S159" s="61" t="s">
        <v>1250</v>
      </c>
      <c r="T159" s="61" t="s">
        <v>31</v>
      </c>
      <c r="U159" s="61" t="s">
        <v>1251</v>
      </c>
      <c r="V159" s="61" t="s">
        <v>1252</v>
      </c>
      <c r="W159" s="62">
        <v>43307</v>
      </c>
      <c r="X159" s="37" t="s">
        <v>30</v>
      </c>
      <c r="Y159" s="37">
        <v>0</v>
      </c>
      <c r="Z159" s="37" t="s">
        <v>31</v>
      </c>
      <c r="AA159" s="37" t="s">
        <v>31</v>
      </c>
      <c r="AB159" s="37" t="s">
        <v>513</v>
      </c>
      <c r="AC159" s="61"/>
      <c r="AD159" s="33"/>
      <c r="AE159" s="98" t="s">
        <v>28</v>
      </c>
      <c r="AF159" s="36">
        <v>44191</v>
      </c>
      <c r="AG159" s="36">
        <v>44191</v>
      </c>
      <c r="AH159" s="37"/>
      <c r="AI159" s="72">
        <v>44185</v>
      </c>
      <c r="AJ159" s="38" t="s">
        <v>27</v>
      </c>
      <c r="AK159" s="39" t="e">
        <f>VLOOKUP(A159,'[1]Externe MAJ Nov'!$A:$H,8,0)</f>
        <v>#N/A</v>
      </c>
      <c r="AL159" s="61"/>
      <c r="AM159" s="61"/>
      <c r="AN159" s="61"/>
      <c r="AO159" s="58">
        <v>44185</v>
      </c>
      <c r="AP159" s="29" t="e">
        <f>VLOOKUP(A159,'[2]External Scan 02_21'!$B:$J,9,0)</f>
        <v>#N/A</v>
      </c>
      <c r="AQ159" s="29" t="s">
        <v>28</v>
      </c>
      <c r="AR159" s="21"/>
      <c r="AS159" s="21" t="str">
        <f>VLOOKUP(AE159,'ref statu'!A:B,2,0)</f>
        <v>Fixed</v>
      </c>
      <c r="AT159" s="8" t="e">
        <f>VLOOKUP(A159,chk!A:B,2,0)</f>
        <v>#N/A</v>
      </c>
      <c r="AU159" s="29" t="e">
        <f>VLOOKUP(A159,checker!A:B,2,0)</f>
        <v>#N/A</v>
      </c>
      <c r="AV159" s="29" t="e">
        <f>VLOOKUP(A159,checker!B:C,2,0)</f>
        <v>#N/A</v>
      </c>
    </row>
    <row r="160" spans="1:48" x14ac:dyDescent="0.3">
      <c r="A160" s="29" t="str">
        <f t="shared" si="2"/>
        <v>96.692.66.646/0/oracle_linux-cve-2018-10879</v>
      </c>
      <c r="B160" s="61" t="s">
        <v>2997</v>
      </c>
      <c r="C160" s="61" t="s">
        <v>528</v>
      </c>
      <c r="D160" s="61" t="s">
        <v>2964</v>
      </c>
      <c r="E160" s="61" t="s">
        <v>28</v>
      </c>
      <c r="F160" s="61" t="s">
        <v>529</v>
      </c>
      <c r="G160" s="61" t="s">
        <v>530</v>
      </c>
      <c r="H160" s="61" t="s">
        <v>531</v>
      </c>
      <c r="I160" s="37" t="s">
        <v>532</v>
      </c>
      <c r="J160" s="37">
        <v>0</v>
      </c>
      <c r="K160" s="61" t="s">
        <v>258</v>
      </c>
      <c r="L160" s="61" t="s">
        <v>31</v>
      </c>
      <c r="M160" s="9">
        <v>6</v>
      </c>
      <c r="N160" s="9" t="s">
        <v>29</v>
      </c>
      <c r="O160" s="61" t="s">
        <v>1253</v>
      </c>
      <c r="P160" s="61" t="s">
        <v>1254</v>
      </c>
      <c r="Q160" s="61" t="s">
        <v>1255</v>
      </c>
      <c r="R160" s="61" t="s">
        <v>606</v>
      </c>
      <c r="S160" s="61" t="s">
        <v>1256</v>
      </c>
      <c r="T160" s="61" t="s">
        <v>31</v>
      </c>
      <c r="U160" s="61" t="s">
        <v>1257</v>
      </c>
      <c r="V160" s="61" t="s">
        <v>1258</v>
      </c>
      <c r="W160" s="62">
        <v>43307</v>
      </c>
      <c r="X160" s="37" t="s">
        <v>30</v>
      </c>
      <c r="Y160" s="37">
        <v>0</v>
      </c>
      <c r="Z160" s="37" t="s">
        <v>31</v>
      </c>
      <c r="AA160" s="37" t="s">
        <v>31</v>
      </c>
      <c r="AB160" s="37" t="s">
        <v>513</v>
      </c>
      <c r="AC160" s="61"/>
      <c r="AD160" s="34"/>
      <c r="AE160" s="98" t="s">
        <v>28</v>
      </c>
      <c r="AF160" s="36">
        <v>44191</v>
      </c>
      <c r="AG160" s="36">
        <v>44191</v>
      </c>
      <c r="AH160" s="37"/>
      <c r="AI160" s="72">
        <v>44185</v>
      </c>
      <c r="AJ160" s="38" t="s">
        <v>27</v>
      </c>
      <c r="AK160" s="39" t="e">
        <f>VLOOKUP(A160,'[1]Externe MAJ Nov'!$A:$H,8,0)</f>
        <v>#N/A</v>
      </c>
      <c r="AL160" s="61"/>
      <c r="AM160" s="61"/>
      <c r="AN160" s="61"/>
      <c r="AO160" s="58">
        <v>44185</v>
      </c>
      <c r="AP160" s="29" t="e">
        <f>VLOOKUP(A160,'[2]External Scan 02_21'!$B:$J,9,0)</f>
        <v>#N/A</v>
      </c>
      <c r="AQ160" s="29" t="s">
        <v>28</v>
      </c>
      <c r="AR160" s="21"/>
      <c r="AS160" s="21" t="str">
        <f>VLOOKUP(AE160,'ref statu'!A:B,2,0)</f>
        <v>Fixed</v>
      </c>
      <c r="AT160" s="8" t="e">
        <f>VLOOKUP(A160,chk!A:B,2,0)</f>
        <v>#N/A</v>
      </c>
      <c r="AU160" s="29" t="e">
        <f>VLOOKUP(A160,checker!A:B,2,0)</f>
        <v>#N/A</v>
      </c>
      <c r="AV160" s="29" t="e">
        <f>VLOOKUP(A160,checker!B:C,2,0)</f>
        <v>#N/A</v>
      </c>
    </row>
    <row r="161" spans="1:48" x14ac:dyDescent="0.3">
      <c r="A161" s="29" t="str">
        <f t="shared" si="2"/>
        <v>96.692.66.646/0/oracle_linux-cve-2018-10881</v>
      </c>
      <c r="B161" s="61" t="s">
        <v>2997</v>
      </c>
      <c r="C161" s="61" t="s">
        <v>528</v>
      </c>
      <c r="D161" s="61" t="s">
        <v>2964</v>
      </c>
      <c r="E161" s="61" t="s">
        <v>28</v>
      </c>
      <c r="F161" s="61" t="s">
        <v>529</v>
      </c>
      <c r="G161" s="61" t="s">
        <v>530</v>
      </c>
      <c r="H161" s="61" t="s">
        <v>531</v>
      </c>
      <c r="I161" s="37" t="s">
        <v>532</v>
      </c>
      <c r="J161" s="37">
        <v>0</v>
      </c>
      <c r="K161" s="61" t="s">
        <v>258</v>
      </c>
      <c r="L161" s="61" t="s">
        <v>31</v>
      </c>
      <c r="M161" s="9">
        <v>5</v>
      </c>
      <c r="N161" s="9" t="s">
        <v>29</v>
      </c>
      <c r="O161" s="61" t="s">
        <v>1259</v>
      </c>
      <c r="P161" s="61" t="s">
        <v>1260</v>
      </c>
      <c r="Q161" s="61" t="s">
        <v>1261</v>
      </c>
      <c r="R161" s="61" t="s">
        <v>606</v>
      </c>
      <c r="S161" s="61" t="s">
        <v>1262</v>
      </c>
      <c r="T161" s="61" t="s">
        <v>31</v>
      </c>
      <c r="U161" s="61" t="s">
        <v>1263</v>
      </c>
      <c r="V161" s="61" t="s">
        <v>1264</v>
      </c>
      <c r="W161" s="62">
        <v>43307</v>
      </c>
      <c r="X161" s="37" t="s">
        <v>30</v>
      </c>
      <c r="Y161" s="37">
        <v>0</v>
      </c>
      <c r="Z161" s="37" t="s">
        <v>31</v>
      </c>
      <c r="AA161" s="37" t="s">
        <v>31</v>
      </c>
      <c r="AB161" s="37" t="s">
        <v>513</v>
      </c>
      <c r="AC161" s="61"/>
      <c r="AD161" s="34"/>
      <c r="AE161" s="98" t="s">
        <v>28</v>
      </c>
      <c r="AF161" s="36">
        <v>44191</v>
      </c>
      <c r="AG161" s="36">
        <v>44191</v>
      </c>
      <c r="AH161" s="37"/>
      <c r="AI161" s="72">
        <v>44185</v>
      </c>
      <c r="AJ161" s="38" t="s">
        <v>27</v>
      </c>
      <c r="AK161" s="39" t="e">
        <f>VLOOKUP(A161,'[1]Externe MAJ Nov'!$A:$H,8,0)</f>
        <v>#N/A</v>
      </c>
      <c r="AL161" s="61"/>
      <c r="AM161" s="61"/>
      <c r="AN161" s="61"/>
      <c r="AO161" s="58">
        <v>44185</v>
      </c>
      <c r="AP161" s="29" t="e">
        <f>VLOOKUP(A161,'[2]External Scan 02_21'!$B:$J,9,0)</f>
        <v>#N/A</v>
      </c>
      <c r="AQ161" s="29" t="s">
        <v>28</v>
      </c>
      <c r="AR161" s="21"/>
      <c r="AS161" s="21" t="str">
        <f>VLOOKUP(AE161,'ref statu'!A:B,2,0)</f>
        <v>Fixed</v>
      </c>
      <c r="AT161" s="8" t="e">
        <f>VLOOKUP(A161,chk!A:B,2,0)</f>
        <v>#N/A</v>
      </c>
      <c r="AU161" s="29" t="e">
        <f>VLOOKUP(A161,checker!A:B,2,0)</f>
        <v>#N/A</v>
      </c>
      <c r="AV161" s="29" t="e">
        <f>VLOOKUP(A161,checker!B:C,2,0)</f>
        <v>#N/A</v>
      </c>
    </row>
    <row r="162" spans="1:48" x14ac:dyDescent="0.3">
      <c r="A162" s="29" t="str">
        <f t="shared" si="2"/>
        <v>96.692.66.646/0/oracle_linux-cve-2018-10882</v>
      </c>
      <c r="B162" s="61" t="s">
        <v>2997</v>
      </c>
      <c r="C162" s="61" t="s">
        <v>528</v>
      </c>
      <c r="D162" s="61" t="s">
        <v>2964</v>
      </c>
      <c r="E162" s="61" t="s">
        <v>28</v>
      </c>
      <c r="F162" s="61" t="s">
        <v>529</v>
      </c>
      <c r="G162" s="61" t="s">
        <v>530</v>
      </c>
      <c r="H162" s="61" t="s">
        <v>531</v>
      </c>
      <c r="I162" s="37" t="s">
        <v>532</v>
      </c>
      <c r="J162" s="37">
        <v>0</v>
      </c>
      <c r="K162" s="61" t="s">
        <v>258</v>
      </c>
      <c r="L162" s="61" t="s">
        <v>31</v>
      </c>
      <c r="M162" s="9">
        <v>5</v>
      </c>
      <c r="N162" s="9" t="s">
        <v>29</v>
      </c>
      <c r="O162" s="61" t="s">
        <v>1265</v>
      </c>
      <c r="P162" s="61" t="s">
        <v>1266</v>
      </c>
      <c r="Q162" s="61" t="s">
        <v>1267</v>
      </c>
      <c r="R162" s="61" t="s">
        <v>556</v>
      </c>
      <c r="S162" s="61" t="s">
        <v>1268</v>
      </c>
      <c r="T162" s="61" t="s">
        <v>31</v>
      </c>
      <c r="U162" s="61" t="s">
        <v>1269</v>
      </c>
      <c r="V162" s="61" t="s">
        <v>1270</v>
      </c>
      <c r="W162" s="62">
        <v>43308</v>
      </c>
      <c r="X162" s="37" t="s">
        <v>30</v>
      </c>
      <c r="Y162" s="37">
        <v>0</v>
      </c>
      <c r="Z162" s="37" t="s">
        <v>31</v>
      </c>
      <c r="AA162" s="37" t="s">
        <v>31</v>
      </c>
      <c r="AB162" s="37" t="s">
        <v>513</v>
      </c>
      <c r="AC162" s="61"/>
      <c r="AD162" s="33"/>
      <c r="AE162" s="98" t="s">
        <v>28</v>
      </c>
      <c r="AF162" s="36">
        <v>44191</v>
      </c>
      <c r="AG162" s="36">
        <v>44191</v>
      </c>
      <c r="AH162" s="37"/>
      <c r="AI162" s="72">
        <v>44185</v>
      </c>
      <c r="AJ162" s="38" t="s">
        <v>27</v>
      </c>
      <c r="AK162" s="39" t="e">
        <f>VLOOKUP(A162,'[1]Externe MAJ Nov'!$A:$H,8,0)</f>
        <v>#N/A</v>
      </c>
      <c r="AL162" s="61"/>
      <c r="AM162" s="61"/>
      <c r="AN162" s="61"/>
      <c r="AO162" s="58">
        <v>44185</v>
      </c>
      <c r="AP162" s="29" t="e">
        <f>VLOOKUP(A162,'[2]External Scan 02_21'!$B:$J,9,0)</f>
        <v>#N/A</v>
      </c>
      <c r="AQ162" s="29" t="s">
        <v>28</v>
      </c>
      <c r="AR162" s="21"/>
      <c r="AS162" s="21" t="str">
        <f>VLOOKUP(AE162,'ref statu'!A:B,2,0)</f>
        <v>Fixed</v>
      </c>
      <c r="AT162" s="8" t="e">
        <f>VLOOKUP(A162,chk!A:B,2,0)</f>
        <v>#N/A</v>
      </c>
      <c r="AU162" s="29" t="e">
        <f>VLOOKUP(A162,checker!A:B,2,0)</f>
        <v>#N/A</v>
      </c>
      <c r="AV162" s="29" t="e">
        <f>VLOOKUP(A162,checker!B:C,2,0)</f>
        <v>#N/A</v>
      </c>
    </row>
    <row r="163" spans="1:48" x14ac:dyDescent="0.3">
      <c r="A163" s="29" t="str">
        <f t="shared" si="2"/>
        <v>96.692.66.646/0/oracle_linux-cve-2018-10902</v>
      </c>
      <c r="B163" s="61" t="s">
        <v>2997</v>
      </c>
      <c r="C163" s="61" t="s">
        <v>528</v>
      </c>
      <c r="D163" s="61" t="s">
        <v>2964</v>
      </c>
      <c r="E163" s="61" t="s">
        <v>28</v>
      </c>
      <c r="F163" s="61" t="s">
        <v>529</v>
      </c>
      <c r="G163" s="61" t="s">
        <v>530</v>
      </c>
      <c r="H163" s="61" t="s">
        <v>531</v>
      </c>
      <c r="I163" s="37" t="s">
        <v>532</v>
      </c>
      <c r="J163" s="37">
        <v>0</v>
      </c>
      <c r="K163" s="61" t="s">
        <v>258</v>
      </c>
      <c r="L163" s="61" t="s">
        <v>31</v>
      </c>
      <c r="M163" s="9">
        <v>5</v>
      </c>
      <c r="N163" s="9" t="s">
        <v>29</v>
      </c>
      <c r="O163" s="61" t="s">
        <v>1271</v>
      </c>
      <c r="P163" s="61" t="s">
        <v>1272</v>
      </c>
      <c r="Q163" s="61" t="s">
        <v>1273</v>
      </c>
      <c r="R163" s="61" t="s">
        <v>606</v>
      </c>
      <c r="S163" s="61" t="s">
        <v>1274</v>
      </c>
      <c r="T163" s="61" t="s">
        <v>31</v>
      </c>
      <c r="U163" s="61" t="s">
        <v>1275</v>
      </c>
      <c r="V163" s="61" t="s">
        <v>1276</v>
      </c>
      <c r="W163" s="62">
        <v>43333</v>
      </c>
      <c r="X163" s="37" t="s">
        <v>30</v>
      </c>
      <c r="Y163" s="37">
        <v>0</v>
      </c>
      <c r="Z163" s="37" t="s">
        <v>31</v>
      </c>
      <c r="AA163" s="37" t="s">
        <v>31</v>
      </c>
      <c r="AB163" s="37" t="s">
        <v>513</v>
      </c>
      <c r="AC163" s="61"/>
      <c r="AD163" s="34"/>
      <c r="AE163" s="98" t="s">
        <v>28</v>
      </c>
      <c r="AF163" s="36">
        <v>44191</v>
      </c>
      <c r="AG163" s="36">
        <v>44191</v>
      </c>
      <c r="AH163" s="37"/>
      <c r="AI163" s="72">
        <v>44185</v>
      </c>
      <c r="AJ163" s="38" t="s">
        <v>27</v>
      </c>
      <c r="AK163" s="39" t="e">
        <f>VLOOKUP(A163,'[1]Externe MAJ Nov'!$A:$H,8,0)</f>
        <v>#N/A</v>
      </c>
      <c r="AL163" s="61"/>
      <c r="AM163" s="61"/>
      <c r="AN163" s="61"/>
      <c r="AO163" s="58">
        <v>44185</v>
      </c>
      <c r="AP163" s="29" t="e">
        <f>VLOOKUP(A163,'[2]External Scan 02_21'!$B:$J,9,0)</f>
        <v>#N/A</v>
      </c>
      <c r="AQ163" s="29" t="s">
        <v>28</v>
      </c>
      <c r="AR163" s="21"/>
      <c r="AS163" s="21" t="str">
        <f>VLOOKUP(AE163,'ref statu'!A:B,2,0)</f>
        <v>Fixed</v>
      </c>
      <c r="AT163" s="8" t="e">
        <f>VLOOKUP(A163,chk!A:B,2,0)</f>
        <v>#N/A</v>
      </c>
      <c r="AU163" s="29" t="e">
        <f>VLOOKUP(A163,checker!A:B,2,0)</f>
        <v>#N/A</v>
      </c>
      <c r="AV163" s="29" t="e">
        <f>VLOOKUP(A163,checker!B:C,2,0)</f>
        <v>#N/A</v>
      </c>
    </row>
    <row r="164" spans="1:48" x14ac:dyDescent="0.3">
      <c r="A164" s="29" t="str">
        <f t="shared" si="2"/>
        <v>96.692.66.646/0/oracle_linux-cve-2018-1092</v>
      </c>
      <c r="B164" s="61" t="s">
        <v>2997</v>
      </c>
      <c r="C164" s="61" t="s">
        <v>528</v>
      </c>
      <c r="D164" s="61" t="s">
        <v>2964</v>
      </c>
      <c r="E164" s="61" t="s">
        <v>28</v>
      </c>
      <c r="F164" s="61" t="s">
        <v>529</v>
      </c>
      <c r="G164" s="61" t="s">
        <v>530</v>
      </c>
      <c r="H164" s="61" t="s">
        <v>531</v>
      </c>
      <c r="I164" s="37" t="s">
        <v>532</v>
      </c>
      <c r="J164" s="37">
        <v>0</v>
      </c>
      <c r="K164" s="61" t="s">
        <v>258</v>
      </c>
      <c r="L164" s="61" t="s">
        <v>31</v>
      </c>
      <c r="M164" s="9">
        <v>7</v>
      </c>
      <c r="N164" s="10" t="s">
        <v>2540</v>
      </c>
      <c r="O164" s="61" t="s">
        <v>1277</v>
      </c>
      <c r="P164" s="61" t="s">
        <v>1278</v>
      </c>
      <c r="Q164" s="61" t="s">
        <v>1279</v>
      </c>
      <c r="R164" s="61" t="s">
        <v>606</v>
      </c>
      <c r="S164" s="61" t="s">
        <v>1280</v>
      </c>
      <c r="T164" s="61" t="s">
        <v>31</v>
      </c>
      <c r="U164" s="61" t="s">
        <v>1281</v>
      </c>
      <c r="V164" s="61" t="s">
        <v>1282</v>
      </c>
      <c r="W164" s="62">
        <v>43191</v>
      </c>
      <c r="X164" s="37" t="s">
        <v>30</v>
      </c>
      <c r="Y164" s="37">
        <v>0</v>
      </c>
      <c r="Z164" s="37" t="s">
        <v>31</v>
      </c>
      <c r="AA164" s="37" t="s">
        <v>31</v>
      </c>
      <c r="AB164" s="37" t="s">
        <v>513</v>
      </c>
      <c r="AC164" s="61"/>
      <c r="AD164" s="34"/>
      <c r="AE164" s="98" t="s">
        <v>28</v>
      </c>
      <c r="AF164" s="36">
        <v>44191</v>
      </c>
      <c r="AG164" s="36">
        <v>44191</v>
      </c>
      <c r="AH164" s="37"/>
      <c r="AI164" s="72">
        <v>44185</v>
      </c>
      <c r="AJ164" s="38" t="s">
        <v>27</v>
      </c>
      <c r="AK164" s="39" t="e">
        <f>VLOOKUP(A164,'[1]Externe MAJ Nov'!$A:$H,8,0)</f>
        <v>#N/A</v>
      </c>
      <c r="AL164" s="61"/>
      <c r="AM164" s="61"/>
      <c r="AN164" s="61"/>
      <c r="AO164" s="58">
        <v>44185</v>
      </c>
      <c r="AP164" s="29" t="e">
        <f>VLOOKUP(A164,'[2]External Scan 02_21'!$B:$J,9,0)</f>
        <v>#N/A</v>
      </c>
      <c r="AQ164" s="29" t="s">
        <v>28</v>
      </c>
      <c r="AR164" s="21"/>
      <c r="AS164" s="21" t="str">
        <f>VLOOKUP(AE164,'ref statu'!A:B,2,0)</f>
        <v>Fixed</v>
      </c>
      <c r="AT164" s="8" t="e">
        <f>VLOOKUP(A164,chk!A:B,2,0)</f>
        <v>#N/A</v>
      </c>
      <c r="AU164" s="29" t="e">
        <f>VLOOKUP(A164,checker!A:B,2,0)</f>
        <v>#N/A</v>
      </c>
      <c r="AV164" s="29" t="e">
        <f>VLOOKUP(A164,checker!B:C,2,0)</f>
        <v>#N/A</v>
      </c>
    </row>
    <row r="165" spans="1:48" x14ac:dyDescent="0.3">
      <c r="A165" s="29" t="str">
        <f t="shared" si="2"/>
        <v>96.692.66.646/0/oracle_linux-cve-2018-1093</v>
      </c>
      <c r="B165" s="61" t="s">
        <v>2997</v>
      </c>
      <c r="C165" s="61" t="s">
        <v>528</v>
      </c>
      <c r="D165" s="61" t="s">
        <v>2964</v>
      </c>
      <c r="E165" s="61" t="s">
        <v>28</v>
      </c>
      <c r="F165" s="61" t="s">
        <v>529</v>
      </c>
      <c r="G165" s="61" t="s">
        <v>530</v>
      </c>
      <c r="H165" s="61" t="s">
        <v>531</v>
      </c>
      <c r="I165" s="37" t="s">
        <v>532</v>
      </c>
      <c r="J165" s="37">
        <v>0</v>
      </c>
      <c r="K165" s="61" t="s">
        <v>258</v>
      </c>
      <c r="L165" s="61" t="s">
        <v>31</v>
      </c>
      <c r="M165" s="9">
        <v>7</v>
      </c>
      <c r="N165" s="10" t="s">
        <v>2540</v>
      </c>
      <c r="O165" s="61" t="s">
        <v>1283</v>
      </c>
      <c r="P165" s="61" t="s">
        <v>1284</v>
      </c>
      <c r="Q165" s="61" t="s">
        <v>1285</v>
      </c>
      <c r="R165" s="61" t="s">
        <v>556</v>
      </c>
      <c r="S165" s="61" t="s">
        <v>1286</v>
      </c>
      <c r="T165" s="61" t="s">
        <v>31</v>
      </c>
      <c r="U165" s="61" t="s">
        <v>1287</v>
      </c>
      <c r="V165" s="61" t="s">
        <v>1288</v>
      </c>
      <c r="W165" s="62">
        <v>43191</v>
      </c>
      <c r="X165" s="37" t="s">
        <v>30</v>
      </c>
      <c r="Y165" s="37">
        <v>0</v>
      </c>
      <c r="Z165" s="37" t="s">
        <v>31</v>
      </c>
      <c r="AA165" s="37" t="s">
        <v>31</v>
      </c>
      <c r="AB165" s="37" t="s">
        <v>513</v>
      </c>
      <c r="AC165" s="61"/>
      <c r="AD165" s="33"/>
      <c r="AE165" s="98" t="s">
        <v>28</v>
      </c>
      <c r="AF165" s="36">
        <v>44191</v>
      </c>
      <c r="AG165" s="36">
        <v>44191</v>
      </c>
      <c r="AH165" s="37"/>
      <c r="AI165" s="72">
        <v>44185</v>
      </c>
      <c r="AJ165" s="38" t="s">
        <v>27</v>
      </c>
      <c r="AK165" s="39" t="e">
        <f>VLOOKUP(A165,'[1]Externe MAJ Nov'!$A:$H,8,0)</f>
        <v>#N/A</v>
      </c>
      <c r="AL165" s="61"/>
      <c r="AM165" s="61"/>
      <c r="AN165" s="61"/>
      <c r="AO165" s="58">
        <v>44185</v>
      </c>
      <c r="AP165" s="29" t="e">
        <f>VLOOKUP(A165,'[2]External Scan 02_21'!$B:$J,9,0)</f>
        <v>#N/A</v>
      </c>
      <c r="AQ165" s="29" t="s">
        <v>28</v>
      </c>
      <c r="AR165" s="21"/>
      <c r="AS165" s="21" t="str">
        <f>VLOOKUP(AE165,'ref statu'!A:B,2,0)</f>
        <v>Fixed</v>
      </c>
      <c r="AT165" s="8" t="e">
        <f>VLOOKUP(A165,chk!A:B,2,0)</f>
        <v>#N/A</v>
      </c>
      <c r="AU165" s="29" t="e">
        <f>VLOOKUP(A165,checker!A:B,2,0)</f>
        <v>#N/A</v>
      </c>
      <c r="AV165" s="29" t="e">
        <f>VLOOKUP(A165,checker!B:C,2,0)</f>
        <v>#N/A</v>
      </c>
    </row>
    <row r="166" spans="1:48" x14ac:dyDescent="0.3">
      <c r="A166" s="29" t="str">
        <f t="shared" si="2"/>
        <v>96.692.66.646/0/oracle_linux-cve-2018-10938</v>
      </c>
      <c r="B166" s="61" t="s">
        <v>2997</v>
      </c>
      <c r="C166" s="61" t="s">
        <v>528</v>
      </c>
      <c r="D166" s="61" t="s">
        <v>2964</v>
      </c>
      <c r="E166" s="61" t="s">
        <v>28</v>
      </c>
      <c r="F166" s="61" t="s">
        <v>529</v>
      </c>
      <c r="G166" s="61" t="s">
        <v>530</v>
      </c>
      <c r="H166" s="61" t="s">
        <v>531</v>
      </c>
      <c r="I166" s="37" t="s">
        <v>532</v>
      </c>
      <c r="J166" s="37">
        <v>0</v>
      </c>
      <c r="K166" s="61" t="s">
        <v>258</v>
      </c>
      <c r="L166" s="61" t="s">
        <v>31</v>
      </c>
      <c r="M166" s="9">
        <v>7</v>
      </c>
      <c r="N166" s="10" t="s">
        <v>2540</v>
      </c>
      <c r="O166" s="61" t="s">
        <v>1289</v>
      </c>
      <c r="P166" s="61" t="s">
        <v>1290</v>
      </c>
      <c r="Q166" s="61" t="s">
        <v>1291</v>
      </c>
      <c r="R166" s="61" t="s">
        <v>536</v>
      </c>
      <c r="S166" s="61" t="s">
        <v>1292</v>
      </c>
      <c r="T166" s="61" t="s">
        <v>31</v>
      </c>
      <c r="U166" s="61" t="s">
        <v>1293</v>
      </c>
      <c r="V166" s="61" t="s">
        <v>1294</v>
      </c>
      <c r="W166" s="62">
        <v>43339</v>
      </c>
      <c r="X166" s="37" t="s">
        <v>30</v>
      </c>
      <c r="Y166" s="37">
        <v>0</v>
      </c>
      <c r="Z166" s="37" t="s">
        <v>31</v>
      </c>
      <c r="AA166" s="37" t="s">
        <v>31</v>
      </c>
      <c r="AB166" s="37" t="s">
        <v>513</v>
      </c>
      <c r="AC166" s="61"/>
      <c r="AD166" s="34"/>
      <c r="AE166" s="98" t="s">
        <v>28</v>
      </c>
      <c r="AF166" s="36">
        <v>44191</v>
      </c>
      <c r="AG166" s="36">
        <v>44191</v>
      </c>
      <c r="AH166" s="37"/>
      <c r="AI166" s="72">
        <v>44185</v>
      </c>
      <c r="AJ166" s="38" t="s">
        <v>27</v>
      </c>
      <c r="AK166" s="39" t="e">
        <f>VLOOKUP(A166,'[1]Externe MAJ Nov'!$A:$H,8,0)</f>
        <v>#N/A</v>
      </c>
      <c r="AL166" s="61"/>
      <c r="AM166" s="61"/>
      <c r="AN166" s="61"/>
      <c r="AO166" s="58">
        <v>44185</v>
      </c>
      <c r="AP166" s="29" t="e">
        <f>VLOOKUP(A166,'[2]External Scan 02_21'!$B:$J,9,0)</f>
        <v>#N/A</v>
      </c>
      <c r="AQ166" s="29" t="s">
        <v>28</v>
      </c>
      <c r="AR166" s="21"/>
      <c r="AS166" s="21" t="str">
        <f>VLOOKUP(AE166,'ref statu'!A:B,2,0)</f>
        <v>Fixed</v>
      </c>
      <c r="AT166" s="8" t="e">
        <f>VLOOKUP(A166,chk!A:B,2,0)</f>
        <v>#N/A</v>
      </c>
      <c r="AU166" s="29" t="e">
        <f>VLOOKUP(A166,checker!A:B,2,0)</f>
        <v>#N/A</v>
      </c>
      <c r="AV166" s="29" t="e">
        <f>VLOOKUP(A166,checker!B:C,2,0)</f>
        <v>#N/A</v>
      </c>
    </row>
    <row r="167" spans="1:48" x14ac:dyDescent="0.3">
      <c r="A167" s="29" t="str">
        <f t="shared" si="2"/>
        <v>96.692.66.646/0/oracle_linux-cve-2018-1094</v>
      </c>
      <c r="B167" s="61" t="s">
        <v>2997</v>
      </c>
      <c r="C167" s="61" t="s">
        <v>528</v>
      </c>
      <c r="D167" s="61" t="s">
        <v>2964</v>
      </c>
      <c r="E167" s="61" t="s">
        <v>28</v>
      </c>
      <c r="F167" s="61" t="s">
        <v>529</v>
      </c>
      <c r="G167" s="61" t="s">
        <v>530</v>
      </c>
      <c r="H167" s="61" t="s">
        <v>531</v>
      </c>
      <c r="I167" s="37" t="s">
        <v>532</v>
      </c>
      <c r="J167" s="37">
        <v>0</v>
      </c>
      <c r="K167" s="61" t="s">
        <v>258</v>
      </c>
      <c r="L167" s="61" t="s">
        <v>31</v>
      </c>
      <c r="M167" s="9">
        <v>7</v>
      </c>
      <c r="N167" s="10" t="s">
        <v>2540</v>
      </c>
      <c r="O167" s="61" t="s">
        <v>1295</v>
      </c>
      <c r="P167" s="61" t="s">
        <v>1296</v>
      </c>
      <c r="Q167" s="61" t="s">
        <v>1297</v>
      </c>
      <c r="R167" s="61" t="s">
        <v>606</v>
      </c>
      <c r="S167" s="61" t="s">
        <v>1298</v>
      </c>
      <c r="T167" s="61" t="s">
        <v>31</v>
      </c>
      <c r="U167" s="61" t="s">
        <v>1299</v>
      </c>
      <c r="V167" s="61" t="s">
        <v>1300</v>
      </c>
      <c r="W167" s="62">
        <v>43191</v>
      </c>
      <c r="X167" s="37" t="s">
        <v>30</v>
      </c>
      <c r="Y167" s="37">
        <v>0</v>
      </c>
      <c r="Z167" s="37" t="s">
        <v>31</v>
      </c>
      <c r="AA167" s="37" t="s">
        <v>31</v>
      </c>
      <c r="AB167" s="37" t="s">
        <v>513</v>
      </c>
      <c r="AC167" s="61"/>
      <c r="AD167" s="34"/>
      <c r="AE167" s="98" t="s">
        <v>28</v>
      </c>
      <c r="AF167" s="36">
        <v>44191</v>
      </c>
      <c r="AG167" s="36">
        <v>44191</v>
      </c>
      <c r="AH167" s="37"/>
      <c r="AI167" s="72">
        <v>44185</v>
      </c>
      <c r="AJ167" s="38" t="s">
        <v>27</v>
      </c>
      <c r="AK167" s="39" t="e">
        <f>VLOOKUP(A167,'[1]Externe MAJ Nov'!$A:$H,8,0)</f>
        <v>#N/A</v>
      </c>
      <c r="AL167" s="61"/>
      <c r="AM167" s="61"/>
      <c r="AN167" s="61"/>
      <c r="AO167" s="58">
        <v>44185</v>
      </c>
      <c r="AP167" s="29" t="e">
        <f>VLOOKUP(A167,'[2]External Scan 02_21'!$B:$J,9,0)</f>
        <v>#N/A</v>
      </c>
      <c r="AQ167" s="29" t="s">
        <v>28</v>
      </c>
      <c r="AR167" s="21"/>
      <c r="AS167" s="21" t="str">
        <f>VLOOKUP(AE167,'ref statu'!A:B,2,0)</f>
        <v>Fixed</v>
      </c>
      <c r="AT167" s="8" t="e">
        <f>VLOOKUP(A167,chk!A:B,2,0)</f>
        <v>#N/A</v>
      </c>
      <c r="AU167" s="29" t="e">
        <f>VLOOKUP(A167,checker!A:B,2,0)</f>
        <v>#N/A</v>
      </c>
      <c r="AV167" s="29" t="e">
        <f>VLOOKUP(A167,checker!B:C,2,0)</f>
        <v>#N/A</v>
      </c>
    </row>
    <row r="168" spans="1:48" x14ac:dyDescent="0.3">
      <c r="A168" s="29" t="str">
        <f t="shared" si="2"/>
        <v>96.692.66.646/0/oracle_linux-cve-2018-1130</v>
      </c>
      <c r="B168" s="61" t="s">
        <v>2997</v>
      </c>
      <c r="C168" s="61" t="s">
        <v>528</v>
      </c>
      <c r="D168" s="61" t="s">
        <v>2964</v>
      </c>
      <c r="E168" s="61" t="s">
        <v>28</v>
      </c>
      <c r="F168" s="61" t="s">
        <v>529</v>
      </c>
      <c r="G168" s="61" t="s">
        <v>530</v>
      </c>
      <c r="H168" s="61" t="s">
        <v>531</v>
      </c>
      <c r="I168" s="37" t="s">
        <v>532</v>
      </c>
      <c r="J168" s="37">
        <v>0</v>
      </c>
      <c r="K168" s="61" t="s">
        <v>258</v>
      </c>
      <c r="L168" s="61" t="s">
        <v>31</v>
      </c>
      <c r="M168" s="9">
        <v>5</v>
      </c>
      <c r="N168" s="9" t="s">
        <v>29</v>
      </c>
      <c r="O168" s="61" t="s">
        <v>1301</v>
      </c>
      <c r="P168" s="61" t="s">
        <v>1302</v>
      </c>
      <c r="Q168" s="61" t="s">
        <v>1303</v>
      </c>
      <c r="R168" s="61" t="s">
        <v>606</v>
      </c>
      <c r="S168" s="61" t="s">
        <v>1304</v>
      </c>
      <c r="T168" s="61" t="s">
        <v>31</v>
      </c>
      <c r="U168" s="61" t="s">
        <v>1305</v>
      </c>
      <c r="V168" s="61" t="s">
        <v>1306</v>
      </c>
      <c r="W168" s="62">
        <v>43230</v>
      </c>
      <c r="X168" s="37" t="s">
        <v>30</v>
      </c>
      <c r="Y168" s="37">
        <v>0</v>
      </c>
      <c r="Z168" s="37" t="s">
        <v>31</v>
      </c>
      <c r="AA168" s="37" t="s">
        <v>31</v>
      </c>
      <c r="AB168" s="37" t="s">
        <v>513</v>
      </c>
      <c r="AC168" s="61"/>
      <c r="AD168" s="33"/>
      <c r="AE168" s="98" t="s">
        <v>28</v>
      </c>
      <c r="AF168" s="36">
        <v>44191</v>
      </c>
      <c r="AG168" s="36">
        <v>44191</v>
      </c>
      <c r="AH168" s="37"/>
      <c r="AI168" s="72">
        <v>44185</v>
      </c>
      <c r="AJ168" s="38" t="s">
        <v>27</v>
      </c>
      <c r="AK168" s="39" t="e">
        <f>VLOOKUP(A168,'[1]Externe MAJ Nov'!$A:$H,8,0)</f>
        <v>#N/A</v>
      </c>
      <c r="AL168" s="61"/>
      <c r="AM168" s="61"/>
      <c r="AN168" s="61"/>
      <c r="AO168" s="58">
        <v>44185</v>
      </c>
      <c r="AP168" s="29" t="e">
        <f>VLOOKUP(A168,'[2]External Scan 02_21'!$B:$J,9,0)</f>
        <v>#N/A</v>
      </c>
      <c r="AQ168" s="29" t="s">
        <v>28</v>
      </c>
      <c r="AR168" s="21"/>
      <c r="AS168" s="21" t="str">
        <f>VLOOKUP(AE168,'ref statu'!A:B,2,0)</f>
        <v>Fixed</v>
      </c>
      <c r="AT168" s="8" t="e">
        <f>VLOOKUP(A168,chk!A:B,2,0)</f>
        <v>#N/A</v>
      </c>
      <c r="AU168" s="29" t="e">
        <f>VLOOKUP(A168,checker!A:B,2,0)</f>
        <v>#N/A</v>
      </c>
      <c r="AV168" s="29" t="e">
        <f>VLOOKUP(A168,checker!B:C,2,0)</f>
        <v>#N/A</v>
      </c>
    </row>
    <row r="169" spans="1:48" x14ac:dyDescent="0.3">
      <c r="A169" s="29" t="str">
        <f t="shared" si="2"/>
        <v>96.692.66.646/0/oracle_linux-cve-2018-12126</v>
      </c>
      <c r="B169" s="61" t="s">
        <v>2997</v>
      </c>
      <c r="C169" s="61" t="s">
        <v>528</v>
      </c>
      <c r="D169" s="61" t="s">
        <v>2964</v>
      </c>
      <c r="E169" s="61" t="s">
        <v>28</v>
      </c>
      <c r="F169" s="61" t="s">
        <v>529</v>
      </c>
      <c r="G169" s="61" t="s">
        <v>530</v>
      </c>
      <c r="H169" s="61" t="s">
        <v>531</v>
      </c>
      <c r="I169" s="37" t="s">
        <v>532</v>
      </c>
      <c r="J169" s="37">
        <v>0</v>
      </c>
      <c r="K169" s="61" t="s">
        <v>258</v>
      </c>
      <c r="L169" s="61" t="s">
        <v>31</v>
      </c>
      <c r="M169" s="9">
        <v>5</v>
      </c>
      <c r="N169" s="9" t="s">
        <v>29</v>
      </c>
      <c r="O169" s="61" t="s">
        <v>1307</v>
      </c>
      <c r="P169" s="61" t="s">
        <v>1308</v>
      </c>
      <c r="Q169" s="61" t="s">
        <v>468</v>
      </c>
      <c r="R169" s="61" t="s">
        <v>1309</v>
      </c>
      <c r="S169" s="61" t="s">
        <v>1310</v>
      </c>
      <c r="T169" s="61" t="s">
        <v>31</v>
      </c>
      <c r="U169" s="61" t="s">
        <v>469</v>
      </c>
      <c r="V169" s="61" t="s">
        <v>470</v>
      </c>
      <c r="W169" s="62">
        <v>43599</v>
      </c>
      <c r="X169" s="37" t="s">
        <v>30</v>
      </c>
      <c r="Y169" s="37">
        <v>0</v>
      </c>
      <c r="Z169" s="37" t="s">
        <v>31</v>
      </c>
      <c r="AA169" s="37" t="s">
        <v>31</v>
      </c>
      <c r="AB169" s="37" t="s">
        <v>513</v>
      </c>
      <c r="AC169" s="61"/>
      <c r="AD169" s="34"/>
      <c r="AE169" s="98" t="s">
        <v>28</v>
      </c>
      <c r="AF169" s="36">
        <v>44191</v>
      </c>
      <c r="AG169" s="36">
        <v>44191</v>
      </c>
      <c r="AH169" s="37"/>
      <c r="AI169" s="72">
        <v>44185</v>
      </c>
      <c r="AJ169" s="38" t="s">
        <v>27</v>
      </c>
      <c r="AK169" s="39" t="e">
        <f>VLOOKUP(A169,'[1]Externe MAJ Nov'!$A:$H,8,0)</f>
        <v>#N/A</v>
      </c>
      <c r="AL169" s="61"/>
      <c r="AM169" s="61"/>
      <c r="AN169" s="61"/>
      <c r="AO169" s="58">
        <v>44185</v>
      </c>
      <c r="AP169" s="29" t="e">
        <f>VLOOKUP(A169,'[2]External Scan 02_21'!$B:$J,9,0)</f>
        <v>#N/A</v>
      </c>
      <c r="AQ169" s="29" t="s">
        <v>28</v>
      </c>
      <c r="AR169" s="21"/>
      <c r="AS169" s="21" t="str">
        <f>VLOOKUP(AE169,'ref statu'!A:B,2,0)</f>
        <v>Fixed</v>
      </c>
      <c r="AT169" s="8" t="e">
        <f>VLOOKUP(A169,chk!A:B,2,0)</f>
        <v>#N/A</v>
      </c>
      <c r="AU169" s="29" t="e">
        <f>VLOOKUP(A169,checker!A:B,2,0)</f>
        <v>#N/A</v>
      </c>
      <c r="AV169" s="29" t="e">
        <f>VLOOKUP(A169,checker!B:C,2,0)</f>
        <v>#N/A</v>
      </c>
    </row>
    <row r="170" spans="1:48" x14ac:dyDescent="0.3">
      <c r="A170" s="29" t="str">
        <f t="shared" si="2"/>
        <v>96.692.66.646/0/oracle_linux-cve-2018-12127</v>
      </c>
      <c r="B170" s="61" t="s">
        <v>2997</v>
      </c>
      <c r="C170" s="61" t="s">
        <v>528</v>
      </c>
      <c r="D170" s="61" t="s">
        <v>2964</v>
      </c>
      <c r="E170" s="61" t="s">
        <v>28</v>
      </c>
      <c r="F170" s="61" t="s">
        <v>529</v>
      </c>
      <c r="G170" s="61" t="s">
        <v>530</v>
      </c>
      <c r="H170" s="61" t="s">
        <v>531</v>
      </c>
      <c r="I170" s="37" t="s">
        <v>532</v>
      </c>
      <c r="J170" s="37">
        <v>0</v>
      </c>
      <c r="K170" s="61" t="s">
        <v>258</v>
      </c>
      <c r="L170" s="61" t="s">
        <v>31</v>
      </c>
      <c r="M170" s="9">
        <v>5</v>
      </c>
      <c r="N170" s="9" t="s">
        <v>29</v>
      </c>
      <c r="O170" s="61" t="s">
        <v>1311</v>
      </c>
      <c r="P170" s="61" t="s">
        <v>1312</v>
      </c>
      <c r="Q170" s="61" t="s">
        <v>455</v>
      </c>
      <c r="R170" s="61" t="s">
        <v>1309</v>
      </c>
      <c r="S170" s="61" t="s">
        <v>1313</v>
      </c>
      <c r="T170" s="61" t="s">
        <v>31</v>
      </c>
      <c r="U170" s="61" t="s">
        <v>456</v>
      </c>
      <c r="V170" s="61" t="s">
        <v>457</v>
      </c>
      <c r="W170" s="62">
        <v>43599</v>
      </c>
      <c r="X170" s="37" t="s">
        <v>30</v>
      </c>
      <c r="Y170" s="37">
        <v>0</v>
      </c>
      <c r="Z170" s="37" t="s">
        <v>31</v>
      </c>
      <c r="AA170" s="37" t="s">
        <v>31</v>
      </c>
      <c r="AB170" s="37" t="s">
        <v>513</v>
      </c>
      <c r="AC170" s="61"/>
      <c r="AD170" s="34"/>
      <c r="AE170" s="98" t="s">
        <v>28</v>
      </c>
      <c r="AF170" s="36">
        <v>44191</v>
      </c>
      <c r="AG170" s="36">
        <v>44191</v>
      </c>
      <c r="AH170" s="37"/>
      <c r="AI170" s="72">
        <v>44185</v>
      </c>
      <c r="AJ170" s="38" t="s">
        <v>27</v>
      </c>
      <c r="AK170" s="39" t="e">
        <f>VLOOKUP(A170,'[1]Externe MAJ Nov'!$A:$H,8,0)</f>
        <v>#N/A</v>
      </c>
      <c r="AL170" s="61"/>
      <c r="AM170" s="61"/>
      <c r="AN170" s="61"/>
      <c r="AO170" s="58">
        <v>44185</v>
      </c>
      <c r="AP170" s="29" t="e">
        <f>VLOOKUP(A170,'[2]External Scan 02_21'!$B:$J,9,0)</f>
        <v>#N/A</v>
      </c>
      <c r="AQ170" s="29" t="s">
        <v>28</v>
      </c>
      <c r="AR170" s="21"/>
      <c r="AS170" s="21" t="str">
        <f>VLOOKUP(AE170,'ref statu'!A:B,2,0)</f>
        <v>Fixed</v>
      </c>
      <c r="AT170" s="8" t="e">
        <f>VLOOKUP(A170,chk!A:B,2,0)</f>
        <v>#N/A</v>
      </c>
      <c r="AU170" s="29" t="e">
        <f>VLOOKUP(A170,checker!A:B,2,0)</f>
        <v>#N/A</v>
      </c>
      <c r="AV170" s="29" t="e">
        <f>VLOOKUP(A170,checker!B:C,2,0)</f>
        <v>#N/A</v>
      </c>
    </row>
    <row r="171" spans="1:48" x14ac:dyDescent="0.3">
      <c r="A171" s="29" t="str">
        <f t="shared" si="2"/>
        <v>96.692.66.646/0/oracle_linux-cve-2018-12130</v>
      </c>
      <c r="B171" s="61" t="s">
        <v>2997</v>
      </c>
      <c r="C171" s="61" t="s">
        <v>528</v>
      </c>
      <c r="D171" s="61" t="s">
        <v>2964</v>
      </c>
      <c r="E171" s="61" t="s">
        <v>28</v>
      </c>
      <c r="F171" s="61" t="s">
        <v>529</v>
      </c>
      <c r="G171" s="61" t="s">
        <v>530</v>
      </c>
      <c r="H171" s="61" t="s">
        <v>531</v>
      </c>
      <c r="I171" s="37" t="s">
        <v>532</v>
      </c>
      <c r="J171" s="37">
        <v>0</v>
      </c>
      <c r="K171" s="61" t="s">
        <v>258</v>
      </c>
      <c r="L171" s="61" t="s">
        <v>31</v>
      </c>
      <c r="M171" s="9">
        <v>5</v>
      </c>
      <c r="N171" s="9" t="s">
        <v>29</v>
      </c>
      <c r="O171" s="61" t="s">
        <v>1314</v>
      </c>
      <c r="P171" s="61" t="s">
        <v>1315</v>
      </c>
      <c r="Q171" s="61" t="s">
        <v>441</v>
      </c>
      <c r="R171" s="61" t="s">
        <v>1309</v>
      </c>
      <c r="S171" s="61" t="s">
        <v>1316</v>
      </c>
      <c r="T171" s="61" t="s">
        <v>31</v>
      </c>
      <c r="U171" s="61" t="s">
        <v>442</v>
      </c>
      <c r="V171" s="61" t="s">
        <v>443</v>
      </c>
      <c r="W171" s="62">
        <v>43599</v>
      </c>
      <c r="X171" s="37" t="s">
        <v>30</v>
      </c>
      <c r="Y171" s="37">
        <v>0</v>
      </c>
      <c r="Z171" s="37" t="s">
        <v>31</v>
      </c>
      <c r="AA171" s="37" t="s">
        <v>31</v>
      </c>
      <c r="AB171" s="37" t="s">
        <v>513</v>
      </c>
      <c r="AC171" s="61"/>
      <c r="AD171" s="33"/>
      <c r="AE171" s="98" t="s">
        <v>28</v>
      </c>
      <c r="AF171" s="36">
        <v>44191</v>
      </c>
      <c r="AG171" s="36">
        <v>44191</v>
      </c>
      <c r="AH171" s="37"/>
      <c r="AI171" s="72">
        <v>44185</v>
      </c>
      <c r="AJ171" s="38" t="s">
        <v>27</v>
      </c>
      <c r="AK171" s="39" t="e">
        <f>VLOOKUP(A171,'[1]Externe MAJ Nov'!$A:$H,8,0)</f>
        <v>#N/A</v>
      </c>
      <c r="AL171" s="61"/>
      <c r="AM171" s="61"/>
      <c r="AN171" s="61"/>
      <c r="AO171" s="58">
        <v>44185</v>
      </c>
      <c r="AP171" s="29" t="e">
        <f>VLOOKUP(A171,'[2]External Scan 02_21'!$B:$J,9,0)</f>
        <v>#N/A</v>
      </c>
      <c r="AQ171" s="29" t="s">
        <v>28</v>
      </c>
      <c r="AR171" s="21"/>
      <c r="AS171" s="21" t="str">
        <f>VLOOKUP(AE171,'ref statu'!A:B,2,0)</f>
        <v>Fixed</v>
      </c>
      <c r="AT171" s="8" t="e">
        <f>VLOOKUP(A171,chk!A:B,2,0)</f>
        <v>#N/A</v>
      </c>
      <c r="AU171" s="29" t="e">
        <f>VLOOKUP(A171,checker!A:B,2,0)</f>
        <v>#N/A</v>
      </c>
      <c r="AV171" s="29" t="e">
        <f>VLOOKUP(A171,checker!B:C,2,0)</f>
        <v>#N/A</v>
      </c>
    </row>
    <row r="172" spans="1:48" x14ac:dyDescent="0.3">
      <c r="A172" s="29" t="str">
        <f t="shared" si="2"/>
        <v>96.692.66.646/0/oracle_linux-cve-2018-12207</v>
      </c>
      <c r="B172" s="61" t="s">
        <v>2997</v>
      </c>
      <c r="C172" s="61" t="s">
        <v>528</v>
      </c>
      <c r="D172" s="61" t="s">
        <v>2964</v>
      </c>
      <c r="E172" s="61" t="s">
        <v>28</v>
      </c>
      <c r="F172" s="61" t="s">
        <v>529</v>
      </c>
      <c r="G172" s="61" t="s">
        <v>530</v>
      </c>
      <c r="H172" s="61" t="s">
        <v>531</v>
      </c>
      <c r="I172" s="37" t="s">
        <v>532</v>
      </c>
      <c r="J172" s="37">
        <v>0</v>
      </c>
      <c r="K172" s="61" t="s">
        <v>258</v>
      </c>
      <c r="L172" s="61" t="s">
        <v>31</v>
      </c>
      <c r="M172" s="9">
        <v>5</v>
      </c>
      <c r="N172" s="9" t="s">
        <v>29</v>
      </c>
      <c r="O172" s="61" t="s">
        <v>1317</v>
      </c>
      <c r="P172" s="61" t="s">
        <v>1318</v>
      </c>
      <c r="Q172" s="61" t="s">
        <v>444</v>
      </c>
      <c r="R172" s="61" t="s">
        <v>1319</v>
      </c>
      <c r="S172" s="61" t="s">
        <v>1320</v>
      </c>
      <c r="T172" s="61" t="s">
        <v>31</v>
      </c>
      <c r="U172" s="61" t="s">
        <v>445</v>
      </c>
      <c r="V172" s="61" t="s">
        <v>446</v>
      </c>
      <c r="W172" s="62">
        <v>43782</v>
      </c>
      <c r="X172" s="37" t="s">
        <v>30</v>
      </c>
      <c r="Y172" s="37">
        <v>0</v>
      </c>
      <c r="Z172" s="37" t="s">
        <v>31</v>
      </c>
      <c r="AA172" s="37" t="s">
        <v>31</v>
      </c>
      <c r="AB172" s="37" t="s">
        <v>513</v>
      </c>
      <c r="AC172" s="61"/>
      <c r="AD172" s="34"/>
      <c r="AE172" s="98" t="s">
        <v>28</v>
      </c>
      <c r="AF172" s="36">
        <v>44191</v>
      </c>
      <c r="AG172" s="36">
        <v>44191</v>
      </c>
      <c r="AH172" s="37"/>
      <c r="AI172" s="72">
        <v>44185</v>
      </c>
      <c r="AJ172" s="38" t="s">
        <v>27</v>
      </c>
      <c r="AK172" s="39" t="e">
        <f>VLOOKUP(A172,'[1]Externe MAJ Nov'!$A:$H,8,0)</f>
        <v>#N/A</v>
      </c>
      <c r="AL172" s="61"/>
      <c r="AM172" s="61"/>
      <c r="AN172" s="61"/>
      <c r="AO172" s="58">
        <v>44185</v>
      </c>
      <c r="AP172" s="29" t="e">
        <f>VLOOKUP(A172,'[2]External Scan 02_21'!$B:$J,9,0)</f>
        <v>#N/A</v>
      </c>
      <c r="AQ172" s="29" t="s">
        <v>28</v>
      </c>
      <c r="AR172" s="21"/>
      <c r="AS172" s="21" t="str">
        <f>VLOOKUP(AE172,'ref statu'!A:B,2,0)</f>
        <v>Fixed</v>
      </c>
      <c r="AT172" s="8" t="e">
        <f>VLOOKUP(A172,chk!A:B,2,0)</f>
        <v>#N/A</v>
      </c>
      <c r="AU172" s="29" t="e">
        <f>VLOOKUP(A172,checker!A:B,2,0)</f>
        <v>#N/A</v>
      </c>
      <c r="AV172" s="29" t="e">
        <f>VLOOKUP(A172,checker!B:C,2,0)</f>
        <v>#N/A</v>
      </c>
    </row>
    <row r="173" spans="1:48" x14ac:dyDescent="0.3">
      <c r="A173" s="29" t="str">
        <f t="shared" si="2"/>
        <v>96.692.66.646/0/oracle_linux-cve-2018-13094</v>
      </c>
      <c r="B173" s="61" t="s">
        <v>2997</v>
      </c>
      <c r="C173" s="61" t="s">
        <v>528</v>
      </c>
      <c r="D173" s="61" t="s">
        <v>2964</v>
      </c>
      <c r="E173" s="61" t="s">
        <v>28</v>
      </c>
      <c r="F173" s="61" t="s">
        <v>529</v>
      </c>
      <c r="G173" s="61" t="s">
        <v>530</v>
      </c>
      <c r="H173" s="61" t="s">
        <v>531</v>
      </c>
      <c r="I173" s="37" t="s">
        <v>532</v>
      </c>
      <c r="J173" s="37">
        <v>0</v>
      </c>
      <c r="K173" s="61" t="s">
        <v>258</v>
      </c>
      <c r="L173" s="61" t="s">
        <v>31</v>
      </c>
      <c r="M173" s="9">
        <v>4</v>
      </c>
      <c r="N173" s="9" t="s">
        <v>29</v>
      </c>
      <c r="O173" s="61" t="s">
        <v>1321</v>
      </c>
      <c r="P173" s="61" t="s">
        <v>1322</v>
      </c>
      <c r="Q173" s="61" t="s">
        <v>1323</v>
      </c>
      <c r="R173" s="61" t="s">
        <v>581</v>
      </c>
      <c r="S173" s="61" t="s">
        <v>1324</v>
      </c>
      <c r="T173" s="61" t="s">
        <v>31</v>
      </c>
      <c r="U173" s="61" t="s">
        <v>1325</v>
      </c>
      <c r="V173" s="61" t="s">
        <v>1326</v>
      </c>
      <c r="W173" s="62">
        <v>43284</v>
      </c>
      <c r="X173" s="37" t="s">
        <v>30</v>
      </c>
      <c r="Y173" s="37">
        <v>0</v>
      </c>
      <c r="Z173" s="37" t="s">
        <v>31</v>
      </c>
      <c r="AA173" s="37" t="s">
        <v>31</v>
      </c>
      <c r="AB173" s="37" t="s">
        <v>513</v>
      </c>
      <c r="AC173" s="61"/>
      <c r="AD173" s="34"/>
      <c r="AE173" s="98" t="s">
        <v>28</v>
      </c>
      <c r="AF173" s="36">
        <v>44191</v>
      </c>
      <c r="AG173" s="36">
        <v>44191</v>
      </c>
      <c r="AH173" s="37"/>
      <c r="AI173" s="72">
        <v>44185</v>
      </c>
      <c r="AJ173" s="38" t="s">
        <v>27</v>
      </c>
      <c r="AK173" s="39" t="e">
        <f>VLOOKUP(A173,'[1]Externe MAJ Nov'!$A:$H,8,0)</f>
        <v>#N/A</v>
      </c>
      <c r="AL173" s="61"/>
      <c r="AM173" s="61"/>
      <c r="AN173" s="61"/>
      <c r="AO173" s="58">
        <v>44185</v>
      </c>
      <c r="AP173" s="29" t="e">
        <f>VLOOKUP(A173,'[2]External Scan 02_21'!$B:$J,9,0)</f>
        <v>#N/A</v>
      </c>
      <c r="AQ173" s="29" t="s">
        <v>28</v>
      </c>
      <c r="AR173" s="21"/>
      <c r="AS173" s="21" t="str">
        <f>VLOOKUP(AE173,'ref statu'!A:B,2,0)</f>
        <v>Fixed</v>
      </c>
      <c r="AT173" s="8" t="e">
        <f>VLOOKUP(A173,chk!A:B,2,0)</f>
        <v>#N/A</v>
      </c>
      <c r="AU173" s="29" t="e">
        <f>VLOOKUP(A173,checker!A:B,2,0)</f>
        <v>#N/A</v>
      </c>
      <c r="AV173" s="29" t="e">
        <f>VLOOKUP(A173,checker!B:C,2,0)</f>
        <v>#N/A</v>
      </c>
    </row>
    <row r="174" spans="1:48" x14ac:dyDescent="0.3">
      <c r="A174" s="29" t="str">
        <f t="shared" si="2"/>
        <v>96.692.66.646/0/oracle_linux-cve-2018-14633</v>
      </c>
      <c r="B174" s="61" t="s">
        <v>2997</v>
      </c>
      <c r="C174" s="61" t="s">
        <v>528</v>
      </c>
      <c r="D174" s="61" t="s">
        <v>2964</v>
      </c>
      <c r="E174" s="61" t="s">
        <v>28</v>
      </c>
      <c r="F174" s="61" t="s">
        <v>529</v>
      </c>
      <c r="G174" s="61" t="s">
        <v>530</v>
      </c>
      <c r="H174" s="61" t="s">
        <v>531</v>
      </c>
      <c r="I174" s="37" t="s">
        <v>532</v>
      </c>
      <c r="J174" s="37">
        <v>0</v>
      </c>
      <c r="K174" s="61" t="s">
        <v>258</v>
      </c>
      <c r="L174" s="61" t="s">
        <v>31</v>
      </c>
      <c r="M174" s="9">
        <v>8</v>
      </c>
      <c r="N174" s="10" t="s">
        <v>2540</v>
      </c>
      <c r="O174" s="61" t="s">
        <v>1327</v>
      </c>
      <c r="P174" s="61" t="s">
        <v>1328</v>
      </c>
      <c r="Q174" s="61" t="s">
        <v>1329</v>
      </c>
      <c r="R174" s="61" t="s">
        <v>581</v>
      </c>
      <c r="S174" s="61" t="s">
        <v>1330</v>
      </c>
      <c r="T174" s="61" t="s">
        <v>31</v>
      </c>
      <c r="U174" s="61" t="s">
        <v>1331</v>
      </c>
      <c r="V174" s="61" t="s">
        <v>1332</v>
      </c>
      <c r="W174" s="62">
        <v>43367</v>
      </c>
      <c r="X174" s="37" t="s">
        <v>30</v>
      </c>
      <c r="Y174" s="37">
        <v>0</v>
      </c>
      <c r="Z174" s="37" t="s">
        <v>31</v>
      </c>
      <c r="AA174" s="37" t="s">
        <v>31</v>
      </c>
      <c r="AB174" s="37" t="s">
        <v>513</v>
      </c>
      <c r="AC174" s="61"/>
      <c r="AD174" s="33"/>
      <c r="AE174" s="98" t="s">
        <v>28</v>
      </c>
      <c r="AF174" s="36">
        <v>44191</v>
      </c>
      <c r="AG174" s="36">
        <v>44191</v>
      </c>
      <c r="AH174" s="37"/>
      <c r="AI174" s="72">
        <v>44185</v>
      </c>
      <c r="AJ174" s="38" t="s">
        <v>27</v>
      </c>
      <c r="AK174" s="39" t="e">
        <f>VLOOKUP(A174,'[1]Externe MAJ Nov'!$A:$H,8,0)</f>
        <v>#N/A</v>
      </c>
      <c r="AL174" s="61"/>
      <c r="AM174" s="61"/>
      <c r="AN174" s="61"/>
      <c r="AO174" s="58">
        <v>44185</v>
      </c>
      <c r="AP174" s="29" t="e">
        <f>VLOOKUP(A174,'[2]External Scan 02_21'!$B:$J,9,0)</f>
        <v>#N/A</v>
      </c>
      <c r="AQ174" s="29" t="s">
        <v>28</v>
      </c>
      <c r="AR174" s="21"/>
      <c r="AS174" s="21" t="str">
        <f>VLOOKUP(AE174,'ref statu'!A:B,2,0)</f>
        <v>Fixed</v>
      </c>
      <c r="AT174" s="8" t="e">
        <f>VLOOKUP(A174,chk!A:B,2,0)</f>
        <v>#N/A</v>
      </c>
      <c r="AU174" s="29" t="e">
        <f>VLOOKUP(A174,checker!A:B,2,0)</f>
        <v>#N/A</v>
      </c>
      <c r="AV174" s="29" t="e">
        <f>VLOOKUP(A174,checker!B:C,2,0)</f>
        <v>#N/A</v>
      </c>
    </row>
    <row r="175" spans="1:48" x14ac:dyDescent="0.3">
      <c r="A175" s="29" t="str">
        <f t="shared" si="2"/>
        <v>96.692.66.646/0/oracle_linux-cve-2018-14634</v>
      </c>
      <c r="B175" s="61" t="s">
        <v>2997</v>
      </c>
      <c r="C175" s="61" t="s">
        <v>528</v>
      </c>
      <c r="D175" s="61" t="s">
        <v>2964</v>
      </c>
      <c r="E175" s="61" t="s">
        <v>28</v>
      </c>
      <c r="F175" s="61" t="s">
        <v>529</v>
      </c>
      <c r="G175" s="61" t="s">
        <v>530</v>
      </c>
      <c r="H175" s="61" t="s">
        <v>531</v>
      </c>
      <c r="I175" s="37" t="s">
        <v>532</v>
      </c>
      <c r="J175" s="37">
        <v>0</v>
      </c>
      <c r="K175" s="61" t="s">
        <v>258</v>
      </c>
      <c r="L175" s="61" t="s">
        <v>31</v>
      </c>
      <c r="M175" s="9">
        <v>7</v>
      </c>
      <c r="N175" s="10" t="s">
        <v>2540</v>
      </c>
      <c r="O175" s="61" t="s">
        <v>1333</v>
      </c>
      <c r="P175" s="61" t="s">
        <v>1334</v>
      </c>
      <c r="Q175" s="61" t="s">
        <v>1335</v>
      </c>
      <c r="R175" s="61" t="s">
        <v>606</v>
      </c>
      <c r="S175" s="61" t="s">
        <v>1336</v>
      </c>
      <c r="T175" s="61" t="s">
        <v>31</v>
      </c>
      <c r="U175" s="61" t="s">
        <v>1337</v>
      </c>
      <c r="V175" s="61" t="s">
        <v>1338</v>
      </c>
      <c r="W175" s="62">
        <v>43369</v>
      </c>
      <c r="X175" s="37" t="s">
        <v>30</v>
      </c>
      <c r="Y175" s="37">
        <v>1</v>
      </c>
      <c r="Z175" s="37" t="s">
        <v>279</v>
      </c>
      <c r="AA175" s="37" t="s">
        <v>1339</v>
      </c>
      <c r="AB175" s="37" t="s">
        <v>513</v>
      </c>
      <c r="AC175" s="61"/>
      <c r="AD175" s="34"/>
      <c r="AE175" s="98" t="s">
        <v>28</v>
      </c>
      <c r="AF175" s="36">
        <v>44191</v>
      </c>
      <c r="AG175" s="36">
        <v>44191</v>
      </c>
      <c r="AH175" s="37"/>
      <c r="AI175" s="72">
        <v>44185</v>
      </c>
      <c r="AJ175" s="38" t="s">
        <v>27</v>
      </c>
      <c r="AK175" s="39" t="e">
        <f>VLOOKUP(A175,'[1]Externe MAJ Nov'!$A:$H,8,0)</f>
        <v>#N/A</v>
      </c>
      <c r="AL175" s="61"/>
      <c r="AM175" s="61"/>
      <c r="AN175" s="61"/>
      <c r="AO175" s="58">
        <v>44185</v>
      </c>
      <c r="AP175" s="29" t="e">
        <f>VLOOKUP(A175,'[2]External Scan 02_21'!$B:$J,9,0)</f>
        <v>#N/A</v>
      </c>
      <c r="AQ175" s="29" t="s">
        <v>28</v>
      </c>
      <c r="AR175" s="21"/>
      <c r="AS175" s="21" t="str">
        <f>VLOOKUP(AE175,'ref statu'!A:B,2,0)</f>
        <v>Fixed</v>
      </c>
      <c r="AT175" s="8" t="e">
        <f>VLOOKUP(A175,chk!A:B,2,0)</f>
        <v>#N/A</v>
      </c>
      <c r="AU175" s="29" t="e">
        <f>VLOOKUP(A175,checker!A:B,2,0)</f>
        <v>#N/A</v>
      </c>
      <c r="AV175" s="29" t="e">
        <f>VLOOKUP(A175,checker!B:C,2,0)</f>
        <v>#N/A</v>
      </c>
    </row>
    <row r="176" spans="1:48" x14ac:dyDescent="0.3">
      <c r="A176" s="29" t="str">
        <f t="shared" si="2"/>
        <v>96.692.66.646/0/oracle_linux-cve-2018-14678</v>
      </c>
      <c r="B176" s="61" t="s">
        <v>2997</v>
      </c>
      <c r="C176" s="61" t="s">
        <v>528</v>
      </c>
      <c r="D176" s="61" t="s">
        <v>2964</v>
      </c>
      <c r="E176" s="61" t="s">
        <v>28</v>
      </c>
      <c r="F176" s="61" t="s">
        <v>529</v>
      </c>
      <c r="G176" s="61" t="s">
        <v>530</v>
      </c>
      <c r="H176" s="61" t="s">
        <v>531</v>
      </c>
      <c r="I176" s="37" t="s">
        <v>532</v>
      </c>
      <c r="J176" s="37">
        <v>0</v>
      </c>
      <c r="K176" s="61" t="s">
        <v>258</v>
      </c>
      <c r="L176" s="61" t="s">
        <v>31</v>
      </c>
      <c r="M176" s="9">
        <v>7</v>
      </c>
      <c r="N176" s="10" t="s">
        <v>2540</v>
      </c>
      <c r="O176" s="61" t="s">
        <v>1340</v>
      </c>
      <c r="P176" s="61" t="s">
        <v>1341</v>
      </c>
      <c r="Q176" s="61" t="s">
        <v>1342</v>
      </c>
      <c r="R176" s="61" t="s">
        <v>1343</v>
      </c>
      <c r="S176" s="61" t="s">
        <v>1344</v>
      </c>
      <c r="T176" s="61" t="s">
        <v>31</v>
      </c>
      <c r="U176" s="61" t="s">
        <v>1345</v>
      </c>
      <c r="V176" s="61" t="s">
        <v>1346</v>
      </c>
      <c r="W176" s="62">
        <v>43309</v>
      </c>
      <c r="X176" s="37" t="s">
        <v>30</v>
      </c>
      <c r="Y176" s="37">
        <v>0</v>
      </c>
      <c r="Z176" s="37" t="s">
        <v>31</v>
      </c>
      <c r="AA176" s="37" t="s">
        <v>31</v>
      </c>
      <c r="AB176" s="37" t="s">
        <v>513</v>
      </c>
      <c r="AC176" s="61"/>
      <c r="AD176" s="34"/>
      <c r="AE176" s="98" t="s">
        <v>28</v>
      </c>
      <c r="AF176" s="36">
        <v>44191</v>
      </c>
      <c r="AG176" s="36">
        <v>44191</v>
      </c>
      <c r="AH176" s="37"/>
      <c r="AI176" s="72">
        <v>44185</v>
      </c>
      <c r="AJ176" s="38" t="s">
        <v>27</v>
      </c>
      <c r="AK176" s="39" t="e">
        <f>VLOOKUP(A176,'[1]Externe MAJ Nov'!$A:$H,8,0)</f>
        <v>#N/A</v>
      </c>
      <c r="AL176" s="61"/>
      <c r="AM176" s="61"/>
      <c r="AN176" s="61"/>
      <c r="AO176" s="58">
        <v>44185</v>
      </c>
      <c r="AP176" s="29" t="e">
        <f>VLOOKUP(A176,'[2]External Scan 02_21'!$B:$J,9,0)</f>
        <v>#N/A</v>
      </c>
      <c r="AQ176" s="29" t="s">
        <v>28</v>
      </c>
      <c r="AR176" s="21"/>
      <c r="AS176" s="21" t="str">
        <f>VLOOKUP(AE176,'ref statu'!A:B,2,0)</f>
        <v>Fixed</v>
      </c>
      <c r="AT176" s="8" t="e">
        <f>VLOOKUP(A176,chk!A:B,2,0)</f>
        <v>#N/A</v>
      </c>
      <c r="AU176" s="29" t="e">
        <f>VLOOKUP(A176,checker!A:B,2,0)</f>
        <v>#N/A</v>
      </c>
      <c r="AV176" s="29" t="e">
        <f>VLOOKUP(A176,checker!B:C,2,0)</f>
        <v>#N/A</v>
      </c>
    </row>
    <row r="177" spans="1:48" x14ac:dyDescent="0.3">
      <c r="A177" s="29" t="str">
        <f t="shared" si="2"/>
        <v>96.692.66.646/0/oracle_linux-cve-2018-14734</v>
      </c>
      <c r="B177" s="61" t="s">
        <v>2997</v>
      </c>
      <c r="C177" s="61" t="s">
        <v>528</v>
      </c>
      <c r="D177" s="61" t="s">
        <v>2964</v>
      </c>
      <c r="E177" s="61" t="s">
        <v>28</v>
      </c>
      <c r="F177" s="61" t="s">
        <v>529</v>
      </c>
      <c r="G177" s="61" t="s">
        <v>530</v>
      </c>
      <c r="H177" s="61" t="s">
        <v>531</v>
      </c>
      <c r="I177" s="37" t="s">
        <v>532</v>
      </c>
      <c r="J177" s="37">
        <v>0</v>
      </c>
      <c r="K177" s="61" t="s">
        <v>258</v>
      </c>
      <c r="L177" s="61" t="s">
        <v>31</v>
      </c>
      <c r="M177" s="9">
        <v>6</v>
      </c>
      <c r="N177" s="9" t="s">
        <v>29</v>
      </c>
      <c r="O177" s="61" t="s">
        <v>1347</v>
      </c>
      <c r="P177" s="61" t="s">
        <v>1348</v>
      </c>
      <c r="Q177" s="61" t="s">
        <v>1349</v>
      </c>
      <c r="R177" s="61" t="s">
        <v>1350</v>
      </c>
      <c r="S177" s="61" t="s">
        <v>1351</v>
      </c>
      <c r="T177" s="61" t="s">
        <v>31</v>
      </c>
      <c r="U177" s="61" t="s">
        <v>1352</v>
      </c>
      <c r="V177" s="61" t="s">
        <v>1353</v>
      </c>
      <c r="W177" s="62">
        <v>43310</v>
      </c>
      <c r="X177" s="37" t="s">
        <v>30</v>
      </c>
      <c r="Y177" s="37">
        <v>0</v>
      </c>
      <c r="Z177" s="37" t="s">
        <v>31</v>
      </c>
      <c r="AA177" s="37" t="s">
        <v>31</v>
      </c>
      <c r="AB177" s="37" t="s">
        <v>513</v>
      </c>
      <c r="AC177" s="61"/>
      <c r="AD177" s="33"/>
      <c r="AE177" s="98" t="s">
        <v>28</v>
      </c>
      <c r="AF177" s="36">
        <v>44191</v>
      </c>
      <c r="AG177" s="36">
        <v>44191</v>
      </c>
      <c r="AH177" s="37"/>
      <c r="AI177" s="72">
        <v>44185</v>
      </c>
      <c r="AJ177" s="38" t="s">
        <v>27</v>
      </c>
      <c r="AK177" s="39" t="e">
        <f>VLOOKUP(A177,'[1]Externe MAJ Nov'!$A:$H,8,0)</f>
        <v>#N/A</v>
      </c>
      <c r="AL177" s="61"/>
      <c r="AM177" s="61"/>
      <c r="AN177" s="61"/>
      <c r="AO177" s="58">
        <v>44185</v>
      </c>
      <c r="AP177" s="29" t="e">
        <f>VLOOKUP(A177,'[2]External Scan 02_21'!$B:$J,9,0)</f>
        <v>#N/A</v>
      </c>
      <c r="AQ177" s="29" t="s">
        <v>28</v>
      </c>
      <c r="AR177" s="21"/>
      <c r="AS177" s="21" t="str">
        <f>VLOOKUP(AE177,'ref statu'!A:B,2,0)</f>
        <v>Fixed</v>
      </c>
      <c r="AT177" s="8" t="e">
        <f>VLOOKUP(A177,chk!A:B,2,0)</f>
        <v>#N/A</v>
      </c>
      <c r="AU177" s="29" t="e">
        <f>VLOOKUP(A177,checker!A:B,2,0)</f>
        <v>#N/A</v>
      </c>
      <c r="AV177" s="29" t="e">
        <f>VLOOKUP(A177,checker!B:C,2,0)</f>
        <v>#N/A</v>
      </c>
    </row>
    <row r="178" spans="1:48" x14ac:dyDescent="0.3">
      <c r="A178" s="29" t="str">
        <f t="shared" si="2"/>
        <v>96.692.66.646/0/oracle_linux-cve-2018-15572</v>
      </c>
      <c r="B178" s="61" t="s">
        <v>2997</v>
      </c>
      <c r="C178" s="61" t="s">
        <v>528</v>
      </c>
      <c r="D178" s="61" t="s">
        <v>2964</v>
      </c>
      <c r="E178" s="61" t="s">
        <v>28</v>
      </c>
      <c r="F178" s="61" t="s">
        <v>529</v>
      </c>
      <c r="G178" s="61" t="s">
        <v>530</v>
      </c>
      <c r="H178" s="61" t="s">
        <v>531</v>
      </c>
      <c r="I178" s="37" t="s">
        <v>532</v>
      </c>
      <c r="J178" s="37">
        <v>0</v>
      </c>
      <c r="K178" s="61" t="s">
        <v>258</v>
      </c>
      <c r="L178" s="61" t="s">
        <v>31</v>
      </c>
      <c r="M178" s="9">
        <v>2</v>
      </c>
      <c r="N178" s="9" t="s">
        <v>42</v>
      </c>
      <c r="O178" s="61" t="s">
        <v>1354</v>
      </c>
      <c r="P178" s="61" t="s">
        <v>1355</v>
      </c>
      <c r="Q178" s="61" t="s">
        <v>1356</v>
      </c>
      <c r="R178" s="61" t="s">
        <v>1343</v>
      </c>
      <c r="S178" s="61" t="s">
        <v>1357</v>
      </c>
      <c r="T178" s="61" t="s">
        <v>31</v>
      </c>
      <c r="U178" s="61" t="s">
        <v>1358</v>
      </c>
      <c r="V178" s="61" t="s">
        <v>1359</v>
      </c>
      <c r="W178" s="62">
        <v>43331</v>
      </c>
      <c r="X178" s="37" t="s">
        <v>30</v>
      </c>
      <c r="Y178" s="37">
        <v>0</v>
      </c>
      <c r="Z178" s="37" t="s">
        <v>31</v>
      </c>
      <c r="AA178" s="37" t="s">
        <v>31</v>
      </c>
      <c r="AB178" s="37" t="s">
        <v>513</v>
      </c>
      <c r="AC178" s="61"/>
      <c r="AD178" s="34"/>
      <c r="AE178" s="98" t="s">
        <v>28</v>
      </c>
      <c r="AF178" s="36">
        <v>44191</v>
      </c>
      <c r="AG178" s="36">
        <v>44191</v>
      </c>
      <c r="AH178" s="37"/>
      <c r="AI178" s="72">
        <v>44185</v>
      </c>
      <c r="AJ178" s="38" t="s">
        <v>27</v>
      </c>
      <c r="AK178" s="39" t="e">
        <f>VLOOKUP(A178,'[1]Externe MAJ Nov'!$A:$H,8,0)</f>
        <v>#N/A</v>
      </c>
      <c r="AL178" s="61"/>
      <c r="AM178" s="61"/>
      <c r="AN178" s="61"/>
      <c r="AO178" s="58">
        <v>44185</v>
      </c>
      <c r="AP178" s="29" t="e">
        <f>VLOOKUP(A178,'[2]External Scan 02_21'!$B:$J,9,0)</f>
        <v>#N/A</v>
      </c>
      <c r="AQ178" s="29" t="s">
        <v>28</v>
      </c>
      <c r="AR178" s="21"/>
      <c r="AS178" s="21" t="str">
        <f>VLOOKUP(AE178,'ref statu'!A:B,2,0)</f>
        <v>Fixed</v>
      </c>
      <c r="AT178" s="8" t="e">
        <f>VLOOKUP(A178,chk!A:B,2,0)</f>
        <v>#N/A</v>
      </c>
      <c r="AU178" s="29" t="e">
        <f>VLOOKUP(A178,checker!A:B,2,0)</f>
        <v>#N/A</v>
      </c>
      <c r="AV178" s="29" t="e">
        <f>VLOOKUP(A178,checker!B:C,2,0)</f>
        <v>#N/A</v>
      </c>
    </row>
    <row r="179" spans="1:48" x14ac:dyDescent="0.3">
      <c r="A179" s="29" t="str">
        <f t="shared" si="2"/>
        <v>96.692.66.646/0/oracle_linux-cve-2018-15594</v>
      </c>
      <c r="B179" s="61" t="s">
        <v>2997</v>
      </c>
      <c r="C179" s="61" t="s">
        <v>528</v>
      </c>
      <c r="D179" s="61" t="s">
        <v>2964</v>
      </c>
      <c r="E179" s="61" t="s">
        <v>28</v>
      </c>
      <c r="F179" s="61" t="s">
        <v>529</v>
      </c>
      <c r="G179" s="61" t="s">
        <v>530</v>
      </c>
      <c r="H179" s="61" t="s">
        <v>531</v>
      </c>
      <c r="I179" s="37" t="s">
        <v>532</v>
      </c>
      <c r="J179" s="37">
        <v>0</v>
      </c>
      <c r="K179" s="61" t="s">
        <v>258</v>
      </c>
      <c r="L179" s="61" t="s">
        <v>31</v>
      </c>
      <c r="M179" s="9">
        <v>2</v>
      </c>
      <c r="N179" s="9" t="s">
        <v>42</v>
      </c>
      <c r="O179" s="61" t="s">
        <v>1360</v>
      </c>
      <c r="P179" s="61" t="s">
        <v>1361</v>
      </c>
      <c r="Q179" s="61" t="s">
        <v>1362</v>
      </c>
      <c r="R179" s="61" t="s">
        <v>581</v>
      </c>
      <c r="S179" s="61" t="s">
        <v>1363</v>
      </c>
      <c r="T179" s="61" t="s">
        <v>31</v>
      </c>
      <c r="U179" s="61" t="s">
        <v>1364</v>
      </c>
      <c r="V179" s="61" t="s">
        <v>1365</v>
      </c>
      <c r="W179" s="62">
        <v>43332</v>
      </c>
      <c r="X179" s="37" t="s">
        <v>30</v>
      </c>
      <c r="Y179" s="37">
        <v>0</v>
      </c>
      <c r="Z179" s="37" t="s">
        <v>31</v>
      </c>
      <c r="AA179" s="37" t="s">
        <v>31</v>
      </c>
      <c r="AB179" s="37" t="s">
        <v>513</v>
      </c>
      <c r="AC179" s="61"/>
      <c r="AD179" s="34"/>
      <c r="AE179" s="98" t="s">
        <v>28</v>
      </c>
      <c r="AF179" s="36">
        <v>44191</v>
      </c>
      <c r="AG179" s="36">
        <v>44191</v>
      </c>
      <c r="AH179" s="37"/>
      <c r="AI179" s="72">
        <v>44185</v>
      </c>
      <c r="AJ179" s="38" t="s">
        <v>27</v>
      </c>
      <c r="AK179" s="39" t="e">
        <f>VLOOKUP(A179,'[1]Externe MAJ Nov'!$A:$H,8,0)</f>
        <v>#N/A</v>
      </c>
      <c r="AL179" s="61"/>
      <c r="AM179" s="61"/>
      <c r="AN179" s="61"/>
      <c r="AO179" s="58">
        <v>44185</v>
      </c>
      <c r="AP179" s="29" t="e">
        <f>VLOOKUP(A179,'[2]External Scan 02_21'!$B:$J,9,0)</f>
        <v>#N/A</v>
      </c>
      <c r="AQ179" s="29" t="s">
        <v>28</v>
      </c>
      <c r="AR179" s="21"/>
      <c r="AS179" s="21" t="str">
        <f>VLOOKUP(AE179,'ref statu'!A:B,2,0)</f>
        <v>Fixed</v>
      </c>
      <c r="AT179" s="8" t="e">
        <f>VLOOKUP(A179,chk!A:B,2,0)</f>
        <v>#N/A</v>
      </c>
      <c r="AU179" s="29" t="e">
        <f>VLOOKUP(A179,checker!A:B,2,0)</f>
        <v>#N/A</v>
      </c>
      <c r="AV179" s="29" t="e">
        <f>VLOOKUP(A179,checker!B:C,2,0)</f>
        <v>#N/A</v>
      </c>
    </row>
    <row r="180" spans="1:48" x14ac:dyDescent="0.3">
      <c r="A180" s="29" t="str">
        <f t="shared" si="2"/>
        <v>96.692.66.646/0/oracle_linux-cve-2018-16658</v>
      </c>
      <c r="B180" s="61" t="s">
        <v>2997</v>
      </c>
      <c r="C180" s="61" t="s">
        <v>528</v>
      </c>
      <c r="D180" s="61" t="s">
        <v>2964</v>
      </c>
      <c r="E180" s="61" t="s">
        <v>28</v>
      </c>
      <c r="F180" s="61" t="s">
        <v>529</v>
      </c>
      <c r="G180" s="61" t="s">
        <v>530</v>
      </c>
      <c r="H180" s="61" t="s">
        <v>531</v>
      </c>
      <c r="I180" s="37" t="s">
        <v>532</v>
      </c>
      <c r="J180" s="37">
        <v>0</v>
      </c>
      <c r="K180" s="61" t="s">
        <v>258</v>
      </c>
      <c r="L180" s="61" t="s">
        <v>31</v>
      </c>
      <c r="M180" s="9">
        <v>4</v>
      </c>
      <c r="N180" s="9" t="s">
        <v>29</v>
      </c>
      <c r="O180" s="61" t="s">
        <v>1366</v>
      </c>
      <c r="P180" s="61" t="s">
        <v>1367</v>
      </c>
      <c r="Q180" s="61" t="s">
        <v>1368</v>
      </c>
      <c r="R180" s="61" t="s">
        <v>1369</v>
      </c>
      <c r="S180" s="61" t="s">
        <v>1370</v>
      </c>
      <c r="T180" s="61" t="s">
        <v>31</v>
      </c>
      <c r="U180" s="61" t="s">
        <v>1371</v>
      </c>
      <c r="V180" s="61" t="s">
        <v>1372</v>
      </c>
      <c r="W180" s="62">
        <v>43350</v>
      </c>
      <c r="X180" s="37" t="s">
        <v>30</v>
      </c>
      <c r="Y180" s="37">
        <v>0</v>
      </c>
      <c r="Z180" s="37" t="s">
        <v>31</v>
      </c>
      <c r="AA180" s="37" t="s">
        <v>31</v>
      </c>
      <c r="AB180" s="37" t="s">
        <v>513</v>
      </c>
      <c r="AC180" s="61"/>
      <c r="AD180" s="33"/>
      <c r="AE180" s="98" t="s">
        <v>28</v>
      </c>
      <c r="AF180" s="36">
        <v>44191</v>
      </c>
      <c r="AG180" s="36">
        <v>44191</v>
      </c>
      <c r="AH180" s="37"/>
      <c r="AI180" s="72">
        <v>44185</v>
      </c>
      <c r="AJ180" s="38" t="s">
        <v>27</v>
      </c>
      <c r="AK180" s="39" t="e">
        <f>VLOOKUP(A180,'[1]Externe MAJ Nov'!$A:$H,8,0)</f>
        <v>#N/A</v>
      </c>
      <c r="AL180" s="61"/>
      <c r="AM180" s="61"/>
      <c r="AN180" s="61"/>
      <c r="AO180" s="58">
        <v>44185</v>
      </c>
      <c r="AP180" s="29" t="e">
        <f>VLOOKUP(A180,'[2]External Scan 02_21'!$B:$J,9,0)</f>
        <v>#N/A</v>
      </c>
      <c r="AQ180" s="29" t="s">
        <v>28</v>
      </c>
      <c r="AR180" s="21"/>
      <c r="AS180" s="21" t="str">
        <f>VLOOKUP(AE180,'ref statu'!A:B,2,0)</f>
        <v>Fixed</v>
      </c>
      <c r="AT180" s="8" t="e">
        <f>VLOOKUP(A180,chk!A:B,2,0)</f>
        <v>#N/A</v>
      </c>
      <c r="AU180" s="29" t="e">
        <f>VLOOKUP(A180,checker!A:B,2,0)</f>
        <v>#N/A</v>
      </c>
      <c r="AV180" s="29" t="e">
        <f>VLOOKUP(A180,checker!B:C,2,0)</f>
        <v>#N/A</v>
      </c>
    </row>
    <row r="181" spans="1:48" x14ac:dyDescent="0.3">
      <c r="A181" s="29" t="str">
        <f t="shared" si="2"/>
        <v>96.692.66.646/0/oracle_linux-cve-2018-16862</v>
      </c>
      <c r="B181" s="61" t="s">
        <v>2997</v>
      </c>
      <c r="C181" s="61" t="s">
        <v>528</v>
      </c>
      <c r="D181" s="61" t="s">
        <v>2964</v>
      </c>
      <c r="E181" s="61" t="s">
        <v>28</v>
      </c>
      <c r="F181" s="61" t="s">
        <v>529</v>
      </c>
      <c r="G181" s="61" t="s">
        <v>530</v>
      </c>
      <c r="H181" s="61" t="s">
        <v>531</v>
      </c>
      <c r="I181" s="37" t="s">
        <v>532</v>
      </c>
      <c r="J181" s="37">
        <v>0</v>
      </c>
      <c r="K181" s="61" t="s">
        <v>258</v>
      </c>
      <c r="L181" s="61" t="s">
        <v>31</v>
      </c>
      <c r="M181" s="9">
        <v>2</v>
      </c>
      <c r="N181" s="9" t="s">
        <v>42</v>
      </c>
      <c r="O181" s="61" t="s">
        <v>1373</v>
      </c>
      <c r="P181" s="61" t="s">
        <v>1374</v>
      </c>
      <c r="Q181" s="61" t="s">
        <v>1375</v>
      </c>
      <c r="R181" s="61" t="s">
        <v>536</v>
      </c>
      <c r="S181" s="61" t="s">
        <v>1376</v>
      </c>
      <c r="T181" s="61" t="s">
        <v>31</v>
      </c>
      <c r="U181" s="61" t="s">
        <v>1377</v>
      </c>
      <c r="V181" s="61" t="s">
        <v>1378</v>
      </c>
      <c r="W181" s="62">
        <v>43430</v>
      </c>
      <c r="X181" s="37" t="s">
        <v>30</v>
      </c>
      <c r="Y181" s="37">
        <v>0</v>
      </c>
      <c r="Z181" s="37" t="s">
        <v>31</v>
      </c>
      <c r="AA181" s="37" t="s">
        <v>31</v>
      </c>
      <c r="AB181" s="37" t="s">
        <v>513</v>
      </c>
      <c r="AC181" s="61"/>
      <c r="AD181" s="34"/>
      <c r="AE181" s="98" t="s">
        <v>28</v>
      </c>
      <c r="AF181" s="36">
        <v>44191</v>
      </c>
      <c r="AG181" s="36">
        <v>44191</v>
      </c>
      <c r="AH181" s="37"/>
      <c r="AI181" s="72">
        <v>44185</v>
      </c>
      <c r="AJ181" s="38" t="s">
        <v>27</v>
      </c>
      <c r="AK181" s="39" t="e">
        <f>VLOOKUP(A181,'[1]Externe MAJ Nov'!$A:$H,8,0)</f>
        <v>#N/A</v>
      </c>
      <c r="AL181" s="61"/>
      <c r="AM181" s="61"/>
      <c r="AN181" s="61"/>
      <c r="AO181" s="58">
        <v>44185</v>
      </c>
      <c r="AP181" s="29" t="e">
        <f>VLOOKUP(A181,'[2]External Scan 02_21'!$B:$J,9,0)</f>
        <v>#N/A</v>
      </c>
      <c r="AQ181" s="29" t="s">
        <v>28</v>
      </c>
      <c r="AR181" s="21"/>
      <c r="AS181" s="21" t="str">
        <f>VLOOKUP(AE181,'ref statu'!A:B,2,0)</f>
        <v>Fixed</v>
      </c>
      <c r="AT181" s="8" t="e">
        <f>VLOOKUP(A181,chk!A:B,2,0)</f>
        <v>#N/A</v>
      </c>
      <c r="AU181" s="29" t="e">
        <f>VLOOKUP(A181,checker!A:B,2,0)</f>
        <v>#N/A</v>
      </c>
      <c r="AV181" s="29" t="e">
        <f>VLOOKUP(A181,checker!B:C,2,0)</f>
        <v>#N/A</v>
      </c>
    </row>
    <row r="182" spans="1:48" x14ac:dyDescent="0.3">
      <c r="A182" s="29" t="str">
        <f t="shared" si="2"/>
        <v>96.692.66.646/0/oracle_linux-cve-2018-16884</v>
      </c>
      <c r="B182" s="61" t="s">
        <v>2997</v>
      </c>
      <c r="C182" s="61" t="s">
        <v>528</v>
      </c>
      <c r="D182" s="61" t="s">
        <v>2964</v>
      </c>
      <c r="E182" s="61" t="s">
        <v>28</v>
      </c>
      <c r="F182" s="61" t="s">
        <v>529</v>
      </c>
      <c r="G182" s="61" t="s">
        <v>530</v>
      </c>
      <c r="H182" s="61" t="s">
        <v>531</v>
      </c>
      <c r="I182" s="37" t="s">
        <v>532</v>
      </c>
      <c r="J182" s="37">
        <v>0</v>
      </c>
      <c r="K182" s="61" t="s">
        <v>258</v>
      </c>
      <c r="L182" s="61" t="s">
        <v>31</v>
      </c>
      <c r="M182" s="9">
        <v>7</v>
      </c>
      <c r="N182" s="10" t="s">
        <v>2540</v>
      </c>
      <c r="O182" s="61" t="s">
        <v>1379</v>
      </c>
      <c r="P182" s="61" t="s">
        <v>1380</v>
      </c>
      <c r="Q182" s="61" t="s">
        <v>1381</v>
      </c>
      <c r="R182" s="61" t="s">
        <v>1369</v>
      </c>
      <c r="S182" s="61" t="s">
        <v>1382</v>
      </c>
      <c r="T182" s="61" t="s">
        <v>31</v>
      </c>
      <c r="U182" s="61" t="s">
        <v>1383</v>
      </c>
      <c r="V182" s="61" t="s">
        <v>1384</v>
      </c>
      <c r="W182" s="62">
        <v>43452</v>
      </c>
      <c r="X182" s="37" t="s">
        <v>30</v>
      </c>
      <c r="Y182" s="37">
        <v>0</v>
      </c>
      <c r="Z182" s="37" t="s">
        <v>31</v>
      </c>
      <c r="AA182" s="37" t="s">
        <v>31</v>
      </c>
      <c r="AB182" s="37" t="s">
        <v>513</v>
      </c>
      <c r="AC182" s="61"/>
      <c r="AD182" s="34"/>
      <c r="AE182" s="98" t="s">
        <v>28</v>
      </c>
      <c r="AF182" s="36">
        <v>44191</v>
      </c>
      <c r="AG182" s="36">
        <v>44191</v>
      </c>
      <c r="AH182" s="37"/>
      <c r="AI182" s="72">
        <v>44185</v>
      </c>
      <c r="AJ182" s="38" t="s">
        <v>27</v>
      </c>
      <c r="AK182" s="39" t="e">
        <f>VLOOKUP(A182,'[1]Externe MAJ Nov'!$A:$H,8,0)</f>
        <v>#N/A</v>
      </c>
      <c r="AL182" s="61"/>
      <c r="AM182" s="61"/>
      <c r="AN182" s="61"/>
      <c r="AO182" s="58">
        <v>44185</v>
      </c>
      <c r="AP182" s="29" t="e">
        <f>VLOOKUP(A182,'[2]External Scan 02_21'!$B:$J,9,0)</f>
        <v>#N/A</v>
      </c>
      <c r="AQ182" s="29" t="s">
        <v>28</v>
      </c>
      <c r="AR182" s="21"/>
      <c r="AS182" s="21" t="str">
        <f>VLOOKUP(AE182,'ref statu'!A:B,2,0)</f>
        <v>Fixed</v>
      </c>
      <c r="AT182" s="8" t="e">
        <f>VLOOKUP(A182,chk!A:B,2,0)</f>
        <v>#N/A</v>
      </c>
      <c r="AU182" s="29" t="e">
        <f>VLOOKUP(A182,checker!A:B,2,0)</f>
        <v>#N/A</v>
      </c>
      <c r="AV182" s="29" t="e">
        <f>VLOOKUP(A182,checker!B:C,2,0)</f>
        <v>#N/A</v>
      </c>
    </row>
    <row r="183" spans="1:48" x14ac:dyDescent="0.3">
      <c r="A183" s="29" t="str">
        <f t="shared" si="2"/>
        <v>96.692.66.646/0/oracle_linux-cve-2018-17182</v>
      </c>
      <c r="B183" s="61" t="s">
        <v>2997</v>
      </c>
      <c r="C183" s="61" t="s">
        <v>528</v>
      </c>
      <c r="D183" s="61" t="s">
        <v>2964</v>
      </c>
      <c r="E183" s="61" t="s">
        <v>28</v>
      </c>
      <c r="F183" s="61" t="s">
        <v>529</v>
      </c>
      <c r="G183" s="61" t="s">
        <v>530</v>
      </c>
      <c r="H183" s="61" t="s">
        <v>531</v>
      </c>
      <c r="I183" s="37" t="s">
        <v>532</v>
      </c>
      <c r="J183" s="37">
        <v>0</v>
      </c>
      <c r="K183" s="61" t="s">
        <v>258</v>
      </c>
      <c r="L183" s="61" t="s">
        <v>31</v>
      </c>
      <c r="M183" s="9">
        <v>7</v>
      </c>
      <c r="N183" s="10" t="s">
        <v>2540</v>
      </c>
      <c r="O183" s="61" t="s">
        <v>1385</v>
      </c>
      <c r="P183" s="61" t="s">
        <v>1386</v>
      </c>
      <c r="Q183" s="61" t="s">
        <v>1387</v>
      </c>
      <c r="R183" s="61" t="s">
        <v>1343</v>
      </c>
      <c r="S183" s="61" t="s">
        <v>1388</v>
      </c>
      <c r="T183" s="61" t="s">
        <v>31</v>
      </c>
      <c r="U183" s="61" t="s">
        <v>1389</v>
      </c>
      <c r="V183" s="61" t="s">
        <v>1390</v>
      </c>
      <c r="W183" s="62">
        <v>43362</v>
      </c>
      <c r="X183" s="37" t="s">
        <v>30</v>
      </c>
      <c r="Y183" s="37">
        <v>1</v>
      </c>
      <c r="Z183" s="37" t="s">
        <v>279</v>
      </c>
      <c r="AA183" s="37" t="s">
        <v>1391</v>
      </c>
      <c r="AB183" s="37" t="s">
        <v>513</v>
      </c>
      <c r="AC183" s="61"/>
      <c r="AD183" s="33"/>
      <c r="AE183" s="98" t="s">
        <v>28</v>
      </c>
      <c r="AF183" s="36">
        <v>44191</v>
      </c>
      <c r="AG183" s="36">
        <v>44191</v>
      </c>
      <c r="AH183" s="37"/>
      <c r="AI183" s="72">
        <v>44185</v>
      </c>
      <c r="AJ183" s="38" t="s">
        <v>27</v>
      </c>
      <c r="AK183" s="39" t="e">
        <f>VLOOKUP(A183,'[1]Externe MAJ Nov'!$A:$H,8,0)</f>
        <v>#N/A</v>
      </c>
      <c r="AL183" s="61"/>
      <c r="AM183" s="61"/>
      <c r="AN183" s="61"/>
      <c r="AO183" s="58">
        <v>44185</v>
      </c>
      <c r="AP183" s="29" t="e">
        <f>VLOOKUP(A183,'[2]External Scan 02_21'!$B:$J,9,0)</f>
        <v>#N/A</v>
      </c>
      <c r="AQ183" s="29" t="s">
        <v>28</v>
      </c>
      <c r="AR183" s="21"/>
      <c r="AS183" s="21" t="str">
        <f>VLOOKUP(AE183,'ref statu'!A:B,2,0)</f>
        <v>Fixed</v>
      </c>
      <c r="AT183" s="8" t="e">
        <f>VLOOKUP(A183,chk!A:B,2,0)</f>
        <v>#N/A</v>
      </c>
      <c r="AU183" s="29" t="e">
        <f>VLOOKUP(A183,checker!A:B,2,0)</f>
        <v>#N/A</v>
      </c>
      <c r="AV183" s="29" t="e">
        <f>VLOOKUP(A183,checker!B:C,2,0)</f>
        <v>#N/A</v>
      </c>
    </row>
    <row r="184" spans="1:48" x14ac:dyDescent="0.3">
      <c r="A184" s="29" t="str">
        <f t="shared" si="2"/>
        <v>96.692.66.646/0/oracle_linux-cve-2018-17972</v>
      </c>
      <c r="B184" s="61" t="s">
        <v>2997</v>
      </c>
      <c r="C184" s="61" t="s">
        <v>528</v>
      </c>
      <c r="D184" s="61" t="s">
        <v>2964</v>
      </c>
      <c r="E184" s="61" t="s">
        <v>28</v>
      </c>
      <c r="F184" s="61" t="s">
        <v>529</v>
      </c>
      <c r="G184" s="61" t="s">
        <v>530</v>
      </c>
      <c r="H184" s="61" t="s">
        <v>531</v>
      </c>
      <c r="I184" s="37" t="s">
        <v>532</v>
      </c>
      <c r="J184" s="37">
        <v>0</v>
      </c>
      <c r="K184" s="61" t="s">
        <v>258</v>
      </c>
      <c r="L184" s="61" t="s">
        <v>31</v>
      </c>
      <c r="M184" s="9">
        <v>5</v>
      </c>
      <c r="N184" s="9" t="s">
        <v>29</v>
      </c>
      <c r="O184" s="61" t="s">
        <v>1392</v>
      </c>
      <c r="P184" s="61" t="s">
        <v>1393</v>
      </c>
      <c r="Q184" s="61" t="s">
        <v>1394</v>
      </c>
      <c r="R184" s="61" t="s">
        <v>1369</v>
      </c>
      <c r="S184" s="61" t="s">
        <v>1395</v>
      </c>
      <c r="T184" s="61" t="s">
        <v>31</v>
      </c>
      <c r="U184" s="61" t="s">
        <v>1396</v>
      </c>
      <c r="V184" s="61" t="s">
        <v>1397</v>
      </c>
      <c r="W184" s="62">
        <v>43376</v>
      </c>
      <c r="X184" s="37" t="s">
        <v>30</v>
      </c>
      <c r="Y184" s="37">
        <v>0</v>
      </c>
      <c r="Z184" s="37" t="s">
        <v>31</v>
      </c>
      <c r="AA184" s="37" t="s">
        <v>31</v>
      </c>
      <c r="AB184" s="37" t="s">
        <v>513</v>
      </c>
      <c r="AC184" s="61"/>
      <c r="AD184" s="34"/>
      <c r="AE184" s="98" t="s">
        <v>28</v>
      </c>
      <c r="AF184" s="36">
        <v>44191</v>
      </c>
      <c r="AG184" s="36">
        <v>44191</v>
      </c>
      <c r="AH184" s="37"/>
      <c r="AI184" s="72">
        <v>44185</v>
      </c>
      <c r="AJ184" s="38" t="s">
        <v>27</v>
      </c>
      <c r="AK184" s="39" t="e">
        <f>VLOOKUP(A184,'[1]Externe MAJ Nov'!$A:$H,8,0)</f>
        <v>#N/A</v>
      </c>
      <c r="AL184" s="61"/>
      <c r="AM184" s="61"/>
      <c r="AN184" s="61"/>
      <c r="AO184" s="58">
        <v>44185</v>
      </c>
      <c r="AP184" s="29" t="e">
        <f>VLOOKUP(A184,'[2]External Scan 02_21'!$B:$J,9,0)</f>
        <v>#N/A</v>
      </c>
      <c r="AQ184" s="29" t="s">
        <v>28</v>
      </c>
      <c r="AR184" s="21"/>
      <c r="AS184" s="21" t="str">
        <f>VLOOKUP(AE184,'ref statu'!A:B,2,0)</f>
        <v>Fixed</v>
      </c>
      <c r="AT184" s="8" t="e">
        <f>VLOOKUP(A184,chk!A:B,2,0)</f>
        <v>#N/A</v>
      </c>
      <c r="AU184" s="29" t="e">
        <f>VLOOKUP(A184,checker!A:B,2,0)</f>
        <v>#N/A</v>
      </c>
      <c r="AV184" s="29" t="e">
        <f>VLOOKUP(A184,checker!B:C,2,0)</f>
        <v>#N/A</v>
      </c>
    </row>
    <row r="185" spans="1:48" x14ac:dyDescent="0.3">
      <c r="A185" s="29" t="str">
        <f t="shared" si="2"/>
        <v>96.692.66.646/0/oracle_linux-cve-2018-18281</v>
      </c>
      <c r="B185" s="61" t="s">
        <v>2997</v>
      </c>
      <c r="C185" s="61" t="s">
        <v>528</v>
      </c>
      <c r="D185" s="61" t="s">
        <v>2964</v>
      </c>
      <c r="E185" s="61" t="s">
        <v>28</v>
      </c>
      <c r="F185" s="61" t="s">
        <v>529</v>
      </c>
      <c r="G185" s="61" t="s">
        <v>530</v>
      </c>
      <c r="H185" s="61" t="s">
        <v>531</v>
      </c>
      <c r="I185" s="37" t="s">
        <v>532</v>
      </c>
      <c r="J185" s="37">
        <v>0</v>
      </c>
      <c r="K185" s="61" t="s">
        <v>258</v>
      </c>
      <c r="L185" s="61" t="s">
        <v>31</v>
      </c>
      <c r="M185" s="9">
        <v>5</v>
      </c>
      <c r="N185" s="9" t="s">
        <v>29</v>
      </c>
      <c r="O185" s="61" t="s">
        <v>1398</v>
      </c>
      <c r="P185" s="61" t="s">
        <v>1399</v>
      </c>
      <c r="Q185" s="61" t="s">
        <v>1400</v>
      </c>
      <c r="R185" s="61" t="s">
        <v>606</v>
      </c>
      <c r="S185" s="61" t="s">
        <v>1401</v>
      </c>
      <c r="T185" s="61" t="s">
        <v>31</v>
      </c>
      <c r="U185" s="61" t="s">
        <v>1402</v>
      </c>
      <c r="V185" s="61" t="s">
        <v>1403</v>
      </c>
      <c r="W185" s="62">
        <v>43403</v>
      </c>
      <c r="X185" s="37" t="s">
        <v>30</v>
      </c>
      <c r="Y185" s="37">
        <v>0</v>
      </c>
      <c r="Z185" s="37" t="s">
        <v>31</v>
      </c>
      <c r="AA185" s="37" t="s">
        <v>31</v>
      </c>
      <c r="AB185" s="37" t="s">
        <v>513</v>
      </c>
      <c r="AC185" s="61"/>
      <c r="AD185" s="34"/>
      <c r="AE185" s="98" t="s">
        <v>28</v>
      </c>
      <c r="AF185" s="36">
        <v>44191</v>
      </c>
      <c r="AG185" s="36">
        <v>44191</v>
      </c>
      <c r="AH185" s="37"/>
      <c r="AI185" s="72">
        <v>44185</v>
      </c>
      <c r="AJ185" s="38" t="s">
        <v>27</v>
      </c>
      <c r="AK185" s="39" t="e">
        <f>VLOOKUP(A185,'[1]Externe MAJ Nov'!$A:$H,8,0)</f>
        <v>#N/A</v>
      </c>
      <c r="AL185" s="61"/>
      <c r="AM185" s="61"/>
      <c r="AN185" s="61"/>
      <c r="AO185" s="58">
        <v>44185</v>
      </c>
      <c r="AP185" s="29" t="e">
        <f>VLOOKUP(A185,'[2]External Scan 02_21'!$B:$J,9,0)</f>
        <v>#N/A</v>
      </c>
      <c r="AQ185" s="29" t="s">
        <v>28</v>
      </c>
      <c r="AR185" s="21"/>
      <c r="AS185" s="21" t="str">
        <f>VLOOKUP(AE185,'ref statu'!A:B,2,0)</f>
        <v>Fixed</v>
      </c>
      <c r="AT185" s="8" t="e">
        <f>VLOOKUP(A185,chk!A:B,2,0)</f>
        <v>#N/A</v>
      </c>
      <c r="AU185" s="29" t="e">
        <f>VLOOKUP(A185,checker!A:B,2,0)</f>
        <v>#N/A</v>
      </c>
      <c r="AV185" s="29" t="e">
        <f>VLOOKUP(A185,checker!B:C,2,0)</f>
        <v>#N/A</v>
      </c>
    </row>
    <row r="186" spans="1:48" x14ac:dyDescent="0.3">
      <c r="A186" s="29" t="str">
        <f t="shared" si="2"/>
        <v>96.692.66.646/0/oracle_linux-cve-2018-18386</v>
      </c>
      <c r="B186" s="61" t="s">
        <v>2997</v>
      </c>
      <c r="C186" s="61" t="s">
        <v>528</v>
      </c>
      <c r="D186" s="61" t="s">
        <v>2964</v>
      </c>
      <c r="E186" s="61" t="s">
        <v>28</v>
      </c>
      <c r="F186" s="61" t="s">
        <v>529</v>
      </c>
      <c r="G186" s="61" t="s">
        <v>530</v>
      </c>
      <c r="H186" s="61" t="s">
        <v>531</v>
      </c>
      <c r="I186" s="37" t="s">
        <v>532</v>
      </c>
      <c r="J186" s="37">
        <v>0</v>
      </c>
      <c r="K186" s="61" t="s">
        <v>258</v>
      </c>
      <c r="L186" s="61" t="s">
        <v>31</v>
      </c>
      <c r="M186" s="9">
        <v>2</v>
      </c>
      <c r="N186" s="9" t="s">
        <v>42</v>
      </c>
      <c r="O186" s="61" t="s">
        <v>1404</v>
      </c>
      <c r="P186" s="61" t="s">
        <v>1405</v>
      </c>
      <c r="Q186" s="61" t="s">
        <v>1406</v>
      </c>
      <c r="R186" s="61" t="s">
        <v>536</v>
      </c>
      <c r="S186" s="61" t="s">
        <v>1407</v>
      </c>
      <c r="T186" s="61" t="s">
        <v>31</v>
      </c>
      <c r="U186" s="61" t="s">
        <v>1408</v>
      </c>
      <c r="V186" s="61" t="s">
        <v>1409</v>
      </c>
      <c r="W186" s="62">
        <v>43390</v>
      </c>
      <c r="X186" s="37" t="s">
        <v>30</v>
      </c>
      <c r="Y186" s="37">
        <v>0</v>
      </c>
      <c r="Z186" s="37" t="s">
        <v>31</v>
      </c>
      <c r="AA186" s="37" t="s">
        <v>31</v>
      </c>
      <c r="AB186" s="37" t="s">
        <v>513</v>
      </c>
      <c r="AC186" s="61"/>
      <c r="AD186" s="33"/>
      <c r="AE186" s="98" t="s">
        <v>28</v>
      </c>
      <c r="AF186" s="36">
        <v>44191</v>
      </c>
      <c r="AG186" s="36">
        <v>44191</v>
      </c>
      <c r="AH186" s="37"/>
      <c r="AI186" s="72">
        <v>44185</v>
      </c>
      <c r="AJ186" s="38" t="s">
        <v>27</v>
      </c>
      <c r="AK186" s="39" t="e">
        <f>VLOOKUP(A186,'[1]Externe MAJ Nov'!$A:$H,8,0)</f>
        <v>#N/A</v>
      </c>
      <c r="AL186" s="61"/>
      <c r="AM186" s="61"/>
      <c r="AN186" s="61"/>
      <c r="AO186" s="58">
        <v>44185</v>
      </c>
      <c r="AP186" s="29" t="e">
        <f>VLOOKUP(A186,'[2]External Scan 02_21'!$B:$J,9,0)</f>
        <v>#N/A</v>
      </c>
      <c r="AQ186" s="29" t="s">
        <v>28</v>
      </c>
      <c r="AR186" s="21"/>
      <c r="AS186" s="21" t="str">
        <f>VLOOKUP(AE186,'ref statu'!A:B,2,0)</f>
        <v>Fixed</v>
      </c>
      <c r="AT186" s="8" t="e">
        <f>VLOOKUP(A186,chk!A:B,2,0)</f>
        <v>#N/A</v>
      </c>
      <c r="AU186" s="29" t="e">
        <f>VLOOKUP(A186,checker!A:B,2,0)</f>
        <v>#N/A</v>
      </c>
      <c r="AV186" s="29" t="e">
        <f>VLOOKUP(A186,checker!B:C,2,0)</f>
        <v>#N/A</v>
      </c>
    </row>
    <row r="187" spans="1:48" x14ac:dyDescent="0.3">
      <c r="A187" s="29" t="str">
        <f t="shared" si="2"/>
        <v>96.692.66.646/0/oracle_linux-cve-2018-18397</v>
      </c>
      <c r="B187" s="61" t="s">
        <v>2997</v>
      </c>
      <c r="C187" s="61" t="s">
        <v>528</v>
      </c>
      <c r="D187" s="61" t="s">
        <v>2964</v>
      </c>
      <c r="E187" s="61" t="s">
        <v>28</v>
      </c>
      <c r="F187" s="61" t="s">
        <v>529</v>
      </c>
      <c r="G187" s="61" t="s">
        <v>530</v>
      </c>
      <c r="H187" s="61" t="s">
        <v>531</v>
      </c>
      <c r="I187" s="37" t="s">
        <v>532</v>
      </c>
      <c r="J187" s="37">
        <v>0</v>
      </c>
      <c r="K187" s="61" t="s">
        <v>258</v>
      </c>
      <c r="L187" s="61" t="s">
        <v>31</v>
      </c>
      <c r="M187" s="9">
        <v>2</v>
      </c>
      <c r="N187" s="9" t="s">
        <v>42</v>
      </c>
      <c r="O187" s="61" t="s">
        <v>1410</v>
      </c>
      <c r="P187" s="61" t="s">
        <v>1411</v>
      </c>
      <c r="Q187" s="61" t="s">
        <v>1412</v>
      </c>
      <c r="R187" s="61" t="s">
        <v>1350</v>
      </c>
      <c r="S187" s="61" t="s">
        <v>1413</v>
      </c>
      <c r="T187" s="61" t="s">
        <v>31</v>
      </c>
      <c r="U187" s="61" t="s">
        <v>1414</v>
      </c>
      <c r="V187" s="61" t="s">
        <v>1415</v>
      </c>
      <c r="W187" s="62">
        <v>43446</v>
      </c>
      <c r="X187" s="37" t="s">
        <v>30</v>
      </c>
      <c r="Y187" s="37">
        <v>1</v>
      </c>
      <c r="Z187" s="37" t="s">
        <v>279</v>
      </c>
      <c r="AA187" s="37" t="s">
        <v>1416</v>
      </c>
      <c r="AB187" s="37" t="s">
        <v>513</v>
      </c>
      <c r="AC187" s="61"/>
      <c r="AD187" s="34"/>
      <c r="AE187" s="98" t="s">
        <v>28</v>
      </c>
      <c r="AF187" s="36">
        <v>44191</v>
      </c>
      <c r="AG187" s="36">
        <v>44191</v>
      </c>
      <c r="AH187" s="37"/>
      <c r="AI187" s="72">
        <v>44185</v>
      </c>
      <c r="AJ187" s="38" t="s">
        <v>27</v>
      </c>
      <c r="AK187" s="39" t="e">
        <f>VLOOKUP(A187,'[1]Externe MAJ Nov'!$A:$H,8,0)</f>
        <v>#N/A</v>
      </c>
      <c r="AL187" s="61"/>
      <c r="AM187" s="61"/>
      <c r="AN187" s="61"/>
      <c r="AO187" s="58">
        <v>44185</v>
      </c>
      <c r="AP187" s="29" t="e">
        <f>VLOOKUP(A187,'[2]External Scan 02_21'!$B:$J,9,0)</f>
        <v>#N/A</v>
      </c>
      <c r="AQ187" s="29" t="s">
        <v>28</v>
      </c>
      <c r="AR187" s="21"/>
      <c r="AS187" s="21" t="str">
        <f>VLOOKUP(AE187,'ref statu'!A:B,2,0)</f>
        <v>Fixed</v>
      </c>
      <c r="AT187" s="8" t="e">
        <f>VLOOKUP(A187,chk!A:B,2,0)</f>
        <v>#N/A</v>
      </c>
      <c r="AU187" s="29" t="e">
        <f>VLOOKUP(A187,checker!A:B,2,0)</f>
        <v>#N/A</v>
      </c>
      <c r="AV187" s="29" t="e">
        <f>VLOOKUP(A187,checker!B:C,2,0)</f>
        <v>#N/A</v>
      </c>
    </row>
    <row r="188" spans="1:48" x14ac:dyDescent="0.3">
      <c r="A188" s="29" t="str">
        <f t="shared" si="2"/>
        <v>96.692.66.646/0/oracle_linux-cve-2018-18559</v>
      </c>
      <c r="B188" s="61" t="s">
        <v>2997</v>
      </c>
      <c r="C188" s="61" t="s">
        <v>528</v>
      </c>
      <c r="D188" s="61" t="s">
        <v>2964</v>
      </c>
      <c r="E188" s="61" t="s">
        <v>28</v>
      </c>
      <c r="F188" s="61" t="s">
        <v>529</v>
      </c>
      <c r="G188" s="61" t="s">
        <v>530</v>
      </c>
      <c r="H188" s="61" t="s">
        <v>531</v>
      </c>
      <c r="I188" s="37" t="s">
        <v>532</v>
      </c>
      <c r="J188" s="37">
        <v>0</v>
      </c>
      <c r="K188" s="61" t="s">
        <v>258</v>
      </c>
      <c r="L188" s="61" t="s">
        <v>31</v>
      </c>
      <c r="M188" s="9">
        <v>7</v>
      </c>
      <c r="N188" s="10" t="s">
        <v>2540</v>
      </c>
      <c r="O188" s="61" t="s">
        <v>1417</v>
      </c>
      <c r="P188" s="61" t="s">
        <v>1418</v>
      </c>
      <c r="Q188" s="61" t="s">
        <v>1419</v>
      </c>
      <c r="R188" s="61" t="s">
        <v>581</v>
      </c>
      <c r="S188" s="61" t="s">
        <v>1420</v>
      </c>
      <c r="T188" s="61" t="s">
        <v>31</v>
      </c>
      <c r="U188" s="61" t="s">
        <v>1421</v>
      </c>
      <c r="V188" s="61" t="s">
        <v>1422</v>
      </c>
      <c r="W188" s="62">
        <v>43395</v>
      </c>
      <c r="X188" s="37" t="s">
        <v>30</v>
      </c>
      <c r="Y188" s="37">
        <v>0</v>
      </c>
      <c r="Z188" s="37" t="s">
        <v>31</v>
      </c>
      <c r="AA188" s="37" t="s">
        <v>31</v>
      </c>
      <c r="AB188" s="37" t="s">
        <v>513</v>
      </c>
      <c r="AC188" s="61"/>
      <c r="AD188" s="34"/>
      <c r="AE188" s="98" t="s">
        <v>28</v>
      </c>
      <c r="AF188" s="36">
        <v>44191</v>
      </c>
      <c r="AG188" s="36">
        <v>44191</v>
      </c>
      <c r="AH188" s="37"/>
      <c r="AI188" s="72">
        <v>44185</v>
      </c>
      <c r="AJ188" s="38" t="s">
        <v>27</v>
      </c>
      <c r="AK188" s="39" t="e">
        <f>VLOOKUP(A188,'[1]Externe MAJ Nov'!$A:$H,8,0)</f>
        <v>#N/A</v>
      </c>
      <c r="AL188" s="61"/>
      <c r="AM188" s="61"/>
      <c r="AN188" s="61"/>
      <c r="AO188" s="58">
        <v>44185</v>
      </c>
      <c r="AP188" s="29" t="e">
        <f>VLOOKUP(A188,'[2]External Scan 02_21'!$B:$J,9,0)</f>
        <v>#N/A</v>
      </c>
      <c r="AQ188" s="29" t="s">
        <v>28</v>
      </c>
      <c r="AR188" s="21"/>
      <c r="AS188" s="21" t="str">
        <f>VLOOKUP(AE188,'ref statu'!A:B,2,0)</f>
        <v>Fixed</v>
      </c>
      <c r="AT188" s="8" t="e">
        <f>VLOOKUP(A188,chk!A:B,2,0)</f>
        <v>#N/A</v>
      </c>
      <c r="AU188" s="29" t="e">
        <f>VLOOKUP(A188,checker!A:B,2,0)</f>
        <v>#N/A</v>
      </c>
      <c r="AV188" s="29" t="e">
        <f>VLOOKUP(A188,checker!B:C,2,0)</f>
        <v>#N/A</v>
      </c>
    </row>
    <row r="189" spans="1:48" x14ac:dyDescent="0.3">
      <c r="A189" s="29" t="str">
        <f t="shared" si="2"/>
        <v>96.692.66.646/0/oracle_linux-cve-2018-18690</v>
      </c>
      <c r="B189" s="61" t="s">
        <v>2997</v>
      </c>
      <c r="C189" s="61" t="s">
        <v>528</v>
      </c>
      <c r="D189" s="61" t="s">
        <v>2964</v>
      </c>
      <c r="E189" s="61" t="s">
        <v>28</v>
      </c>
      <c r="F189" s="61" t="s">
        <v>529</v>
      </c>
      <c r="G189" s="61" t="s">
        <v>530</v>
      </c>
      <c r="H189" s="61" t="s">
        <v>531</v>
      </c>
      <c r="I189" s="37" t="s">
        <v>532</v>
      </c>
      <c r="J189" s="37">
        <v>0</v>
      </c>
      <c r="K189" s="61" t="s">
        <v>258</v>
      </c>
      <c r="L189" s="61" t="s">
        <v>31</v>
      </c>
      <c r="M189" s="9">
        <v>5</v>
      </c>
      <c r="N189" s="9" t="s">
        <v>29</v>
      </c>
      <c r="O189" s="61" t="s">
        <v>1423</v>
      </c>
      <c r="P189" s="61" t="s">
        <v>1424</v>
      </c>
      <c r="Q189" s="61" t="s">
        <v>1425</v>
      </c>
      <c r="R189" s="61" t="s">
        <v>536</v>
      </c>
      <c r="S189" s="61" t="s">
        <v>1426</v>
      </c>
      <c r="T189" s="61" t="s">
        <v>31</v>
      </c>
      <c r="U189" s="61" t="s">
        <v>1427</v>
      </c>
      <c r="V189" s="61" t="s">
        <v>1428</v>
      </c>
      <c r="W189" s="62">
        <v>43399</v>
      </c>
      <c r="X189" s="37" t="s">
        <v>30</v>
      </c>
      <c r="Y189" s="37">
        <v>0</v>
      </c>
      <c r="Z189" s="37" t="s">
        <v>31</v>
      </c>
      <c r="AA189" s="37" t="s">
        <v>31</v>
      </c>
      <c r="AB189" s="37" t="s">
        <v>513</v>
      </c>
      <c r="AC189" s="61"/>
      <c r="AD189" s="33"/>
      <c r="AE189" s="98" t="s">
        <v>28</v>
      </c>
      <c r="AF189" s="36">
        <v>44191</v>
      </c>
      <c r="AG189" s="36">
        <v>44191</v>
      </c>
      <c r="AH189" s="37"/>
      <c r="AI189" s="72">
        <v>44185</v>
      </c>
      <c r="AJ189" s="38" t="s">
        <v>27</v>
      </c>
      <c r="AK189" s="39" t="e">
        <f>VLOOKUP(A189,'[1]Externe MAJ Nov'!$A:$H,8,0)</f>
        <v>#N/A</v>
      </c>
      <c r="AL189" s="61"/>
      <c r="AM189" s="61"/>
      <c r="AN189" s="61"/>
      <c r="AO189" s="58">
        <v>44185</v>
      </c>
      <c r="AP189" s="29" t="e">
        <f>VLOOKUP(A189,'[2]External Scan 02_21'!$B:$J,9,0)</f>
        <v>#N/A</v>
      </c>
      <c r="AQ189" s="29" t="s">
        <v>28</v>
      </c>
      <c r="AR189" s="21"/>
      <c r="AS189" s="21" t="str">
        <f>VLOOKUP(AE189,'ref statu'!A:B,2,0)</f>
        <v>Fixed</v>
      </c>
      <c r="AT189" s="8" t="e">
        <f>VLOOKUP(A189,chk!A:B,2,0)</f>
        <v>#N/A</v>
      </c>
      <c r="AU189" s="29" t="e">
        <f>VLOOKUP(A189,checker!A:B,2,0)</f>
        <v>#N/A</v>
      </c>
      <c r="AV189" s="29" t="e">
        <f>VLOOKUP(A189,checker!B:C,2,0)</f>
        <v>#N/A</v>
      </c>
    </row>
    <row r="190" spans="1:48" x14ac:dyDescent="0.3">
      <c r="A190" s="29" t="str">
        <f t="shared" si="2"/>
        <v>96.692.66.646/0/oracle_linux-cve-2018-18710</v>
      </c>
      <c r="B190" s="61" t="s">
        <v>2997</v>
      </c>
      <c r="C190" s="61" t="s">
        <v>528</v>
      </c>
      <c r="D190" s="61" t="s">
        <v>2964</v>
      </c>
      <c r="E190" s="61" t="s">
        <v>28</v>
      </c>
      <c r="F190" s="61" t="s">
        <v>529</v>
      </c>
      <c r="G190" s="61" t="s">
        <v>530</v>
      </c>
      <c r="H190" s="61" t="s">
        <v>531</v>
      </c>
      <c r="I190" s="37" t="s">
        <v>532</v>
      </c>
      <c r="J190" s="37">
        <v>0</v>
      </c>
      <c r="K190" s="61" t="s">
        <v>258</v>
      </c>
      <c r="L190" s="61" t="s">
        <v>31</v>
      </c>
      <c r="M190" s="9">
        <v>2</v>
      </c>
      <c r="N190" s="9" t="s">
        <v>42</v>
      </c>
      <c r="O190" s="61" t="s">
        <v>1429</v>
      </c>
      <c r="P190" s="61" t="s">
        <v>1430</v>
      </c>
      <c r="Q190" s="61" t="s">
        <v>1431</v>
      </c>
      <c r="R190" s="61" t="s">
        <v>723</v>
      </c>
      <c r="S190" s="61" t="s">
        <v>1432</v>
      </c>
      <c r="T190" s="61" t="s">
        <v>31</v>
      </c>
      <c r="U190" s="61" t="s">
        <v>1433</v>
      </c>
      <c r="V190" s="61" t="s">
        <v>1434</v>
      </c>
      <c r="W190" s="62">
        <v>43402</v>
      </c>
      <c r="X190" s="37" t="s">
        <v>30</v>
      </c>
      <c r="Y190" s="37">
        <v>0</v>
      </c>
      <c r="Z190" s="37" t="s">
        <v>31</v>
      </c>
      <c r="AA190" s="37" t="s">
        <v>31</v>
      </c>
      <c r="AB190" s="37" t="s">
        <v>513</v>
      </c>
      <c r="AC190" s="61"/>
      <c r="AD190" s="34"/>
      <c r="AE190" s="98" t="s">
        <v>28</v>
      </c>
      <c r="AF190" s="36">
        <v>44191</v>
      </c>
      <c r="AG190" s="36">
        <v>44191</v>
      </c>
      <c r="AH190" s="37"/>
      <c r="AI190" s="72">
        <v>44185</v>
      </c>
      <c r="AJ190" s="38" t="s">
        <v>27</v>
      </c>
      <c r="AK190" s="39" t="e">
        <f>VLOOKUP(A190,'[1]Externe MAJ Nov'!$A:$H,8,0)</f>
        <v>#N/A</v>
      </c>
      <c r="AL190" s="61"/>
      <c r="AM190" s="61"/>
      <c r="AN190" s="61"/>
      <c r="AO190" s="58">
        <v>44185</v>
      </c>
      <c r="AP190" s="29" t="e">
        <f>VLOOKUP(A190,'[2]External Scan 02_21'!$B:$J,9,0)</f>
        <v>#N/A</v>
      </c>
      <c r="AQ190" s="29" t="s">
        <v>28</v>
      </c>
      <c r="AR190" s="21"/>
      <c r="AS190" s="21" t="str">
        <f>VLOOKUP(AE190,'ref statu'!A:B,2,0)</f>
        <v>Fixed</v>
      </c>
      <c r="AT190" s="8" t="e">
        <f>VLOOKUP(A190,chk!A:B,2,0)</f>
        <v>#N/A</v>
      </c>
      <c r="AU190" s="29" t="e">
        <f>VLOOKUP(A190,checker!A:B,2,0)</f>
        <v>#N/A</v>
      </c>
      <c r="AV190" s="29" t="e">
        <f>VLOOKUP(A190,checker!B:C,2,0)</f>
        <v>#N/A</v>
      </c>
    </row>
    <row r="191" spans="1:48" x14ac:dyDescent="0.3">
      <c r="A191" s="29" t="str">
        <f t="shared" si="2"/>
        <v>96.692.66.646/0/oracle_linux-cve-2018-19824</v>
      </c>
      <c r="B191" s="61" t="s">
        <v>2997</v>
      </c>
      <c r="C191" s="61" t="s">
        <v>528</v>
      </c>
      <c r="D191" s="61" t="s">
        <v>2964</v>
      </c>
      <c r="E191" s="61" t="s">
        <v>28</v>
      </c>
      <c r="F191" s="61" t="s">
        <v>529</v>
      </c>
      <c r="G191" s="61" t="s">
        <v>530</v>
      </c>
      <c r="H191" s="61" t="s">
        <v>531</v>
      </c>
      <c r="I191" s="37" t="s">
        <v>532</v>
      </c>
      <c r="J191" s="37">
        <v>0</v>
      </c>
      <c r="K191" s="61" t="s">
        <v>258</v>
      </c>
      <c r="L191" s="61" t="s">
        <v>31</v>
      </c>
      <c r="M191" s="9">
        <v>5</v>
      </c>
      <c r="N191" s="9" t="s">
        <v>29</v>
      </c>
      <c r="O191" s="61" t="s">
        <v>1435</v>
      </c>
      <c r="P191" s="61" t="s">
        <v>1436</v>
      </c>
      <c r="Q191" s="61" t="s">
        <v>1437</v>
      </c>
      <c r="R191" s="61" t="s">
        <v>1350</v>
      </c>
      <c r="S191" s="61" t="s">
        <v>1438</v>
      </c>
      <c r="T191" s="61" t="s">
        <v>31</v>
      </c>
      <c r="U191" s="61" t="s">
        <v>1439</v>
      </c>
      <c r="V191" s="61" t="s">
        <v>1440</v>
      </c>
      <c r="W191" s="62">
        <v>43437</v>
      </c>
      <c r="X191" s="37" t="s">
        <v>30</v>
      </c>
      <c r="Y191" s="37">
        <v>0</v>
      </c>
      <c r="Z191" s="37" t="s">
        <v>31</v>
      </c>
      <c r="AA191" s="37" t="s">
        <v>31</v>
      </c>
      <c r="AB191" s="37" t="s">
        <v>513</v>
      </c>
      <c r="AC191" s="61"/>
      <c r="AD191" s="34"/>
      <c r="AE191" s="98" t="s">
        <v>28</v>
      </c>
      <c r="AF191" s="36">
        <v>44191</v>
      </c>
      <c r="AG191" s="36">
        <v>44191</v>
      </c>
      <c r="AH191" s="37"/>
      <c r="AI191" s="72">
        <v>44185</v>
      </c>
      <c r="AJ191" s="38" t="s">
        <v>27</v>
      </c>
      <c r="AK191" s="39" t="e">
        <f>VLOOKUP(A191,'[1]Externe MAJ Nov'!$A:$H,8,0)</f>
        <v>#N/A</v>
      </c>
      <c r="AL191" s="61"/>
      <c r="AM191" s="61"/>
      <c r="AN191" s="61"/>
      <c r="AO191" s="58">
        <v>44185</v>
      </c>
      <c r="AP191" s="29" t="e">
        <f>VLOOKUP(A191,'[2]External Scan 02_21'!$B:$J,9,0)</f>
        <v>#N/A</v>
      </c>
      <c r="AQ191" s="29" t="s">
        <v>28</v>
      </c>
      <c r="AR191" s="21"/>
      <c r="AS191" s="21" t="str">
        <f>VLOOKUP(AE191,'ref statu'!A:B,2,0)</f>
        <v>Fixed</v>
      </c>
      <c r="AT191" s="8" t="e">
        <f>VLOOKUP(A191,chk!A:B,2,0)</f>
        <v>#N/A</v>
      </c>
      <c r="AU191" s="29" t="e">
        <f>VLOOKUP(A191,checker!A:B,2,0)</f>
        <v>#N/A</v>
      </c>
      <c r="AV191" s="29" t="e">
        <f>VLOOKUP(A191,checker!B:C,2,0)</f>
        <v>#N/A</v>
      </c>
    </row>
    <row r="192" spans="1:48" x14ac:dyDescent="0.3">
      <c r="A192" s="29" t="str">
        <f t="shared" si="2"/>
        <v>96.692.66.646/0/oracle_linux-cve-2018-19985</v>
      </c>
      <c r="B192" s="61" t="s">
        <v>2997</v>
      </c>
      <c r="C192" s="61" t="s">
        <v>528</v>
      </c>
      <c r="D192" s="61" t="s">
        <v>2964</v>
      </c>
      <c r="E192" s="61" t="s">
        <v>28</v>
      </c>
      <c r="F192" s="61" t="s">
        <v>529</v>
      </c>
      <c r="G192" s="61" t="s">
        <v>530</v>
      </c>
      <c r="H192" s="61" t="s">
        <v>531</v>
      </c>
      <c r="I192" s="37" t="s">
        <v>532</v>
      </c>
      <c r="J192" s="37">
        <v>0</v>
      </c>
      <c r="K192" s="61" t="s">
        <v>258</v>
      </c>
      <c r="L192" s="61" t="s">
        <v>31</v>
      </c>
      <c r="M192" s="9">
        <v>2</v>
      </c>
      <c r="N192" s="9" t="s">
        <v>42</v>
      </c>
      <c r="O192" s="61" t="s">
        <v>1441</v>
      </c>
      <c r="P192" s="61" t="s">
        <v>1442</v>
      </c>
      <c r="Q192" s="61" t="s">
        <v>1443</v>
      </c>
      <c r="R192" s="61" t="s">
        <v>1369</v>
      </c>
      <c r="S192" s="61" t="s">
        <v>1444</v>
      </c>
      <c r="T192" s="61" t="s">
        <v>31</v>
      </c>
      <c r="U192" s="61" t="s">
        <v>1445</v>
      </c>
      <c r="V192" s="61" t="s">
        <v>1446</v>
      </c>
      <c r="W192" s="62">
        <v>43483</v>
      </c>
      <c r="X192" s="37" t="s">
        <v>30</v>
      </c>
      <c r="Y192" s="37">
        <v>0</v>
      </c>
      <c r="Z192" s="37" t="s">
        <v>31</v>
      </c>
      <c r="AA192" s="37" t="s">
        <v>31</v>
      </c>
      <c r="AB192" s="37" t="s">
        <v>513</v>
      </c>
      <c r="AC192" s="61"/>
      <c r="AD192" s="33"/>
      <c r="AE192" s="98" t="s">
        <v>28</v>
      </c>
      <c r="AF192" s="36">
        <v>44191</v>
      </c>
      <c r="AG192" s="36">
        <v>44191</v>
      </c>
      <c r="AH192" s="37"/>
      <c r="AI192" s="72">
        <v>44185</v>
      </c>
      <c r="AJ192" s="38" t="s">
        <v>27</v>
      </c>
      <c r="AK192" s="39" t="e">
        <f>VLOOKUP(A192,'[1]Externe MAJ Nov'!$A:$H,8,0)</f>
        <v>#N/A</v>
      </c>
      <c r="AL192" s="61"/>
      <c r="AM192" s="61"/>
      <c r="AN192" s="61"/>
      <c r="AO192" s="58">
        <v>44185</v>
      </c>
      <c r="AP192" s="29" t="e">
        <f>VLOOKUP(A192,'[2]External Scan 02_21'!$B:$J,9,0)</f>
        <v>#N/A</v>
      </c>
      <c r="AQ192" s="29" t="s">
        <v>28</v>
      </c>
      <c r="AR192" s="21"/>
      <c r="AS192" s="21" t="str">
        <f>VLOOKUP(AE192,'ref statu'!A:B,2,0)</f>
        <v>Fixed</v>
      </c>
      <c r="AT192" s="8" t="e">
        <f>VLOOKUP(A192,chk!A:B,2,0)</f>
        <v>#N/A</v>
      </c>
      <c r="AU192" s="29" t="e">
        <f>VLOOKUP(A192,checker!A:B,2,0)</f>
        <v>#N/A</v>
      </c>
      <c r="AV192" s="29" t="e">
        <f>VLOOKUP(A192,checker!B:C,2,0)</f>
        <v>#N/A</v>
      </c>
    </row>
    <row r="193" spans="1:48" x14ac:dyDescent="0.3">
      <c r="A193" s="29" t="str">
        <f t="shared" si="2"/>
        <v>96.692.66.646/0/oracle_linux-cve-2018-20169</v>
      </c>
      <c r="B193" s="61" t="s">
        <v>2997</v>
      </c>
      <c r="C193" s="61" t="s">
        <v>528</v>
      </c>
      <c r="D193" s="61" t="s">
        <v>2964</v>
      </c>
      <c r="E193" s="61" t="s">
        <v>28</v>
      </c>
      <c r="F193" s="61" t="s">
        <v>529</v>
      </c>
      <c r="G193" s="61" t="s">
        <v>530</v>
      </c>
      <c r="H193" s="61" t="s">
        <v>531</v>
      </c>
      <c r="I193" s="37" t="s">
        <v>532</v>
      </c>
      <c r="J193" s="37">
        <v>0</v>
      </c>
      <c r="K193" s="61" t="s">
        <v>258</v>
      </c>
      <c r="L193" s="61" t="s">
        <v>31</v>
      </c>
      <c r="M193" s="9">
        <v>7</v>
      </c>
      <c r="N193" s="10" t="s">
        <v>2540</v>
      </c>
      <c r="O193" s="61" t="s">
        <v>1447</v>
      </c>
      <c r="P193" s="61" t="s">
        <v>1448</v>
      </c>
      <c r="Q193" s="61" t="s">
        <v>1449</v>
      </c>
      <c r="R193" s="61" t="s">
        <v>606</v>
      </c>
      <c r="S193" s="61" t="s">
        <v>1450</v>
      </c>
      <c r="T193" s="61" t="s">
        <v>31</v>
      </c>
      <c r="U193" s="61" t="s">
        <v>1451</v>
      </c>
      <c r="V193" s="61" t="s">
        <v>1452</v>
      </c>
      <c r="W193" s="62">
        <v>43451</v>
      </c>
      <c r="X193" s="37" t="s">
        <v>30</v>
      </c>
      <c r="Y193" s="37">
        <v>0</v>
      </c>
      <c r="Z193" s="37" t="s">
        <v>31</v>
      </c>
      <c r="AA193" s="37" t="s">
        <v>31</v>
      </c>
      <c r="AB193" s="37" t="s">
        <v>513</v>
      </c>
      <c r="AC193" s="61"/>
      <c r="AD193" s="34"/>
      <c r="AE193" s="98" t="s">
        <v>28</v>
      </c>
      <c r="AF193" s="36">
        <v>44191</v>
      </c>
      <c r="AG193" s="36">
        <v>44191</v>
      </c>
      <c r="AH193" s="37"/>
      <c r="AI193" s="72">
        <v>44185</v>
      </c>
      <c r="AJ193" s="38" t="s">
        <v>27</v>
      </c>
      <c r="AK193" s="39" t="e">
        <f>VLOOKUP(A193,'[1]Externe MAJ Nov'!$A:$H,8,0)</f>
        <v>#N/A</v>
      </c>
      <c r="AL193" s="61"/>
      <c r="AM193" s="61"/>
      <c r="AN193" s="61"/>
      <c r="AO193" s="58">
        <v>44185</v>
      </c>
      <c r="AP193" s="29" t="e">
        <f>VLOOKUP(A193,'[2]External Scan 02_21'!$B:$J,9,0)</f>
        <v>#N/A</v>
      </c>
      <c r="AQ193" s="29" t="s">
        <v>28</v>
      </c>
      <c r="AR193" s="21"/>
      <c r="AS193" s="21" t="str">
        <f>VLOOKUP(AE193,'ref statu'!A:B,2,0)</f>
        <v>Fixed</v>
      </c>
      <c r="AT193" s="8" t="e">
        <f>VLOOKUP(A193,chk!A:B,2,0)</f>
        <v>#N/A</v>
      </c>
      <c r="AU193" s="29" t="e">
        <f>VLOOKUP(A193,checker!A:B,2,0)</f>
        <v>#N/A</v>
      </c>
      <c r="AV193" s="29" t="e">
        <f>VLOOKUP(A193,checker!B:C,2,0)</f>
        <v>#N/A</v>
      </c>
    </row>
    <row r="194" spans="1:48" x14ac:dyDescent="0.3">
      <c r="A194" s="29" t="str">
        <f t="shared" ref="A194:A257" si="3">B194&amp;"/"&amp;J194&amp;"/"&amp;O194</f>
        <v>96.692.66.646/0/oracle_linux-cve-2018-20836</v>
      </c>
      <c r="B194" s="61" t="s">
        <v>2997</v>
      </c>
      <c r="C194" s="61" t="s">
        <v>528</v>
      </c>
      <c r="D194" s="61" t="s">
        <v>2964</v>
      </c>
      <c r="E194" s="61" t="s">
        <v>28</v>
      </c>
      <c r="F194" s="61" t="s">
        <v>529</v>
      </c>
      <c r="G194" s="61" t="s">
        <v>530</v>
      </c>
      <c r="H194" s="61" t="s">
        <v>531</v>
      </c>
      <c r="I194" s="37" t="s">
        <v>532</v>
      </c>
      <c r="J194" s="37">
        <v>0</v>
      </c>
      <c r="K194" s="61" t="s">
        <v>258</v>
      </c>
      <c r="L194" s="61" t="s">
        <v>31</v>
      </c>
      <c r="M194" s="9">
        <v>9</v>
      </c>
      <c r="N194" s="10" t="s">
        <v>164</v>
      </c>
      <c r="O194" s="61" t="s">
        <v>1453</v>
      </c>
      <c r="P194" s="61" t="s">
        <v>1454</v>
      </c>
      <c r="Q194" s="61" t="s">
        <v>1455</v>
      </c>
      <c r="R194" s="61" t="s">
        <v>1350</v>
      </c>
      <c r="S194" s="61" t="s">
        <v>1456</v>
      </c>
      <c r="T194" s="61" t="s">
        <v>31</v>
      </c>
      <c r="U194" s="61" t="s">
        <v>1457</v>
      </c>
      <c r="V194" s="61" t="s">
        <v>1458</v>
      </c>
      <c r="W194" s="62">
        <v>43592</v>
      </c>
      <c r="X194" s="37" t="s">
        <v>30</v>
      </c>
      <c r="Y194" s="37">
        <v>0</v>
      </c>
      <c r="Z194" s="37" t="s">
        <v>31</v>
      </c>
      <c r="AA194" s="37" t="s">
        <v>31</v>
      </c>
      <c r="AB194" s="37" t="s">
        <v>513</v>
      </c>
      <c r="AC194" s="61"/>
      <c r="AD194" s="34"/>
      <c r="AE194" s="98" t="s">
        <v>28</v>
      </c>
      <c r="AF194" s="36">
        <v>44191</v>
      </c>
      <c r="AG194" s="36">
        <v>44191</v>
      </c>
      <c r="AH194" s="37"/>
      <c r="AI194" s="72">
        <v>44185</v>
      </c>
      <c r="AJ194" s="38" t="s">
        <v>27</v>
      </c>
      <c r="AK194" s="39" t="e">
        <f>VLOOKUP(A194,'[1]Externe MAJ Nov'!$A:$H,8,0)</f>
        <v>#N/A</v>
      </c>
      <c r="AL194" s="61"/>
      <c r="AM194" s="61"/>
      <c r="AN194" s="61"/>
      <c r="AO194" s="58">
        <v>44185</v>
      </c>
      <c r="AP194" s="29" t="e">
        <f>VLOOKUP(A194,'[2]External Scan 02_21'!$B:$J,9,0)</f>
        <v>#N/A</v>
      </c>
      <c r="AQ194" s="29" t="s">
        <v>28</v>
      </c>
      <c r="AR194" s="21"/>
      <c r="AS194" s="21" t="str">
        <f>VLOOKUP(AE194,'ref statu'!A:B,2,0)</f>
        <v>Fixed</v>
      </c>
      <c r="AT194" s="8" t="e">
        <f>VLOOKUP(A194,chk!A:B,2,0)</f>
        <v>#N/A</v>
      </c>
      <c r="AU194" s="29" t="e">
        <f>VLOOKUP(A194,checker!A:B,2,0)</f>
        <v>#N/A</v>
      </c>
      <c r="AV194" s="29" t="e">
        <f>VLOOKUP(A194,checker!B:C,2,0)</f>
        <v>#N/A</v>
      </c>
    </row>
    <row r="195" spans="1:48" x14ac:dyDescent="0.3">
      <c r="A195" s="29" t="str">
        <f t="shared" si="3"/>
        <v>96.692.66.646/0/oracle_linux-cve-2018-20856</v>
      </c>
      <c r="B195" s="61" t="s">
        <v>2997</v>
      </c>
      <c r="C195" s="61" t="s">
        <v>528</v>
      </c>
      <c r="D195" s="61" t="s">
        <v>2964</v>
      </c>
      <c r="E195" s="61" t="s">
        <v>28</v>
      </c>
      <c r="F195" s="61" t="s">
        <v>529</v>
      </c>
      <c r="G195" s="61" t="s">
        <v>530</v>
      </c>
      <c r="H195" s="61" t="s">
        <v>531</v>
      </c>
      <c r="I195" s="37" t="s">
        <v>532</v>
      </c>
      <c r="J195" s="37">
        <v>0</v>
      </c>
      <c r="K195" s="61" t="s">
        <v>258</v>
      </c>
      <c r="L195" s="61" t="s">
        <v>31</v>
      </c>
      <c r="M195" s="9">
        <v>5</v>
      </c>
      <c r="N195" s="9" t="s">
        <v>29</v>
      </c>
      <c r="O195" s="61" t="s">
        <v>1459</v>
      </c>
      <c r="P195" s="61" t="s">
        <v>1460</v>
      </c>
      <c r="Q195" s="61" t="s">
        <v>1461</v>
      </c>
      <c r="R195" s="61" t="s">
        <v>581</v>
      </c>
      <c r="S195" s="61" t="s">
        <v>1462</v>
      </c>
      <c r="T195" s="61" t="s">
        <v>31</v>
      </c>
      <c r="U195" s="61" t="s">
        <v>1463</v>
      </c>
      <c r="V195" s="61" t="s">
        <v>1464</v>
      </c>
      <c r="W195" s="62">
        <v>43672</v>
      </c>
      <c r="X195" s="37" t="s">
        <v>30</v>
      </c>
      <c r="Y195" s="37">
        <v>0</v>
      </c>
      <c r="Z195" s="37" t="s">
        <v>31</v>
      </c>
      <c r="AA195" s="37" t="s">
        <v>31</v>
      </c>
      <c r="AB195" s="37" t="s">
        <v>513</v>
      </c>
      <c r="AC195" s="61"/>
      <c r="AD195" s="33"/>
      <c r="AE195" s="98" t="s">
        <v>28</v>
      </c>
      <c r="AF195" s="36">
        <v>44191</v>
      </c>
      <c r="AG195" s="36">
        <v>44191</v>
      </c>
      <c r="AH195" s="37"/>
      <c r="AI195" s="72">
        <v>44185</v>
      </c>
      <c r="AJ195" s="38" t="s">
        <v>27</v>
      </c>
      <c r="AK195" s="39" t="e">
        <f>VLOOKUP(A195,'[1]Externe MAJ Nov'!$A:$H,8,0)</f>
        <v>#N/A</v>
      </c>
      <c r="AL195" s="61"/>
      <c r="AM195" s="61"/>
      <c r="AN195" s="61"/>
      <c r="AO195" s="58">
        <v>44185</v>
      </c>
      <c r="AP195" s="29" t="e">
        <f>VLOOKUP(A195,'[2]External Scan 02_21'!$B:$J,9,0)</f>
        <v>#N/A</v>
      </c>
      <c r="AQ195" s="29" t="s">
        <v>28</v>
      </c>
      <c r="AR195" s="21"/>
      <c r="AS195" s="21" t="str">
        <f>VLOOKUP(AE195,'ref statu'!A:B,2,0)</f>
        <v>Fixed</v>
      </c>
      <c r="AT195" s="8" t="e">
        <f>VLOOKUP(A195,chk!A:B,2,0)</f>
        <v>#N/A</v>
      </c>
      <c r="AU195" s="29" t="e">
        <f>VLOOKUP(A195,checker!A:B,2,0)</f>
        <v>#N/A</v>
      </c>
      <c r="AV195" s="29" t="e">
        <f>VLOOKUP(A195,checker!B:C,2,0)</f>
        <v>#N/A</v>
      </c>
    </row>
    <row r="196" spans="1:48" x14ac:dyDescent="0.3">
      <c r="A196" s="29" t="str">
        <f t="shared" si="3"/>
        <v>96.692.66.646/0/oracle_linux-cve-2018-3620</v>
      </c>
      <c r="B196" s="61" t="s">
        <v>2997</v>
      </c>
      <c r="C196" s="61" t="s">
        <v>528</v>
      </c>
      <c r="D196" s="61" t="s">
        <v>2964</v>
      </c>
      <c r="E196" s="61" t="s">
        <v>28</v>
      </c>
      <c r="F196" s="61" t="s">
        <v>529</v>
      </c>
      <c r="G196" s="61" t="s">
        <v>530</v>
      </c>
      <c r="H196" s="61" t="s">
        <v>531</v>
      </c>
      <c r="I196" s="37" t="s">
        <v>532</v>
      </c>
      <c r="J196" s="37">
        <v>0</v>
      </c>
      <c r="K196" s="61" t="s">
        <v>258</v>
      </c>
      <c r="L196" s="61" t="s">
        <v>31</v>
      </c>
      <c r="M196" s="9">
        <v>5</v>
      </c>
      <c r="N196" s="9" t="s">
        <v>29</v>
      </c>
      <c r="O196" s="61" t="s">
        <v>1465</v>
      </c>
      <c r="P196" s="61" t="s">
        <v>1466</v>
      </c>
      <c r="Q196" s="61" t="s">
        <v>1467</v>
      </c>
      <c r="R196" s="61" t="s">
        <v>1369</v>
      </c>
      <c r="S196" s="61" t="s">
        <v>1468</v>
      </c>
      <c r="T196" s="61" t="s">
        <v>31</v>
      </c>
      <c r="U196" s="61" t="s">
        <v>1469</v>
      </c>
      <c r="V196" s="61" t="s">
        <v>1470</v>
      </c>
      <c r="W196" s="62">
        <v>43327</v>
      </c>
      <c r="X196" s="37" t="s">
        <v>30</v>
      </c>
      <c r="Y196" s="37">
        <v>0</v>
      </c>
      <c r="Z196" s="37" t="s">
        <v>31</v>
      </c>
      <c r="AA196" s="37" t="s">
        <v>31</v>
      </c>
      <c r="AB196" s="37" t="s">
        <v>513</v>
      </c>
      <c r="AC196" s="61"/>
      <c r="AD196" s="34"/>
      <c r="AE196" s="98" t="s">
        <v>28</v>
      </c>
      <c r="AF196" s="36">
        <v>44191</v>
      </c>
      <c r="AG196" s="36">
        <v>44191</v>
      </c>
      <c r="AH196" s="37"/>
      <c r="AI196" s="72">
        <v>44185</v>
      </c>
      <c r="AJ196" s="38" t="s">
        <v>27</v>
      </c>
      <c r="AK196" s="39" t="e">
        <f>VLOOKUP(A196,'[1]Externe MAJ Nov'!$A:$H,8,0)</f>
        <v>#N/A</v>
      </c>
      <c r="AL196" s="61"/>
      <c r="AM196" s="61"/>
      <c r="AN196" s="61"/>
      <c r="AO196" s="58">
        <v>44185</v>
      </c>
      <c r="AP196" s="29" t="e">
        <f>VLOOKUP(A196,'[2]External Scan 02_21'!$B:$J,9,0)</f>
        <v>#N/A</v>
      </c>
      <c r="AQ196" s="29" t="s">
        <v>28</v>
      </c>
      <c r="AR196" s="21"/>
      <c r="AS196" s="21" t="str">
        <f>VLOOKUP(AE196,'ref statu'!A:B,2,0)</f>
        <v>Fixed</v>
      </c>
      <c r="AT196" s="8" t="e">
        <f>VLOOKUP(A196,chk!A:B,2,0)</f>
        <v>#N/A</v>
      </c>
      <c r="AU196" s="29" t="e">
        <f>VLOOKUP(A196,checker!A:B,2,0)</f>
        <v>#N/A</v>
      </c>
      <c r="AV196" s="29" t="e">
        <f>VLOOKUP(A196,checker!B:C,2,0)</f>
        <v>#N/A</v>
      </c>
    </row>
    <row r="197" spans="1:48" x14ac:dyDescent="0.3">
      <c r="A197" s="29" t="str">
        <f t="shared" si="3"/>
        <v>96.692.66.646/0/oracle_linux-cve-2018-3639</v>
      </c>
      <c r="B197" s="61" t="s">
        <v>2997</v>
      </c>
      <c r="C197" s="61" t="s">
        <v>528</v>
      </c>
      <c r="D197" s="61" t="s">
        <v>2964</v>
      </c>
      <c r="E197" s="61" t="s">
        <v>28</v>
      </c>
      <c r="F197" s="61" t="s">
        <v>529</v>
      </c>
      <c r="G197" s="61" t="s">
        <v>530</v>
      </c>
      <c r="H197" s="61" t="s">
        <v>531</v>
      </c>
      <c r="I197" s="37" t="s">
        <v>532</v>
      </c>
      <c r="J197" s="37">
        <v>0</v>
      </c>
      <c r="K197" s="61" t="s">
        <v>258</v>
      </c>
      <c r="L197" s="61" t="s">
        <v>31</v>
      </c>
      <c r="M197" s="9">
        <v>5</v>
      </c>
      <c r="N197" s="9" t="s">
        <v>29</v>
      </c>
      <c r="O197" s="61" t="s">
        <v>1471</v>
      </c>
      <c r="P197" s="61" t="s">
        <v>1472</v>
      </c>
      <c r="Q197" s="61" t="s">
        <v>460</v>
      </c>
      <c r="R197" s="61" t="s">
        <v>1473</v>
      </c>
      <c r="S197" s="61" t="s">
        <v>1474</v>
      </c>
      <c r="T197" s="61" t="s">
        <v>31</v>
      </c>
      <c r="U197" s="61" t="s">
        <v>461</v>
      </c>
      <c r="V197" s="61" t="s">
        <v>462</v>
      </c>
      <c r="W197" s="62">
        <v>43241</v>
      </c>
      <c r="X197" s="37" t="s">
        <v>30</v>
      </c>
      <c r="Y197" s="37">
        <v>1</v>
      </c>
      <c r="Z197" s="37" t="s">
        <v>279</v>
      </c>
      <c r="AA197" s="37" t="s">
        <v>463</v>
      </c>
      <c r="AB197" s="37" t="s">
        <v>513</v>
      </c>
      <c r="AC197" s="61"/>
      <c r="AD197" s="34"/>
      <c r="AE197" s="98" t="s">
        <v>28</v>
      </c>
      <c r="AF197" s="36">
        <v>44191</v>
      </c>
      <c r="AG197" s="36">
        <v>44191</v>
      </c>
      <c r="AH197" s="37"/>
      <c r="AI197" s="72">
        <v>44185</v>
      </c>
      <c r="AJ197" s="38" t="s">
        <v>27</v>
      </c>
      <c r="AK197" s="39" t="e">
        <f>VLOOKUP(A197,'[1]Externe MAJ Nov'!$A:$H,8,0)</f>
        <v>#N/A</v>
      </c>
      <c r="AL197" s="61"/>
      <c r="AM197" s="61"/>
      <c r="AN197" s="61"/>
      <c r="AO197" s="58">
        <v>44185</v>
      </c>
      <c r="AP197" s="29" t="e">
        <f>VLOOKUP(A197,'[2]External Scan 02_21'!$B:$J,9,0)</f>
        <v>#N/A</v>
      </c>
      <c r="AQ197" s="29" t="s">
        <v>28</v>
      </c>
      <c r="AR197" s="21"/>
      <c r="AS197" s="21" t="str">
        <f>VLOOKUP(AE197,'ref statu'!A:B,2,0)</f>
        <v>Fixed</v>
      </c>
      <c r="AT197" s="8" t="e">
        <f>VLOOKUP(A197,chk!A:B,2,0)</f>
        <v>#N/A</v>
      </c>
      <c r="AU197" s="29" t="e">
        <f>VLOOKUP(A197,checker!A:B,2,0)</f>
        <v>#N/A</v>
      </c>
      <c r="AV197" s="29" t="e">
        <f>VLOOKUP(A197,checker!B:C,2,0)</f>
        <v>#N/A</v>
      </c>
    </row>
    <row r="198" spans="1:48" x14ac:dyDescent="0.3">
      <c r="A198" s="29" t="str">
        <f t="shared" si="3"/>
        <v>96.692.66.646/0/oracle_linux-cve-2018-3646</v>
      </c>
      <c r="B198" s="61" t="s">
        <v>2997</v>
      </c>
      <c r="C198" s="61" t="s">
        <v>528</v>
      </c>
      <c r="D198" s="61" t="s">
        <v>2964</v>
      </c>
      <c r="E198" s="61" t="s">
        <v>28</v>
      </c>
      <c r="F198" s="61" t="s">
        <v>529</v>
      </c>
      <c r="G198" s="61" t="s">
        <v>530</v>
      </c>
      <c r="H198" s="61" t="s">
        <v>531</v>
      </c>
      <c r="I198" s="37" t="s">
        <v>532</v>
      </c>
      <c r="J198" s="37">
        <v>0</v>
      </c>
      <c r="K198" s="61" t="s">
        <v>258</v>
      </c>
      <c r="L198" s="61" t="s">
        <v>31</v>
      </c>
      <c r="M198" s="9">
        <v>5</v>
      </c>
      <c r="N198" s="9" t="s">
        <v>29</v>
      </c>
      <c r="O198" s="61" t="s">
        <v>1475</v>
      </c>
      <c r="P198" s="61" t="s">
        <v>1476</v>
      </c>
      <c r="Q198" s="61" t="s">
        <v>449</v>
      </c>
      <c r="R198" s="61" t="s">
        <v>1350</v>
      </c>
      <c r="S198" s="61" t="s">
        <v>1477</v>
      </c>
      <c r="T198" s="61" t="s">
        <v>31</v>
      </c>
      <c r="U198" s="61" t="s">
        <v>450</v>
      </c>
      <c r="V198" s="61" t="s">
        <v>451</v>
      </c>
      <c r="W198" s="62">
        <v>43327</v>
      </c>
      <c r="X198" s="37" t="s">
        <v>30</v>
      </c>
      <c r="Y198" s="37">
        <v>0</v>
      </c>
      <c r="Z198" s="37" t="s">
        <v>31</v>
      </c>
      <c r="AA198" s="37" t="s">
        <v>31</v>
      </c>
      <c r="AB198" s="37" t="s">
        <v>513</v>
      </c>
      <c r="AC198" s="61"/>
      <c r="AD198" s="33"/>
      <c r="AE198" s="98" t="s">
        <v>28</v>
      </c>
      <c r="AF198" s="36">
        <v>44191</v>
      </c>
      <c r="AG198" s="36">
        <v>44191</v>
      </c>
      <c r="AH198" s="37"/>
      <c r="AI198" s="72">
        <v>44185</v>
      </c>
      <c r="AJ198" s="38" t="s">
        <v>27</v>
      </c>
      <c r="AK198" s="39" t="e">
        <f>VLOOKUP(A198,'[1]Externe MAJ Nov'!$A:$H,8,0)</f>
        <v>#N/A</v>
      </c>
      <c r="AL198" s="61"/>
      <c r="AM198" s="61"/>
      <c r="AN198" s="61"/>
      <c r="AO198" s="58">
        <v>44185</v>
      </c>
      <c r="AP198" s="29" t="e">
        <f>VLOOKUP(A198,'[2]External Scan 02_21'!$B:$J,9,0)</f>
        <v>#N/A</v>
      </c>
      <c r="AQ198" s="29" t="s">
        <v>28</v>
      </c>
      <c r="AR198" s="21"/>
      <c r="AS198" s="21" t="str">
        <f>VLOOKUP(AE198,'ref statu'!A:B,2,0)</f>
        <v>Fixed</v>
      </c>
      <c r="AT198" s="8" t="e">
        <f>VLOOKUP(A198,chk!A:B,2,0)</f>
        <v>#N/A</v>
      </c>
      <c r="AU198" s="29" t="e">
        <f>VLOOKUP(A198,checker!A:B,2,0)</f>
        <v>#N/A</v>
      </c>
      <c r="AV198" s="29" t="e">
        <f>VLOOKUP(A198,checker!B:C,2,0)</f>
        <v>#N/A</v>
      </c>
    </row>
    <row r="199" spans="1:48" x14ac:dyDescent="0.3">
      <c r="A199" s="29" t="str">
        <f t="shared" si="3"/>
        <v>96.692.66.646/0/oracle_linux-cve-2018-3665</v>
      </c>
      <c r="B199" s="61" t="s">
        <v>2997</v>
      </c>
      <c r="C199" s="61" t="s">
        <v>528</v>
      </c>
      <c r="D199" s="61" t="s">
        <v>2964</v>
      </c>
      <c r="E199" s="61" t="s">
        <v>28</v>
      </c>
      <c r="F199" s="61" t="s">
        <v>529</v>
      </c>
      <c r="G199" s="61" t="s">
        <v>530</v>
      </c>
      <c r="H199" s="61" t="s">
        <v>531</v>
      </c>
      <c r="I199" s="37" t="s">
        <v>532</v>
      </c>
      <c r="J199" s="37">
        <v>0</v>
      </c>
      <c r="K199" s="61" t="s">
        <v>258</v>
      </c>
      <c r="L199" s="61" t="s">
        <v>31</v>
      </c>
      <c r="M199" s="9">
        <v>5</v>
      </c>
      <c r="N199" s="9" t="s">
        <v>29</v>
      </c>
      <c r="O199" s="61" t="s">
        <v>1478</v>
      </c>
      <c r="P199" s="61" t="s">
        <v>1479</v>
      </c>
      <c r="Q199" s="61" t="s">
        <v>1480</v>
      </c>
      <c r="R199" s="61" t="s">
        <v>606</v>
      </c>
      <c r="S199" s="61" t="s">
        <v>1481</v>
      </c>
      <c r="T199" s="61" t="s">
        <v>31</v>
      </c>
      <c r="U199" s="61" t="s">
        <v>1482</v>
      </c>
      <c r="V199" s="61" t="s">
        <v>1483</v>
      </c>
      <c r="W199" s="62">
        <v>43265</v>
      </c>
      <c r="X199" s="37" t="s">
        <v>30</v>
      </c>
      <c r="Y199" s="37">
        <v>0</v>
      </c>
      <c r="Z199" s="37" t="s">
        <v>31</v>
      </c>
      <c r="AA199" s="37" t="s">
        <v>31</v>
      </c>
      <c r="AB199" s="37" t="s">
        <v>513</v>
      </c>
      <c r="AC199" s="61"/>
      <c r="AD199" s="34"/>
      <c r="AE199" s="98" t="s">
        <v>28</v>
      </c>
      <c r="AF199" s="36">
        <v>44191</v>
      </c>
      <c r="AG199" s="36">
        <v>44191</v>
      </c>
      <c r="AH199" s="37"/>
      <c r="AI199" s="72">
        <v>44185</v>
      </c>
      <c r="AJ199" s="38" t="s">
        <v>27</v>
      </c>
      <c r="AK199" s="39" t="e">
        <f>VLOOKUP(A199,'[1]Externe MAJ Nov'!$A:$H,8,0)</f>
        <v>#N/A</v>
      </c>
      <c r="AL199" s="61"/>
      <c r="AM199" s="61"/>
      <c r="AN199" s="61"/>
      <c r="AO199" s="58">
        <v>44185</v>
      </c>
      <c r="AP199" s="29" t="e">
        <f>VLOOKUP(A199,'[2]External Scan 02_21'!$B:$J,9,0)</f>
        <v>#N/A</v>
      </c>
      <c r="AQ199" s="29" t="s">
        <v>28</v>
      </c>
      <c r="AR199" s="21"/>
      <c r="AS199" s="21" t="str">
        <f>VLOOKUP(AE199,'ref statu'!A:B,2,0)</f>
        <v>Fixed</v>
      </c>
      <c r="AT199" s="8" t="e">
        <f>VLOOKUP(A199,chk!A:B,2,0)</f>
        <v>#N/A</v>
      </c>
      <c r="AU199" s="29" t="e">
        <f>VLOOKUP(A199,checker!A:B,2,0)</f>
        <v>#N/A</v>
      </c>
      <c r="AV199" s="29" t="e">
        <f>VLOOKUP(A199,checker!B:C,2,0)</f>
        <v>#N/A</v>
      </c>
    </row>
    <row r="200" spans="1:48" x14ac:dyDescent="0.3">
      <c r="A200" s="29" t="str">
        <f t="shared" si="3"/>
        <v>96.692.66.646/0/oracle_linux-cve-2018-5332</v>
      </c>
      <c r="B200" s="61" t="s">
        <v>2997</v>
      </c>
      <c r="C200" s="61" t="s">
        <v>528</v>
      </c>
      <c r="D200" s="61" t="s">
        <v>2964</v>
      </c>
      <c r="E200" s="61" t="s">
        <v>28</v>
      </c>
      <c r="F200" s="61" t="s">
        <v>529</v>
      </c>
      <c r="G200" s="61" t="s">
        <v>530</v>
      </c>
      <c r="H200" s="61" t="s">
        <v>531</v>
      </c>
      <c r="I200" s="37" t="s">
        <v>532</v>
      </c>
      <c r="J200" s="37">
        <v>0</v>
      </c>
      <c r="K200" s="61" t="s">
        <v>258</v>
      </c>
      <c r="L200" s="61" t="s">
        <v>31</v>
      </c>
      <c r="M200" s="9">
        <v>7</v>
      </c>
      <c r="N200" s="10" t="s">
        <v>2540</v>
      </c>
      <c r="O200" s="61" t="s">
        <v>1484</v>
      </c>
      <c r="P200" s="61" t="s">
        <v>1485</v>
      </c>
      <c r="Q200" s="61" t="s">
        <v>1486</v>
      </c>
      <c r="R200" s="61" t="s">
        <v>556</v>
      </c>
      <c r="S200" s="61" t="s">
        <v>1487</v>
      </c>
      <c r="T200" s="61" t="s">
        <v>31</v>
      </c>
      <c r="U200" s="61" t="s">
        <v>1488</v>
      </c>
      <c r="V200" s="61" t="s">
        <v>1489</v>
      </c>
      <c r="W200" s="62">
        <v>43111</v>
      </c>
      <c r="X200" s="37" t="s">
        <v>30</v>
      </c>
      <c r="Y200" s="37">
        <v>0</v>
      </c>
      <c r="Z200" s="37" t="s">
        <v>31</v>
      </c>
      <c r="AA200" s="37" t="s">
        <v>31</v>
      </c>
      <c r="AB200" s="37" t="s">
        <v>513</v>
      </c>
      <c r="AC200" s="61"/>
      <c r="AD200" s="34"/>
      <c r="AE200" s="98" t="s">
        <v>28</v>
      </c>
      <c r="AF200" s="36">
        <v>44191</v>
      </c>
      <c r="AG200" s="36">
        <v>44191</v>
      </c>
      <c r="AH200" s="37"/>
      <c r="AI200" s="72">
        <v>44185</v>
      </c>
      <c r="AJ200" s="38" t="s">
        <v>27</v>
      </c>
      <c r="AK200" s="39" t="e">
        <f>VLOOKUP(A200,'[1]Externe MAJ Nov'!$A:$H,8,0)</f>
        <v>#N/A</v>
      </c>
      <c r="AL200" s="61"/>
      <c r="AM200" s="61"/>
      <c r="AN200" s="61"/>
      <c r="AO200" s="58">
        <v>44185</v>
      </c>
      <c r="AP200" s="29" t="e">
        <f>VLOOKUP(A200,'[2]External Scan 02_21'!$B:$J,9,0)</f>
        <v>#N/A</v>
      </c>
      <c r="AQ200" s="29" t="s">
        <v>28</v>
      </c>
      <c r="AR200" s="21"/>
      <c r="AS200" s="21" t="str">
        <f>VLOOKUP(AE200,'ref statu'!A:B,2,0)</f>
        <v>Fixed</v>
      </c>
      <c r="AT200" s="8" t="e">
        <f>VLOOKUP(A200,chk!A:B,2,0)</f>
        <v>#N/A</v>
      </c>
      <c r="AU200" s="29" t="e">
        <f>VLOOKUP(A200,checker!A:B,2,0)</f>
        <v>#N/A</v>
      </c>
      <c r="AV200" s="29" t="e">
        <f>VLOOKUP(A200,checker!B:C,2,0)</f>
        <v>#N/A</v>
      </c>
    </row>
    <row r="201" spans="1:48" x14ac:dyDescent="0.3">
      <c r="A201" s="29" t="str">
        <f t="shared" si="3"/>
        <v>96.692.66.646/0/oracle_linux-cve-2018-5333</v>
      </c>
      <c r="B201" s="61" t="s">
        <v>2997</v>
      </c>
      <c r="C201" s="61" t="s">
        <v>528</v>
      </c>
      <c r="D201" s="61" t="s">
        <v>2964</v>
      </c>
      <c r="E201" s="61" t="s">
        <v>28</v>
      </c>
      <c r="F201" s="61" t="s">
        <v>529</v>
      </c>
      <c r="G201" s="61" t="s">
        <v>530</v>
      </c>
      <c r="H201" s="61" t="s">
        <v>531</v>
      </c>
      <c r="I201" s="37" t="s">
        <v>532</v>
      </c>
      <c r="J201" s="37">
        <v>0</v>
      </c>
      <c r="K201" s="61" t="s">
        <v>258</v>
      </c>
      <c r="L201" s="61" t="s">
        <v>31</v>
      </c>
      <c r="M201" s="9">
        <v>5</v>
      </c>
      <c r="N201" s="9" t="s">
        <v>29</v>
      </c>
      <c r="O201" s="61" t="s">
        <v>1490</v>
      </c>
      <c r="P201" s="61" t="s">
        <v>1491</v>
      </c>
      <c r="Q201" s="61" t="s">
        <v>1492</v>
      </c>
      <c r="R201" s="61" t="s">
        <v>556</v>
      </c>
      <c r="S201" s="61" t="s">
        <v>1493</v>
      </c>
      <c r="T201" s="61" t="s">
        <v>31</v>
      </c>
      <c r="U201" s="61" t="s">
        <v>1494</v>
      </c>
      <c r="V201" s="61" t="s">
        <v>1495</v>
      </c>
      <c r="W201" s="62">
        <v>43111</v>
      </c>
      <c r="X201" s="37" t="s">
        <v>30</v>
      </c>
      <c r="Y201" s="37">
        <v>1</v>
      </c>
      <c r="Z201" s="37" t="s">
        <v>241</v>
      </c>
      <c r="AA201" s="37" t="s">
        <v>1496</v>
      </c>
      <c r="AB201" s="37" t="s">
        <v>513</v>
      </c>
      <c r="AC201" s="61"/>
      <c r="AD201" s="33"/>
      <c r="AE201" s="98" t="s">
        <v>28</v>
      </c>
      <c r="AF201" s="36">
        <v>44191</v>
      </c>
      <c r="AG201" s="36">
        <v>44191</v>
      </c>
      <c r="AH201" s="37"/>
      <c r="AI201" s="72">
        <v>44185</v>
      </c>
      <c r="AJ201" s="38" t="s">
        <v>27</v>
      </c>
      <c r="AK201" s="39" t="e">
        <f>VLOOKUP(A201,'[1]Externe MAJ Nov'!$A:$H,8,0)</f>
        <v>#N/A</v>
      </c>
      <c r="AL201" s="61"/>
      <c r="AM201" s="61"/>
      <c r="AN201" s="61"/>
      <c r="AO201" s="58">
        <v>44185</v>
      </c>
      <c r="AP201" s="29" t="e">
        <f>VLOOKUP(A201,'[2]External Scan 02_21'!$B:$J,9,0)</f>
        <v>#N/A</v>
      </c>
      <c r="AQ201" s="29" t="s">
        <v>28</v>
      </c>
      <c r="AR201" s="21"/>
      <c r="AS201" s="21" t="str">
        <f>VLOOKUP(AE201,'ref statu'!A:B,2,0)</f>
        <v>Fixed</v>
      </c>
      <c r="AT201" s="8" t="e">
        <f>VLOOKUP(A201,chk!A:B,2,0)</f>
        <v>#N/A</v>
      </c>
      <c r="AU201" s="29" t="e">
        <f>VLOOKUP(A201,checker!A:B,2,0)</f>
        <v>#N/A</v>
      </c>
      <c r="AV201" s="29" t="e">
        <f>VLOOKUP(A201,checker!B:C,2,0)</f>
        <v>#N/A</v>
      </c>
    </row>
    <row r="202" spans="1:48" x14ac:dyDescent="0.3">
      <c r="A202" s="29" t="str">
        <f t="shared" si="3"/>
        <v>96.692.66.646/0/oracle_linux-cve-2018-5390</v>
      </c>
      <c r="B202" s="61" t="s">
        <v>2997</v>
      </c>
      <c r="C202" s="61" t="s">
        <v>528</v>
      </c>
      <c r="D202" s="61" t="s">
        <v>2964</v>
      </c>
      <c r="E202" s="61" t="s">
        <v>28</v>
      </c>
      <c r="F202" s="61" t="s">
        <v>529</v>
      </c>
      <c r="G202" s="61" t="s">
        <v>530</v>
      </c>
      <c r="H202" s="61" t="s">
        <v>531</v>
      </c>
      <c r="I202" s="37" t="s">
        <v>532</v>
      </c>
      <c r="J202" s="37">
        <v>0</v>
      </c>
      <c r="K202" s="61" t="s">
        <v>258</v>
      </c>
      <c r="L202" s="61" t="s">
        <v>31</v>
      </c>
      <c r="M202" s="9">
        <v>8</v>
      </c>
      <c r="N202" s="10" t="s">
        <v>2540</v>
      </c>
      <c r="O202" s="61" t="s">
        <v>1497</v>
      </c>
      <c r="P202" s="61" t="s">
        <v>1498</v>
      </c>
      <c r="Q202" s="61" t="s">
        <v>1499</v>
      </c>
      <c r="R202" s="61" t="s">
        <v>1350</v>
      </c>
      <c r="S202" s="61" t="s">
        <v>1500</v>
      </c>
      <c r="T202" s="61" t="s">
        <v>31</v>
      </c>
      <c r="U202" s="61" t="s">
        <v>1501</v>
      </c>
      <c r="V202" s="61" t="s">
        <v>1502</v>
      </c>
      <c r="W202" s="62">
        <v>43318</v>
      </c>
      <c r="X202" s="37" t="s">
        <v>30</v>
      </c>
      <c r="Y202" s="37">
        <v>0</v>
      </c>
      <c r="Z202" s="37" t="s">
        <v>31</v>
      </c>
      <c r="AA202" s="37" t="s">
        <v>31</v>
      </c>
      <c r="AB202" s="37" t="s">
        <v>513</v>
      </c>
      <c r="AC202" s="61"/>
      <c r="AD202" s="34"/>
      <c r="AE202" s="98" t="s">
        <v>28</v>
      </c>
      <c r="AF202" s="36">
        <v>44191</v>
      </c>
      <c r="AG202" s="36">
        <v>44191</v>
      </c>
      <c r="AH202" s="37"/>
      <c r="AI202" s="72">
        <v>44185</v>
      </c>
      <c r="AJ202" s="38" t="s">
        <v>27</v>
      </c>
      <c r="AK202" s="39" t="e">
        <f>VLOOKUP(A202,'[1]Externe MAJ Nov'!$A:$H,8,0)</f>
        <v>#N/A</v>
      </c>
      <c r="AL202" s="61"/>
      <c r="AM202" s="61"/>
      <c r="AN202" s="61"/>
      <c r="AO202" s="58">
        <v>44185</v>
      </c>
      <c r="AP202" s="29" t="e">
        <f>VLOOKUP(A202,'[2]External Scan 02_21'!$B:$J,9,0)</f>
        <v>#N/A</v>
      </c>
      <c r="AQ202" s="29" t="s">
        <v>28</v>
      </c>
      <c r="AR202" s="21"/>
      <c r="AS202" s="21" t="str">
        <f>VLOOKUP(AE202,'ref statu'!A:B,2,0)</f>
        <v>Fixed</v>
      </c>
      <c r="AT202" s="8" t="e">
        <f>VLOOKUP(A202,chk!A:B,2,0)</f>
        <v>#N/A</v>
      </c>
      <c r="AU202" s="29" t="e">
        <f>VLOOKUP(A202,checker!A:B,2,0)</f>
        <v>#N/A</v>
      </c>
      <c r="AV202" s="29" t="e">
        <f>VLOOKUP(A202,checker!B:C,2,0)</f>
        <v>#N/A</v>
      </c>
    </row>
    <row r="203" spans="1:48" x14ac:dyDescent="0.3">
      <c r="A203" s="29" t="str">
        <f t="shared" si="3"/>
        <v>96.692.66.646/0/oracle_linux-cve-2018-5391</v>
      </c>
      <c r="B203" s="61" t="s">
        <v>2997</v>
      </c>
      <c r="C203" s="61" t="s">
        <v>528</v>
      </c>
      <c r="D203" s="61" t="s">
        <v>2964</v>
      </c>
      <c r="E203" s="61" t="s">
        <v>28</v>
      </c>
      <c r="F203" s="61" t="s">
        <v>529</v>
      </c>
      <c r="G203" s="61" t="s">
        <v>530</v>
      </c>
      <c r="H203" s="61" t="s">
        <v>531</v>
      </c>
      <c r="I203" s="37" t="s">
        <v>532</v>
      </c>
      <c r="J203" s="37">
        <v>0</v>
      </c>
      <c r="K203" s="61" t="s">
        <v>258</v>
      </c>
      <c r="L203" s="61" t="s">
        <v>31</v>
      </c>
      <c r="M203" s="9">
        <v>8</v>
      </c>
      <c r="N203" s="10" t="s">
        <v>2540</v>
      </c>
      <c r="O203" s="61" t="s">
        <v>1503</v>
      </c>
      <c r="P203" s="61" t="s">
        <v>1504</v>
      </c>
      <c r="Q203" s="61" t="s">
        <v>1505</v>
      </c>
      <c r="R203" s="61" t="s">
        <v>1350</v>
      </c>
      <c r="S203" s="61" t="s">
        <v>1506</v>
      </c>
      <c r="T203" s="61" t="s">
        <v>31</v>
      </c>
      <c r="U203" s="61" t="s">
        <v>1507</v>
      </c>
      <c r="V203" s="61" t="s">
        <v>1508</v>
      </c>
      <c r="W203" s="62">
        <v>43326</v>
      </c>
      <c r="X203" s="37" t="s">
        <v>30</v>
      </c>
      <c r="Y203" s="37">
        <v>0</v>
      </c>
      <c r="Z203" s="37" t="s">
        <v>31</v>
      </c>
      <c r="AA203" s="37" t="s">
        <v>31</v>
      </c>
      <c r="AB203" s="37" t="s">
        <v>513</v>
      </c>
      <c r="AC203" s="61"/>
      <c r="AD203" s="34"/>
      <c r="AE203" s="98" t="s">
        <v>28</v>
      </c>
      <c r="AF203" s="36">
        <v>44191</v>
      </c>
      <c r="AG203" s="36">
        <v>44191</v>
      </c>
      <c r="AH203" s="37"/>
      <c r="AI203" s="72">
        <v>44185</v>
      </c>
      <c r="AJ203" s="38" t="s">
        <v>27</v>
      </c>
      <c r="AK203" s="39" t="e">
        <f>VLOOKUP(A203,'[1]Externe MAJ Nov'!$A:$H,8,0)</f>
        <v>#N/A</v>
      </c>
      <c r="AL203" s="61"/>
      <c r="AM203" s="61"/>
      <c r="AN203" s="61"/>
      <c r="AO203" s="58">
        <v>44185</v>
      </c>
      <c r="AP203" s="29" t="e">
        <f>VLOOKUP(A203,'[2]External Scan 02_21'!$B:$J,9,0)</f>
        <v>#N/A</v>
      </c>
      <c r="AQ203" s="29" t="s">
        <v>28</v>
      </c>
      <c r="AR203" s="21"/>
      <c r="AS203" s="21" t="str">
        <f>VLOOKUP(AE203,'ref statu'!A:B,2,0)</f>
        <v>Fixed</v>
      </c>
      <c r="AT203" s="8" t="e">
        <f>VLOOKUP(A203,chk!A:B,2,0)</f>
        <v>#N/A</v>
      </c>
      <c r="AU203" s="29" t="e">
        <f>VLOOKUP(A203,checker!A:B,2,0)</f>
        <v>#N/A</v>
      </c>
      <c r="AV203" s="29" t="e">
        <f>VLOOKUP(A203,checker!B:C,2,0)</f>
        <v>#N/A</v>
      </c>
    </row>
    <row r="204" spans="1:48" x14ac:dyDescent="0.3">
      <c r="A204" s="29" t="str">
        <f t="shared" si="3"/>
        <v>96.692.66.646/0/oracle_linux-cve-2018-5750</v>
      </c>
      <c r="B204" s="61" t="s">
        <v>2997</v>
      </c>
      <c r="C204" s="61" t="s">
        <v>528</v>
      </c>
      <c r="D204" s="61" t="s">
        <v>2964</v>
      </c>
      <c r="E204" s="61" t="s">
        <v>28</v>
      </c>
      <c r="F204" s="61" t="s">
        <v>529</v>
      </c>
      <c r="G204" s="61" t="s">
        <v>530</v>
      </c>
      <c r="H204" s="61" t="s">
        <v>531</v>
      </c>
      <c r="I204" s="37" t="s">
        <v>532</v>
      </c>
      <c r="J204" s="37">
        <v>0</v>
      </c>
      <c r="K204" s="61" t="s">
        <v>258</v>
      </c>
      <c r="L204" s="61" t="s">
        <v>31</v>
      </c>
      <c r="M204" s="9">
        <v>2</v>
      </c>
      <c r="N204" s="9" t="s">
        <v>42</v>
      </c>
      <c r="O204" s="61" t="s">
        <v>1509</v>
      </c>
      <c r="P204" s="61" t="s">
        <v>1510</v>
      </c>
      <c r="Q204" s="61" t="s">
        <v>1511</v>
      </c>
      <c r="R204" s="61" t="s">
        <v>668</v>
      </c>
      <c r="S204" s="61" t="s">
        <v>1512</v>
      </c>
      <c r="T204" s="61" t="s">
        <v>31</v>
      </c>
      <c r="U204" s="61" t="s">
        <v>1513</v>
      </c>
      <c r="V204" s="61" t="s">
        <v>1514</v>
      </c>
      <c r="W204" s="62">
        <v>43126</v>
      </c>
      <c r="X204" s="37" t="s">
        <v>30</v>
      </c>
      <c r="Y204" s="37">
        <v>0</v>
      </c>
      <c r="Z204" s="37" t="s">
        <v>31</v>
      </c>
      <c r="AA204" s="37" t="s">
        <v>31</v>
      </c>
      <c r="AB204" s="37" t="s">
        <v>513</v>
      </c>
      <c r="AC204" s="61"/>
      <c r="AD204" s="33"/>
      <c r="AE204" s="98" t="s">
        <v>28</v>
      </c>
      <c r="AF204" s="36">
        <v>44191</v>
      </c>
      <c r="AG204" s="36">
        <v>44191</v>
      </c>
      <c r="AH204" s="37"/>
      <c r="AI204" s="72">
        <v>44185</v>
      </c>
      <c r="AJ204" s="38" t="s">
        <v>27</v>
      </c>
      <c r="AK204" s="39" t="e">
        <f>VLOOKUP(A204,'[1]Externe MAJ Nov'!$A:$H,8,0)</f>
        <v>#N/A</v>
      </c>
      <c r="AL204" s="61"/>
      <c r="AM204" s="61"/>
      <c r="AN204" s="61"/>
      <c r="AO204" s="58">
        <v>44185</v>
      </c>
      <c r="AP204" s="29" t="e">
        <f>VLOOKUP(A204,'[2]External Scan 02_21'!$B:$J,9,0)</f>
        <v>#N/A</v>
      </c>
      <c r="AQ204" s="29" t="s">
        <v>28</v>
      </c>
      <c r="AR204" s="21"/>
      <c r="AS204" s="21" t="str">
        <f>VLOOKUP(AE204,'ref statu'!A:B,2,0)</f>
        <v>Fixed</v>
      </c>
      <c r="AT204" s="8" t="e">
        <f>VLOOKUP(A204,chk!A:B,2,0)</f>
        <v>#N/A</v>
      </c>
      <c r="AU204" s="29" t="e">
        <f>VLOOKUP(A204,checker!A:B,2,0)</f>
        <v>#N/A</v>
      </c>
      <c r="AV204" s="29" t="e">
        <f>VLOOKUP(A204,checker!B:C,2,0)</f>
        <v>#N/A</v>
      </c>
    </row>
    <row r="205" spans="1:48" x14ac:dyDescent="0.3">
      <c r="A205" s="29" t="str">
        <f t="shared" si="3"/>
        <v>96.692.66.646/0/oracle_linux-cve-2018-5803</v>
      </c>
      <c r="B205" s="61" t="s">
        <v>2997</v>
      </c>
      <c r="C205" s="61" t="s">
        <v>528</v>
      </c>
      <c r="D205" s="61" t="s">
        <v>2964</v>
      </c>
      <c r="E205" s="61" t="s">
        <v>28</v>
      </c>
      <c r="F205" s="61" t="s">
        <v>529</v>
      </c>
      <c r="G205" s="61" t="s">
        <v>530</v>
      </c>
      <c r="H205" s="61" t="s">
        <v>531</v>
      </c>
      <c r="I205" s="37" t="s">
        <v>532</v>
      </c>
      <c r="J205" s="37">
        <v>0</v>
      </c>
      <c r="K205" s="61" t="s">
        <v>258</v>
      </c>
      <c r="L205" s="61" t="s">
        <v>31</v>
      </c>
      <c r="M205" s="9">
        <v>5</v>
      </c>
      <c r="N205" s="9" t="s">
        <v>29</v>
      </c>
      <c r="O205" s="61" t="s">
        <v>1515</v>
      </c>
      <c r="P205" s="61" t="s">
        <v>1516</v>
      </c>
      <c r="Q205" s="61" t="s">
        <v>1517</v>
      </c>
      <c r="R205" s="61" t="s">
        <v>606</v>
      </c>
      <c r="S205" s="61" t="s">
        <v>1518</v>
      </c>
      <c r="T205" s="61" t="s">
        <v>31</v>
      </c>
      <c r="U205" s="61" t="s">
        <v>1519</v>
      </c>
      <c r="V205" s="61" t="s">
        <v>1520</v>
      </c>
      <c r="W205" s="62">
        <v>43221</v>
      </c>
      <c r="X205" s="37" t="s">
        <v>30</v>
      </c>
      <c r="Y205" s="37">
        <v>0</v>
      </c>
      <c r="Z205" s="37" t="s">
        <v>31</v>
      </c>
      <c r="AA205" s="37" t="s">
        <v>31</v>
      </c>
      <c r="AB205" s="37" t="s">
        <v>513</v>
      </c>
      <c r="AC205" s="61"/>
      <c r="AD205" s="34"/>
      <c r="AE205" s="98" t="s">
        <v>28</v>
      </c>
      <c r="AF205" s="36">
        <v>44191</v>
      </c>
      <c r="AG205" s="36">
        <v>44191</v>
      </c>
      <c r="AH205" s="37"/>
      <c r="AI205" s="72">
        <v>44185</v>
      </c>
      <c r="AJ205" s="38" t="s">
        <v>27</v>
      </c>
      <c r="AK205" s="39" t="e">
        <f>VLOOKUP(A205,'[1]Externe MAJ Nov'!$A:$H,8,0)</f>
        <v>#N/A</v>
      </c>
      <c r="AL205" s="61"/>
      <c r="AM205" s="61"/>
      <c r="AN205" s="61"/>
      <c r="AO205" s="58">
        <v>44185</v>
      </c>
      <c r="AP205" s="29" t="e">
        <f>VLOOKUP(A205,'[2]External Scan 02_21'!$B:$J,9,0)</f>
        <v>#N/A</v>
      </c>
      <c r="AQ205" s="29" t="s">
        <v>28</v>
      </c>
      <c r="AR205" s="21"/>
      <c r="AS205" s="21" t="str">
        <f>VLOOKUP(AE205,'ref statu'!A:B,2,0)</f>
        <v>Fixed</v>
      </c>
      <c r="AT205" s="8" t="e">
        <f>VLOOKUP(A205,chk!A:B,2,0)</f>
        <v>#N/A</v>
      </c>
      <c r="AU205" s="29" t="e">
        <f>VLOOKUP(A205,checker!A:B,2,0)</f>
        <v>#N/A</v>
      </c>
      <c r="AV205" s="29" t="e">
        <f>VLOOKUP(A205,checker!B:C,2,0)</f>
        <v>#N/A</v>
      </c>
    </row>
    <row r="206" spans="1:48" x14ac:dyDescent="0.3">
      <c r="A206" s="29" t="str">
        <f t="shared" si="3"/>
        <v>96.692.66.646/0/oracle_linux-cve-2018-5873</v>
      </c>
      <c r="B206" s="61" t="s">
        <v>2997</v>
      </c>
      <c r="C206" s="61" t="s">
        <v>528</v>
      </c>
      <c r="D206" s="61" t="s">
        <v>2964</v>
      </c>
      <c r="E206" s="61" t="s">
        <v>28</v>
      </c>
      <c r="F206" s="61" t="s">
        <v>529</v>
      </c>
      <c r="G206" s="61" t="s">
        <v>530</v>
      </c>
      <c r="H206" s="61" t="s">
        <v>531</v>
      </c>
      <c r="I206" s="37" t="s">
        <v>532</v>
      </c>
      <c r="J206" s="37">
        <v>0</v>
      </c>
      <c r="K206" s="61" t="s">
        <v>258</v>
      </c>
      <c r="L206" s="61" t="s">
        <v>31</v>
      </c>
      <c r="M206" s="9">
        <v>7</v>
      </c>
      <c r="N206" s="10" t="s">
        <v>2540</v>
      </c>
      <c r="O206" s="61" t="s">
        <v>1521</v>
      </c>
      <c r="P206" s="61" t="s">
        <v>1522</v>
      </c>
      <c r="Q206" s="61" t="s">
        <v>1523</v>
      </c>
      <c r="R206" s="61" t="s">
        <v>536</v>
      </c>
      <c r="S206" s="61" t="s">
        <v>1524</v>
      </c>
      <c r="T206" s="61" t="s">
        <v>31</v>
      </c>
      <c r="U206" s="61" t="s">
        <v>1525</v>
      </c>
      <c r="V206" s="61" t="s">
        <v>1526</v>
      </c>
      <c r="W206" s="62">
        <v>43287</v>
      </c>
      <c r="X206" s="37" t="s">
        <v>30</v>
      </c>
      <c r="Y206" s="37">
        <v>0</v>
      </c>
      <c r="Z206" s="37" t="s">
        <v>31</v>
      </c>
      <c r="AA206" s="37" t="s">
        <v>31</v>
      </c>
      <c r="AB206" s="37" t="s">
        <v>513</v>
      </c>
      <c r="AC206" s="61"/>
      <c r="AD206" s="34"/>
      <c r="AE206" s="98" t="s">
        <v>28</v>
      </c>
      <c r="AF206" s="36">
        <v>44191</v>
      </c>
      <c r="AG206" s="36">
        <v>44191</v>
      </c>
      <c r="AH206" s="37"/>
      <c r="AI206" s="72">
        <v>44185</v>
      </c>
      <c r="AJ206" s="38" t="s">
        <v>27</v>
      </c>
      <c r="AK206" s="39" t="e">
        <f>VLOOKUP(A206,'[1]Externe MAJ Nov'!$A:$H,8,0)</f>
        <v>#N/A</v>
      </c>
      <c r="AL206" s="61"/>
      <c r="AM206" s="61"/>
      <c r="AN206" s="61"/>
      <c r="AO206" s="58">
        <v>44185</v>
      </c>
      <c r="AP206" s="29" t="e">
        <f>VLOOKUP(A206,'[2]External Scan 02_21'!$B:$J,9,0)</f>
        <v>#N/A</v>
      </c>
      <c r="AQ206" s="29" t="s">
        <v>28</v>
      </c>
      <c r="AR206" s="21"/>
      <c r="AS206" s="21" t="str">
        <f>VLOOKUP(AE206,'ref statu'!A:B,2,0)</f>
        <v>Fixed</v>
      </c>
      <c r="AT206" s="8" t="e">
        <f>VLOOKUP(A206,chk!A:B,2,0)</f>
        <v>#N/A</v>
      </c>
      <c r="AU206" s="29" t="e">
        <f>VLOOKUP(A206,checker!A:B,2,0)</f>
        <v>#N/A</v>
      </c>
      <c r="AV206" s="29" t="e">
        <f>VLOOKUP(A206,checker!B:C,2,0)</f>
        <v>#N/A</v>
      </c>
    </row>
    <row r="207" spans="1:48" x14ac:dyDescent="0.3">
      <c r="A207" s="29" t="str">
        <f t="shared" si="3"/>
        <v>96.692.66.646/0/oracle_linux-cve-2018-5953</v>
      </c>
      <c r="B207" s="61" t="s">
        <v>2997</v>
      </c>
      <c r="C207" s="61" t="s">
        <v>528</v>
      </c>
      <c r="D207" s="61" t="s">
        <v>2964</v>
      </c>
      <c r="E207" s="61" t="s">
        <v>28</v>
      </c>
      <c r="F207" s="61" t="s">
        <v>529</v>
      </c>
      <c r="G207" s="61" t="s">
        <v>530</v>
      </c>
      <c r="H207" s="61" t="s">
        <v>531</v>
      </c>
      <c r="I207" s="37" t="s">
        <v>532</v>
      </c>
      <c r="J207" s="37">
        <v>0</v>
      </c>
      <c r="K207" s="61" t="s">
        <v>258</v>
      </c>
      <c r="L207" s="61" t="s">
        <v>31</v>
      </c>
      <c r="M207" s="9">
        <v>2</v>
      </c>
      <c r="N207" s="9" t="s">
        <v>42</v>
      </c>
      <c r="O207" s="61" t="s">
        <v>1527</v>
      </c>
      <c r="P207" s="61" t="s">
        <v>1528</v>
      </c>
      <c r="Q207" s="61" t="s">
        <v>1529</v>
      </c>
      <c r="R207" s="61" t="s">
        <v>556</v>
      </c>
      <c r="S207" s="61" t="s">
        <v>1530</v>
      </c>
      <c r="T207" s="61" t="s">
        <v>31</v>
      </c>
      <c r="U207" s="61" t="s">
        <v>1531</v>
      </c>
      <c r="V207" s="61" t="s">
        <v>1532</v>
      </c>
      <c r="W207" s="62">
        <v>43319</v>
      </c>
      <c r="X207" s="37" t="s">
        <v>30</v>
      </c>
      <c r="Y207" s="37">
        <v>0</v>
      </c>
      <c r="Z207" s="37" t="s">
        <v>31</v>
      </c>
      <c r="AA207" s="37" t="s">
        <v>31</v>
      </c>
      <c r="AB207" s="37" t="s">
        <v>513</v>
      </c>
      <c r="AC207" s="61"/>
      <c r="AD207" s="33"/>
      <c r="AE207" s="98" t="s">
        <v>28</v>
      </c>
      <c r="AF207" s="36">
        <v>44191</v>
      </c>
      <c r="AG207" s="36">
        <v>44191</v>
      </c>
      <c r="AH207" s="37"/>
      <c r="AI207" s="72">
        <v>44185</v>
      </c>
      <c r="AJ207" s="38" t="s">
        <v>27</v>
      </c>
      <c r="AK207" s="39" t="e">
        <f>VLOOKUP(A207,'[1]Externe MAJ Nov'!$A:$H,8,0)</f>
        <v>#N/A</v>
      </c>
      <c r="AL207" s="61"/>
      <c r="AM207" s="61"/>
      <c r="AN207" s="61"/>
      <c r="AO207" s="58">
        <v>44185</v>
      </c>
      <c r="AP207" s="29" t="e">
        <f>VLOOKUP(A207,'[2]External Scan 02_21'!$B:$J,9,0)</f>
        <v>#N/A</v>
      </c>
      <c r="AQ207" s="29" t="s">
        <v>28</v>
      </c>
      <c r="AR207" s="21"/>
      <c r="AS207" s="21" t="str">
        <f>VLOOKUP(AE207,'ref statu'!A:B,2,0)</f>
        <v>Fixed</v>
      </c>
      <c r="AT207" s="8" t="e">
        <f>VLOOKUP(A207,chk!A:B,2,0)</f>
        <v>#N/A</v>
      </c>
      <c r="AU207" s="29" t="e">
        <f>VLOOKUP(A207,checker!A:B,2,0)</f>
        <v>#N/A</v>
      </c>
      <c r="AV207" s="29" t="e">
        <f>VLOOKUP(A207,checker!B:C,2,0)</f>
        <v>#N/A</v>
      </c>
    </row>
    <row r="208" spans="1:48" x14ac:dyDescent="0.3">
      <c r="A208" s="29" t="str">
        <f t="shared" si="3"/>
        <v>96.692.66.646/0/oracle_linux-cve-2018-6927</v>
      </c>
      <c r="B208" s="61" t="s">
        <v>2997</v>
      </c>
      <c r="C208" s="61" t="s">
        <v>528</v>
      </c>
      <c r="D208" s="61" t="s">
        <v>2964</v>
      </c>
      <c r="E208" s="61" t="s">
        <v>28</v>
      </c>
      <c r="F208" s="61" t="s">
        <v>529</v>
      </c>
      <c r="G208" s="61" t="s">
        <v>530</v>
      </c>
      <c r="H208" s="61" t="s">
        <v>531</v>
      </c>
      <c r="I208" s="37" t="s">
        <v>532</v>
      </c>
      <c r="J208" s="37">
        <v>0</v>
      </c>
      <c r="K208" s="61" t="s">
        <v>258</v>
      </c>
      <c r="L208" s="61" t="s">
        <v>31</v>
      </c>
      <c r="M208" s="9">
        <v>5</v>
      </c>
      <c r="N208" s="9" t="s">
        <v>29</v>
      </c>
      <c r="O208" s="61" t="s">
        <v>1533</v>
      </c>
      <c r="P208" s="61" t="s">
        <v>1534</v>
      </c>
      <c r="Q208" s="61" t="s">
        <v>1535</v>
      </c>
      <c r="R208" s="61" t="s">
        <v>668</v>
      </c>
      <c r="S208" s="61" t="s">
        <v>1536</v>
      </c>
      <c r="T208" s="61" t="s">
        <v>31</v>
      </c>
      <c r="U208" s="61" t="s">
        <v>1537</v>
      </c>
      <c r="V208" s="61" t="s">
        <v>1538</v>
      </c>
      <c r="W208" s="62">
        <v>43143</v>
      </c>
      <c r="X208" s="37" t="s">
        <v>30</v>
      </c>
      <c r="Y208" s="37">
        <v>0</v>
      </c>
      <c r="Z208" s="37" t="s">
        <v>31</v>
      </c>
      <c r="AA208" s="37" t="s">
        <v>31</v>
      </c>
      <c r="AB208" s="37" t="s">
        <v>513</v>
      </c>
      <c r="AC208" s="61"/>
      <c r="AD208" s="34"/>
      <c r="AE208" s="98" t="s">
        <v>28</v>
      </c>
      <c r="AF208" s="36">
        <v>44191</v>
      </c>
      <c r="AG208" s="36">
        <v>44191</v>
      </c>
      <c r="AH208" s="37"/>
      <c r="AI208" s="72">
        <v>44185</v>
      </c>
      <c r="AJ208" s="38" t="s">
        <v>27</v>
      </c>
      <c r="AK208" s="39" t="e">
        <f>VLOOKUP(A208,'[1]Externe MAJ Nov'!$A:$H,8,0)</f>
        <v>#N/A</v>
      </c>
      <c r="AL208" s="61"/>
      <c r="AM208" s="61"/>
      <c r="AN208" s="61"/>
      <c r="AO208" s="58">
        <v>44185</v>
      </c>
      <c r="AP208" s="29" t="e">
        <f>VLOOKUP(A208,'[2]External Scan 02_21'!$B:$J,9,0)</f>
        <v>#N/A</v>
      </c>
      <c r="AQ208" s="29" t="s">
        <v>28</v>
      </c>
      <c r="AR208" s="21"/>
      <c r="AS208" s="21" t="str">
        <f>VLOOKUP(AE208,'ref statu'!A:B,2,0)</f>
        <v>Fixed</v>
      </c>
      <c r="AT208" s="8" t="e">
        <f>VLOOKUP(A208,chk!A:B,2,0)</f>
        <v>#N/A</v>
      </c>
      <c r="AU208" s="29" t="e">
        <f>VLOOKUP(A208,checker!A:B,2,0)</f>
        <v>#N/A</v>
      </c>
      <c r="AV208" s="29" t="e">
        <f>VLOOKUP(A208,checker!B:C,2,0)</f>
        <v>#N/A</v>
      </c>
    </row>
    <row r="209" spans="1:48" x14ac:dyDescent="0.3">
      <c r="A209" s="29" t="str">
        <f t="shared" si="3"/>
        <v>96.692.66.646/0/oracle_linux-cve-2018-7191</v>
      </c>
      <c r="B209" s="61" t="s">
        <v>2997</v>
      </c>
      <c r="C209" s="61" t="s">
        <v>528</v>
      </c>
      <c r="D209" s="61" t="s">
        <v>2964</v>
      </c>
      <c r="E209" s="61" t="s">
        <v>28</v>
      </c>
      <c r="F209" s="61" t="s">
        <v>529</v>
      </c>
      <c r="G209" s="61" t="s">
        <v>530</v>
      </c>
      <c r="H209" s="61" t="s">
        <v>531</v>
      </c>
      <c r="I209" s="37" t="s">
        <v>532</v>
      </c>
      <c r="J209" s="37">
        <v>0</v>
      </c>
      <c r="K209" s="61" t="s">
        <v>258</v>
      </c>
      <c r="L209" s="61" t="s">
        <v>31</v>
      </c>
      <c r="M209" s="9">
        <v>5</v>
      </c>
      <c r="N209" s="9" t="s">
        <v>29</v>
      </c>
      <c r="O209" s="61" t="s">
        <v>1539</v>
      </c>
      <c r="P209" s="61" t="s">
        <v>1540</v>
      </c>
      <c r="Q209" s="61" t="s">
        <v>1541</v>
      </c>
      <c r="R209" s="61" t="s">
        <v>606</v>
      </c>
      <c r="S209" s="61" t="s">
        <v>1542</v>
      </c>
      <c r="T209" s="61" t="s">
        <v>31</v>
      </c>
      <c r="U209" s="61" t="s">
        <v>1543</v>
      </c>
      <c r="V209" s="61" t="s">
        <v>1544</v>
      </c>
      <c r="W209" s="62">
        <v>43602</v>
      </c>
      <c r="X209" s="37" t="s">
        <v>30</v>
      </c>
      <c r="Y209" s="37">
        <v>0</v>
      </c>
      <c r="Z209" s="37" t="s">
        <v>31</v>
      </c>
      <c r="AA209" s="37" t="s">
        <v>31</v>
      </c>
      <c r="AB209" s="37" t="s">
        <v>513</v>
      </c>
      <c r="AC209" s="61"/>
      <c r="AD209" s="34"/>
      <c r="AE209" s="98" t="s">
        <v>28</v>
      </c>
      <c r="AF209" s="36">
        <v>44191</v>
      </c>
      <c r="AG209" s="36">
        <v>44191</v>
      </c>
      <c r="AH209" s="37"/>
      <c r="AI209" s="72">
        <v>44185</v>
      </c>
      <c r="AJ209" s="38" t="s">
        <v>27</v>
      </c>
      <c r="AK209" s="39" t="e">
        <f>VLOOKUP(A209,'[1]Externe MAJ Nov'!$A:$H,8,0)</f>
        <v>#N/A</v>
      </c>
      <c r="AL209" s="61"/>
      <c r="AM209" s="61"/>
      <c r="AN209" s="61"/>
      <c r="AO209" s="58">
        <v>44185</v>
      </c>
      <c r="AP209" s="29" t="e">
        <f>VLOOKUP(A209,'[2]External Scan 02_21'!$B:$J,9,0)</f>
        <v>#N/A</v>
      </c>
      <c r="AQ209" s="29" t="s">
        <v>28</v>
      </c>
      <c r="AR209" s="21"/>
      <c r="AS209" s="21" t="str">
        <f>VLOOKUP(AE209,'ref statu'!A:B,2,0)</f>
        <v>Fixed</v>
      </c>
      <c r="AT209" s="8" t="e">
        <f>VLOOKUP(A209,chk!A:B,2,0)</f>
        <v>#N/A</v>
      </c>
      <c r="AU209" s="29" t="e">
        <f>VLOOKUP(A209,checker!A:B,2,0)</f>
        <v>#N/A</v>
      </c>
      <c r="AV209" s="29" t="e">
        <f>VLOOKUP(A209,checker!B:C,2,0)</f>
        <v>#N/A</v>
      </c>
    </row>
    <row r="210" spans="1:48" x14ac:dyDescent="0.3">
      <c r="A210" s="29" t="str">
        <f t="shared" si="3"/>
        <v>96.692.66.646/0/oracle_linux-cve-2018-7566</v>
      </c>
      <c r="B210" s="61" t="s">
        <v>2997</v>
      </c>
      <c r="C210" s="61" t="s">
        <v>528</v>
      </c>
      <c r="D210" s="61" t="s">
        <v>2964</v>
      </c>
      <c r="E210" s="61" t="s">
        <v>28</v>
      </c>
      <c r="F210" s="61" t="s">
        <v>529</v>
      </c>
      <c r="G210" s="61" t="s">
        <v>530</v>
      </c>
      <c r="H210" s="61" t="s">
        <v>531</v>
      </c>
      <c r="I210" s="37" t="s">
        <v>532</v>
      </c>
      <c r="J210" s="37">
        <v>0</v>
      </c>
      <c r="K210" s="61" t="s">
        <v>258</v>
      </c>
      <c r="L210" s="61" t="s">
        <v>31</v>
      </c>
      <c r="M210" s="9">
        <v>5</v>
      </c>
      <c r="N210" s="9" t="s">
        <v>29</v>
      </c>
      <c r="O210" s="61" t="s">
        <v>1545</v>
      </c>
      <c r="P210" s="61" t="s">
        <v>1546</v>
      </c>
      <c r="Q210" s="61" t="s">
        <v>1547</v>
      </c>
      <c r="R210" s="61" t="s">
        <v>606</v>
      </c>
      <c r="S210" s="61" t="s">
        <v>1548</v>
      </c>
      <c r="T210" s="61" t="s">
        <v>31</v>
      </c>
      <c r="U210" s="61" t="s">
        <v>1549</v>
      </c>
      <c r="V210" s="61" t="s">
        <v>1550</v>
      </c>
      <c r="W210" s="62">
        <v>43189</v>
      </c>
      <c r="X210" s="37" t="s">
        <v>30</v>
      </c>
      <c r="Y210" s="37">
        <v>0</v>
      </c>
      <c r="Z210" s="37" t="s">
        <v>31</v>
      </c>
      <c r="AA210" s="37" t="s">
        <v>31</v>
      </c>
      <c r="AB210" s="37" t="s">
        <v>513</v>
      </c>
      <c r="AC210" s="61"/>
      <c r="AD210" s="33"/>
      <c r="AE210" s="98" t="s">
        <v>28</v>
      </c>
      <c r="AF210" s="36">
        <v>44191</v>
      </c>
      <c r="AG210" s="36">
        <v>44191</v>
      </c>
      <c r="AH210" s="37"/>
      <c r="AI210" s="72">
        <v>44185</v>
      </c>
      <c r="AJ210" s="38" t="s">
        <v>27</v>
      </c>
      <c r="AK210" s="39" t="e">
        <f>VLOOKUP(A210,'[1]Externe MAJ Nov'!$A:$H,8,0)</f>
        <v>#N/A</v>
      </c>
      <c r="AL210" s="61"/>
      <c r="AM210" s="61"/>
      <c r="AN210" s="61"/>
      <c r="AO210" s="58">
        <v>44185</v>
      </c>
      <c r="AP210" s="29" t="e">
        <f>VLOOKUP(A210,'[2]External Scan 02_21'!$B:$J,9,0)</f>
        <v>#N/A</v>
      </c>
      <c r="AQ210" s="29" t="s">
        <v>28</v>
      </c>
      <c r="AR210" s="21"/>
      <c r="AS210" s="21" t="str">
        <f>VLOOKUP(AE210,'ref statu'!A:B,2,0)</f>
        <v>Fixed</v>
      </c>
      <c r="AT210" s="8" t="e">
        <f>VLOOKUP(A210,chk!A:B,2,0)</f>
        <v>#N/A</v>
      </c>
      <c r="AU210" s="29" t="e">
        <f>VLOOKUP(A210,checker!A:B,2,0)</f>
        <v>#N/A</v>
      </c>
      <c r="AV210" s="29" t="e">
        <f>VLOOKUP(A210,checker!B:C,2,0)</f>
        <v>#N/A</v>
      </c>
    </row>
    <row r="211" spans="1:48" x14ac:dyDescent="0.3">
      <c r="A211" s="29" t="str">
        <f t="shared" si="3"/>
        <v>96.692.66.646/0/oracle_linux-cve-2018-7755</v>
      </c>
      <c r="B211" s="61" t="s">
        <v>2997</v>
      </c>
      <c r="C211" s="61" t="s">
        <v>528</v>
      </c>
      <c r="D211" s="61" t="s">
        <v>2964</v>
      </c>
      <c r="E211" s="61" t="s">
        <v>28</v>
      </c>
      <c r="F211" s="61" t="s">
        <v>529</v>
      </c>
      <c r="G211" s="61" t="s">
        <v>530</v>
      </c>
      <c r="H211" s="61" t="s">
        <v>531</v>
      </c>
      <c r="I211" s="37" t="s">
        <v>532</v>
      </c>
      <c r="J211" s="37">
        <v>0</v>
      </c>
      <c r="K211" s="61" t="s">
        <v>258</v>
      </c>
      <c r="L211" s="61" t="s">
        <v>31</v>
      </c>
      <c r="M211" s="9">
        <v>2</v>
      </c>
      <c r="N211" s="9" t="s">
        <v>42</v>
      </c>
      <c r="O211" s="61" t="s">
        <v>1551</v>
      </c>
      <c r="P211" s="61" t="s">
        <v>1552</v>
      </c>
      <c r="Q211" s="61" t="s">
        <v>1553</v>
      </c>
      <c r="R211" s="61" t="s">
        <v>1369</v>
      </c>
      <c r="S211" s="61" t="s">
        <v>1554</v>
      </c>
      <c r="T211" s="61" t="s">
        <v>31</v>
      </c>
      <c r="U211" s="61" t="s">
        <v>1555</v>
      </c>
      <c r="V211" s="61" t="s">
        <v>1556</v>
      </c>
      <c r="W211" s="62">
        <v>43167</v>
      </c>
      <c r="X211" s="37" t="s">
        <v>30</v>
      </c>
      <c r="Y211" s="37">
        <v>0</v>
      </c>
      <c r="Z211" s="37" t="s">
        <v>31</v>
      </c>
      <c r="AA211" s="37" t="s">
        <v>31</v>
      </c>
      <c r="AB211" s="37" t="s">
        <v>513</v>
      </c>
      <c r="AC211" s="61"/>
      <c r="AD211" s="34"/>
      <c r="AE211" s="98" t="s">
        <v>28</v>
      </c>
      <c r="AF211" s="36">
        <v>44191</v>
      </c>
      <c r="AG211" s="36">
        <v>44191</v>
      </c>
      <c r="AH211" s="37"/>
      <c r="AI211" s="72">
        <v>44185</v>
      </c>
      <c r="AJ211" s="38" t="s">
        <v>27</v>
      </c>
      <c r="AK211" s="39" t="e">
        <f>VLOOKUP(A211,'[1]Externe MAJ Nov'!$A:$H,8,0)</f>
        <v>#N/A</v>
      </c>
      <c r="AL211" s="61"/>
      <c r="AM211" s="61"/>
      <c r="AN211" s="61"/>
      <c r="AO211" s="58">
        <v>44185</v>
      </c>
      <c r="AP211" s="29" t="e">
        <f>VLOOKUP(A211,'[2]External Scan 02_21'!$B:$J,9,0)</f>
        <v>#N/A</v>
      </c>
      <c r="AQ211" s="29" t="s">
        <v>28</v>
      </c>
      <c r="AR211" s="21"/>
      <c r="AS211" s="21" t="str">
        <f>VLOOKUP(AE211,'ref statu'!A:B,2,0)</f>
        <v>Fixed</v>
      </c>
      <c r="AT211" s="8" t="e">
        <f>VLOOKUP(A211,chk!A:B,2,0)</f>
        <v>#N/A</v>
      </c>
      <c r="AU211" s="29" t="e">
        <f>VLOOKUP(A211,checker!A:B,2,0)</f>
        <v>#N/A</v>
      </c>
      <c r="AV211" s="29" t="e">
        <f>VLOOKUP(A211,checker!B:C,2,0)</f>
        <v>#N/A</v>
      </c>
    </row>
    <row r="212" spans="1:48" x14ac:dyDescent="0.3">
      <c r="A212" s="29" t="str">
        <f t="shared" si="3"/>
        <v>96.692.66.646/0/oracle_linux-cve-2018-7757</v>
      </c>
      <c r="B212" s="61" t="s">
        <v>2997</v>
      </c>
      <c r="C212" s="61" t="s">
        <v>528</v>
      </c>
      <c r="D212" s="61" t="s">
        <v>2964</v>
      </c>
      <c r="E212" s="61" t="s">
        <v>28</v>
      </c>
      <c r="F212" s="61" t="s">
        <v>529</v>
      </c>
      <c r="G212" s="61" t="s">
        <v>530</v>
      </c>
      <c r="H212" s="61" t="s">
        <v>531</v>
      </c>
      <c r="I212" s="37" t="s">
        <v>532</v>
      </c>
      <c r="J212" s="37">
        <v>0</v>
      </c>
      <c r="K212" s="61" t="s">
        <v>258</v>
      </c>
      <c r="L212" s="61" t="s">
        <v>31</v>
      </c>
      <c r="M212" s="9">
        <v>2</v>
      </c>
      <c r="N212" s="9" t="s">
        <v>42</v>
      </c>
      <c r="O212" s="61" t="s">
        <v>1557</v>
      </c>
      <c r="P212" s="61" t="s">
        <v>1558</v>
      </c>
      <c r="Q212" s="61" t="s">
        <v>1559</v>
      </c>
      <c r="R212" s="61" t="s">
        <v>606</v>
      </c>
      <c r="S212" s="61" t="s">
        <v>1560</v>
      </c>
      <c r="T212" s="61" t="s">
        <v>31</v>
      </c>
      <c r="U212" s="61" t="s">
        <v>1561</v>
      </c>
      <c r="V212" s="61" t="s">
        <v>1562</v>
      </c>
      <c r="W212" s="62">
        <v>43167</v>
      </c>
      <c r="X212" s="37" t="s">
        <v>30</v>
      </c>
      <c r="Y212" s="37">
        <v>0</v>
      </c>
      <c r="Z212" s="37" t="s">
        <v>31</v>
      </c>
      <c r="AA212" s="37" t="s">
        <v>31</v>
      </c>
      <c r="AB212" s="37" t="s">
        <v>513</v>
      </c>
      <c r="AC212" s="61"/>
      <c r="AD212" s="34"/>
      <c r="AE212" s="98" t="s">
        <v>28</v>
      </c>
      <c r="AF212" s="36">
        <v>44191</v>
      </c>
      <c r="AG212" s="36">
        <v>44191</v>
      </c>
      <c r="AH212" s="37"/>
      <c r="AI212" s="72">
        <v>44185</v>
      </c>
      <c r="AJ212" s="38" t="s">
        <v>27</v>
      </c>
      <c r="AK212" s="39" t="e">
        <f>VLOOKUP(A212,'[1]Externe MAJ Nov'!$A:$H,8,0)</f>
        <v>#N/A</v>
      </c>
      <c r="AL212" s="61"/>
      <c r="AM212" s="61"/>
      <c r="AN212" s="61"/>
      <c r="AO212" s="58">
        <v>44185</v>
      </c>
      <c r="AP212" s="29" t="e">
        <f>VLOOKUP(A212,'[2]External Scan 02_21'!$B:$J,9,0)</f>
        <v>#N/A</v>
      </c>
      <c r="AQ212" s="29" t="s">
        <v>28</v>
      </c>
      <c r="AR212" s="21"/>
      <c r="AS212" s="21" t="str">
        <f>VLOOKUP(AE212,'ref statu'!A:B,2,0)</f>
        <v>Fixed</v>
      </c>
      <c r="AT212" s="8" t="e">
        <f>VLOOKUP(A212,chk!A:B,2,0)</f>
        <v>#N/A</v>
      </c>
      <c r="AU212" s="29" t="e">
        <f>VLOOKUP(A212,checker!A:B,2,0)</f>
        <v>#N/A</v>
      </c>
      <c r="AV212" s="29" t="e">
        <f>VLOOKUP(A212,checker!B:C,2,0)</f>
        <v>#N/A</v>
      </c>
    </row>
    <row r="213" spans="1:48" x14ac:dyDescent="0.3">
      <c r="A213" s="29" t="str">
        <f t="shared" si="3"/>
        <v>96.692.66.646/0/oracle_linux-cve-2018-7995</v>
      </c>
      <c r="B213" s="61" t="s">
        <v>2997</v>
      </c>
      <c r="C213" s="61" t="s">
        <v>528</v>
      </c>
      <c r="D213" s="61" t="s">
        <v>2964</v>
      </c>
      <c r="E213" s="61" t="s">
        <v>28</v>
      </c>
      <c r="F213" s="61" t="s">
        <v>529</v>
      </c>
      <c r="G213" s="61" t="s">
        <v>530</v>
      </c>
      <c r="H213" s="61" t="s">
        <v>531</v>
      </c>
      <c r="I213" s="37" t="s">
        <v>532</v>
      </c>
      <c r="J213" s="37">
        <v>0</v>
      </c>
      <c r="K213" s="61" t="s">
        <v>258</v>
      </c>
      <c r="L213" s="61" t="s">
        <v>31</v>
      </c>
      <c r="M213" s="9">
        <v>5</v>
      </c>
      <c r="N213" s="9" t="s">
        <v>29</v>
      </c>
      <c r="O213" s="61" t="s">
        <v>1563</v>
      </c>
      <c r="P213" s="61" t="s">
        <v>1564</v>
      </c>
      <c r="Q213" s="61" t="s">
        <v>1565</v>
      </c>
      <c r="R213" s="61" t="s">
        <v>556</v>
      </c>
      <c r="S213" s="61" t="s">
        <v>1566</v>
      </c>
      <c r="T213" s="61" t="s">
        <v>31</v>
      </c>
      <c r="U213" s="61" t="s">
        <v>1567</v>
      </c>
      <c r="V213" s="61" t="s">
        <v>1568</v>
      </c>
      <c r="W213" s="62">
        <v>43168</v>
      </c>
      <c r="X213" s="37" t="s">
        <v>30</v>
      </c>
      <c r="Y213" s="37">
        <v>0</v>
      </c>
      <c r="Z213" s="37" t="s">
        <v>31</v>
      </c>
      <c r="AA213" s="37" t="s">
        <v>31</v>
      </c>
      <c r="AB213" s="37" t="s">
        <v>513</v>
      </c>
      <c r="AC213" s="61"/>
      <c r="AD213" s="33"/>
      <c r="AE213" s="98" t="s">
        <v>28</v>
      </c>
      <c r="AF213" s="36">
        <v>44191</v>
      </c>
      <c r="AG213" s="36">
        <v>44191</v>
      </c>
      <c r="AH213" s="37"/>
      <c r="AI213" s="72">
        <v>44185</v>
      </c>
      <c r="AJ213" s="38" t="s">
        <v>27</v>
      </c>
      <c r="AK213" s="39" t="e">
        <f>VLOOKUP(A213,'[1]Externe MAJ Nov'!$A:$H,8,0)</f>
        <v>#N/A</v>
      </c>
      <c r="AL213" s="61"/>
      <c r="AM213" s="61"/>
      <c r="AN213" s="61"/>
      <c r="AO213" s="58">
        <v>44185</v>
      </c>
      <c r="AP213" s="29" t="e">
        <f>VLOOKUP(A213,'[2]External Scan 02_21'!$B:$J,9,0)</f>
        <v>#N/A</v>
      </c>
      <c r="AQ213" s="29" t="s">
        <v>28</v>
      </c>
      <c r="AR213" s="21"/>
      <c r="AS213" s="21" t="str">
        <f>VLOOKUP(AE213,'ref statu'!A:B,2,0)</f>
        <v>Fixed</v>
      </c>
      <c r="AT213" s="8" t="e">
        <f>VLOOKUP(A213,chk!A:B,2,0)</f>
        <v>#N/A</v>
      </c>
      <c r="AU213" s="29" t="e">
        <f>VLOOKUP(A213,checker!A:B,2,0)</f>
        <v>#N/A</v>
      </c>
      <c r="AV213" s="29" t="e">
        <f>VLOOKUP(A213,checker!B:C,2,0)</f>
        <v>#N/A</v>
      </c>
    </row>
    <row r="214" spans="1:48" x14ac:dyDescent="0.3">
      <c r="A214" s="29" t="str">
        <f t="shared" si="3"/>
        <v>96.692.66.646/0/oracle_linux-cve-2018-8043</v>
      </c>
      <c r="B214" s="61" t="s">
        <v>2997</v>
      </c>
      <c r="C214" s="61" t="s">
        <v>528</v>
      </c>
      <c r="D214" s="61" t="s">
        <v>2964</v>
      </c>
      <c r="E214" s="61" t="s">
        <v>28</v>
      </c>
      <c r="F214" s="61" t="s">
        <v>529</v>
      </c>
      <c r="G214" s="61" t="s">
        <v>530</v>
      </c>
      <c r="H214" s="61" t="s">
        <v>531</v>
      </c>
      <c r="I214" s="37" t="s">
        <v>532</v>
      </c>
      <c r="J214" s="37">
        <v>0</v>
      </c>
      <c r="K214" s="61" t="s">
        <v>258</v>
      </c>
      <c r="L214" s="61" t="s">
        <v>31</v>
      </c>
      <c r="M214" s="9">
        <v>2</v>
      </c>
      <c r="N214" s="9" t="s">
        <v>42</v>
      </c>
      <c r="O214" s="61" t="s">
        <v>1569</v>
      </c>
      <c r="P214" s="61" t="s">
        <v>1570</v>
      </c>
      <c r="Q214" s="61" t="s">
        <v>1571</v>
      </c>
      <c r="R214" s="61" t="s">
        <v>1343</v>
      </c>
      <c r="S214" s="61" t="s">
        <v>1572</v>
      </c>
      <c r="T214" s="61" t="s">
        <v>31</v>
      </c>
      <c r="U214" s="61" t="s">
        <v>1573</v>
      </c>
      <c r="V214" s="61" t="s">
        <v>1574</v>
      </c>
      <c r="W214" s="62">
        <v>43169</v>
      </c>
      <c r="X214" s="37" t="s">
        <v>30</v>
      </c>
      <c r="Y214" s="37">
        <v>0</v>
      </c>
      <c r="Z214" s="37" t="s">
        <v>31</v>
      </c>
      <c r="AA214" s="37" t="s">
        <v>31</v>
      </c>
      <c r="AB214" s="37" t="s">
        <v>513</v>
      </c>
      <c r="AC214" s="61"/>
      <c r="AD214" s="34"/>
      <c r="AE214" s="98" t="s">
        <v>28</v>
      </c>
      <c r="AF214" s="36">
        <v>44191</v>
      </c>
      <c r="AG214" s="36">
        <v>44191</v>
      </c>
      <c r="AH214" s="37"/>
      <c r="AI214" s="72">
        <v>44185</v>
      </c>
      <c r="AJ214" s="38" t="s">
        <v>27</v>
      </c>
      <c r="AK214" s="39" t="e">
        <f>VLOOKUP(A214,'[1]Externe MAJ Nov'!$A:$H,8,0)</f>
        <v>#N/A</v>
      </c>
      <c r="AL214" s="61"/>
      <c r="AM214" s="61"/>
      <c r="AN214" s="61"/>
      <c r="AO214" s="58">
        <v>44185</v>
      </c>
      <c r="AP214" s="29" t="e">
        <f>VLOOKUP(A214,'[2]External Scan 02_21'!$B:$J,9,0)</f>
        <v>#N/A</v>
      </c>
      <c r="AQ214" s="29" t="s">
        <v>28</v>
      </c>
      <c r="AR214" s="21"/>
      <c r="AS214" s="21" t="str">
        <f>VLOOKUP(AE214,'ref statu'!A:B,2,0)</f>
        <v>Fixed</v>
      </c>
      <c r="AT214" s="8" t="e">
        <f>VLOOKUP(A214,chk!A:B,2,0)</f>
        <v>#N/A</v>
      </c>
      <c r="AU214" s="29" t="e">
        <f>VLOOKUP(A214,checker!A:B,2,0)</f>
        <v>#N/A</v>
      </c>
      <c r="AV214" s="29" t="e">
        <f>VLOOKUP(A214,checker!B:C,2,0)</f>
        <v>#N/A</v>
      </c>
    </row>
    <row r="215" spans="1:48" x14ac:dyDescent="0.3">
      <c r="A215" s="29" t="str">
        <f t="shared" si="3"/>
        <v>96.692.66.646/0/oracle_linux-cve-2018-8897</v>
      </c>
      <c r="B215" s="61" t="s">
        <v>2997</v>
      </c>
      <c r="C215" s="61" t="s">
        <v>528</v>
      </c>
      <c r="D215" s="61" t="s">
        <v>2964</v>
      </c>
      <c r="E215" s="61" t="s">
        <v>28</v>
      </c>
      <c r="F215" s="61" t="s">
        <v>529</v>
      </c>
      <c r="G215" s="61" t="s">
        <v>530</v>
      </c>
      <c r="H215" s="61" t="s">
        <v>531</v>
      </c>
      <c r="I215" s="37" t="s">
        <v>532</v>
      </c>
      <c r="J215" s="37">
        <v>0</v>
      </c>
      <c r="K215" s="61" t="s">
        <v>258</v>
      </c>
      <c r="L215" s="61" t="s">
        <v>31</v>
      </c>
      <c r="M215" s="9">
        <v>7</v>
      </c>
      <c r="N215" s="10" t="s">
        <v>2540</v>
      </c>
      <c r="O215" s="61" t="s">
        <v>1575</v>
      </c>
      <c r="P215" s="61" t="s">
        <v>1576</v>
      </c>
      <c r="Q215" s="61" t="s">
        <v>1577</v>
      </c>
      <c r="R215" s="61" t="s">
        <v>606</v>
      </c>
      <c r="S215" s="61" t="s">
        <v>1578</v>
      </c>
      <c r="T215" s="61" t="s">
        <v>31</v>
      </c>
      <c r="U215" s="61" t="s">
        <v>1579</v>
      </c>
      <c r="V215" s="61" t="s">
        <v>1580</v>
      </c>
      <c r="W215" s="62">
        <v>43228</v>
      </c>
      <c r="X215" s="37" t="s">
        <v>30</v>
      </c>
      <c r="Y215" s="37">
        <v>2</v>
      </c>
      <c r="Z215" s="37" t="s">
        <v>440</v>
      </c>
      <c r="AA215" s="37" t="s">
        <v>1581</v>
      </c>
      <c r="AB215" s="37" t="s">
        <v>513</v>
      </c>
      <c r="AC215" s="61"/>
      <c r="AD215" s="34"/>
      <c r="AE215" s="98" t="s">
        <v>28</v>
      </c>
      <c r="AF215" s="36">
        <v>44191</v>
      </c>
      <c r="AG215" s="36">
        <v>44191</v>
      </c>
      <c r="AH215" s="37"/>
      <c r="AI215" s="72">
        <v>44185</v>
      </c>
      <c r="AJ215" s="38" t="s">
        <v>27</v>
      </c>
      <c r="AK215" s="39" t="e">
        <f>VLOOKUP(A215,'[1]Externe MAJ Nov'!$A:$H,8,0)</f>
        <v>#N/A</v>
      </c>
      <c r="AL215" s="61"/>
      <c r="AM215" s="61"/>
      <c r="AN215" s="61"/>
      <c r="AO215" s="58">
        <v>44185</v>
      </c>
      <c r="AP215" s="29" t="e">
        <f>VLOOKUP(A215,'[2]External Scan 02_21'!$B:$J,9,0)</f>
        <v>#N/A</v>
      </c>
      <c r="AQ215" s="29" t="s">
        <v>28</v>
      </c>
      <c r="AR215" s="21"/>
      <c r="AS215" s="21" t="str">
        <f>VLOOKUP(AE215,'ref statu'!A:B,2,0)</f>
        <v>Fixed</v>
      </c>
      <c r="AT215" s="8" t="e">
        <f>VLOOKUP(A215,chk!A:B,2,0)</f>
        <v>#N/A</v>
      </c>
      <c r="AU215" s="29" t="e">
        <f>VLOOKUP(A215,checker!A:B,2,0)</f>
        <v>#N/A</v>
      </c>
      <c r="AV215" s="29" t="e">
        <f>VLOOKUP(A215,checker!B:C,2,0)</f>
        <v>#N/A</v>
      </c>
    </row>
    <row r="216" spans="1:48" x14ac:dyDescent="0.3">
      <c r="A216" s="29" t="str">
        <f t="shared" si="3"/>
        <v>96.692.66.646/0/oracle_linux-cve-2018-9363</v>
      </c>
      <c r="B216" s="61" t="s">
        <v>2997</v>
      </c>
      <c r="C216" s="61" t="s">
        <v>528</v>
      </c>
      <c r="D216" s="61" t="s">
        <v>2964</v>
      </c>
      <c r="E216" s="61" t="s">
        <v>28</v>
      </c>
      <c r="F216" s="61" t="s">
        <v>529</v>
      </c>
      <c r="G216" s="61" t="s">
        <v>530</v>
      </c>
      <c r="H216" s="61" t="s">
        <v>531</v>
      </c>
      <c r="I216" s="37" t="s">
        <v>532</v>
      </c>
      <c r="J216" s="37">
        <v>0</v>
      </c>
      <c r="K216" s="61" t="s">
        <v>258</v>
      </c>
      <c r="L216" s="61" t="s">
        <v>31</v>
      </c>
      <c r="M216" s="9">
        <v>7</v>
      </c>
      <c r="N216" s="10" t="s">
        <v>2540</v>
      </c>
      <c r="O216" s="61" t="s">
        <v>1582</v>
      </c>
      <c r="P216" s="61" t="s">
        <v>1583</v>
      </c>
      <c r="Q216" s="61" t="s">
        <v>1584</v>
      </c>
      <c r="R216" s="61" t="s">
        <v>581</v>
      </c>
      <c r="S216" s="61" t="s">
        <v>1585</v>
      </c>
      <c r="T216" s="61" t="s">
        <v>31</v>
      </c>
      <c r="U216" s="61" t="s">
        <v>1586</v>
      </c>
      <c r="V216" s="61" t="s">
        <v>1587</v>
      </c>
      <c r="W216" s="62">
        <v>43340</v>
      </c>
      <c r="X216" s="37" t="s">
        <v>30</v>
      </c>
      <c r="Y216" s="37">
        <v>0</v>
      </c>
      <c r="Z216" s="37" t="s">
        <v>31</v>
      </c>
      <c r="AA216" s="37" t="s">
        <v>31</v>
      </c>
      <c r="AB216" s="37" t="s">
        <v>513</v>
      </c>
      <c r="AC216" s="61"/>
      <c r="AD216" s="33"/>
      <c r="AE216" s="98" t="s">
        <v>28</v>
      </c>
      <c r="AF216" s="36">
        <v>44191</v>
      </c>
      <c r="AG216" s="36">
        <v>44191</v>
      </c>
      <c r="AH216" s="37"/>
      <c r="AI216" s="72">
        <v>44185</v>
      </c>
      <c r="AJ216" s="38" t="s">
        <v>27</v>
      </c>
      <c r="AK216" s="39" t="e">
        <f>VLOOKUP(A216,'[1]Externe MAJ Nov'!$A:$H,8,0)</f>
        <v>#N/A</v>
      </c>
      <c r="AL216" s="61"/>
      <c r="AM216" s="61"/>
      <c r="AN216" s="61"/>
      <c r="AO216" s="58">
        <v>44185</v>
      </c>
      <c r="AP216" s="29" t="e">
        <f>VLOOKUP(A216,'[2]External Scan 02_21'!$B:$J,9,0)</f>
        <v>#N/A</v>
      </c>
      <c r="AQ216" s="29" t="s">
        <v>28</v>
      </c>
      <c r="AR216" s="21"/>
      <c r="AS216" s="21" t="str">
        <f>VLOOKUP(AE216,'ref statu'!A:B,2,0)</f>
        <v>Fixed</v>
      </c>
      <c r="AT216" s="8" t="e">
        <f>VLOOKUP(A216,chk!A:B,2,0)</f>
        <v>#N/A</v>
      </c>
      <c r="AU216" s="29" t="e">
        <f>VLOOKUP(A216,checker!A:B,2,0)</f>
        <v>#N/A</v>
      </c>
      <c r="AV216" s="29" t="e">
        <f>VLOOKUP(A216,checker!B:C,2,0)</f>
        <v>#N/A</v>
      </c>
    </row>
    <row r="217" spans="1:48" x14ac:dyDescent="0.3">
      <c r="A217" s="29" t="str">
        <f t="shared" si="3"/>
        <v>96.692.66.646/0/oracle_linux-cve-2018-9415</v>
      </c>
      <c r="B217" s="61" t="s">
        <v>2997</v>
      </c>
      <c r="C217" s="61" t="s">
        <v>528</v>
      </c>
      <c r="D217" s="61" t="s">
        <v>2964</v>
      </c>
      <c r="E217" s="61" t="s">
        <v>28</v>
      </c>
      <c r="F217" s="61" t="s">
        <v>529</v>
      </c>
      <c r="G217" s="61" t="s">
        <v>530</v>
      </c>
      <c r="H217" s="61" t="s">
        <v>531</v>
      </c>
      <c r="I217" s="37" t="s">
        <v>532</v>
      </c>
      <c r="J217" s="37">
        <v>0</v>
      </c>
      <c r="K217" s="61" t="s">
        <v>258</v>
      </c>
      <c r="L217" s="61" t="s">
        <v>31</v>
      </c>
      <c r="M217" s="9">
        <v>5</v>
      </c>
      <c r="N217" s="9" t="s">
        <v>29</v>
      </c>
      <c r="O217" s="61" t="s">
        <v>1588</v>
      </c>
      <c r="P217" s="61" t="s">
        <v>1589</v>
      </c>
      <c r="Q217" s="61" t="s">
        <v>1590</v>
      </c>
      <c r="R217" s="61" t="s">
        <v>536</v>
      </c>
      <c r="S217" s="61" t="s">
        <v>1591</v>
      </c>
      <c r="T217" s="61" t="s">
        <v>31</v>
      </c>
      <c r="U217" s="61" t="s">
        <v>1592</v>
      </c>
      <c r="V217" s="61" t="s">
        <v>1593</v>
      </c>
      <c r="W217" s="62">
        <v>43336</v>
      </c>
      <c r="X217" s="37" t="s">
        <v>30</v>
      </c>
      <c r="Y217" s="37">
        <v>0</v>
      </c>
      <c r="Z217" s="37" t="s">
        <v>31</v>
      </c>
      <c r="AA217" s="37" t="s">
        <v>31</v>
      </c>
      <c r="AB217" s="37" t="s">
        <v>513</v>
      </c>
      <c r="AC217" s="61"/>
      <c r="AD217" s="34"/>
      <c r="AE217" s="98" t="s">
        <v>28</v>
      </c>
      <c r="AF217" s="36">
        <v>44191</v>
      </c>
      <c r="AG217" s="36">
        <v>44191</v>
      </c>
      <c r="AH217" s="37"/>
      <c r="AI217" s="72">
        <v>44185</v>
      </c>
      <c r="AJ217" s="38" t="s">
        <v>27</v>
      </c>
      <c r="AK217" s="39" t="e">
        <f>VLOOKUP(A217,'[1]Externe MAJ Nov'!$A:$H,8,0)</f>
        <v>#N/A</v>
      </c>
      <c r="AL217" s="61"/>
      <c r="AM217" s="61"/>
      <c r="AN217" s="61"/>
      <c r="AO217" s="58">
        <v>44185</v>
      </c>
      <c r="AP217" s="29" t="e">
        <f>VLOOKUP(A217,'[2]External Scan 02_21'!$B:$J,9,0)</f>
        <v>#N/A</v>
      </c>
      <c r="AQ217" s="29" t="s">
        <v>28</v>
      </c>
      <c r="AR217" s="21"/>
      <c r="AS217" s="21" t="str">
        <f>VLOOKUP(AE217,'ref statu'!A:B,2,0)</f>
        <v>Fixed</v>
      </c>
      <c r="AT217" s="8" t="e">
        <f>VLOOKUP(A217,chk!A:B,2,0)</f>
        <v>#N/A</v>
      </c>
      <c r="AU217" s="29" t="e">
        <f>VLOOKUP(A217,checker!A:B,2,0)</f>
        <v>#N/A</v>
      </c>
      <c r="AV217" s="29" t="e">
        <f>VLOOKUP(A217,checker!B:C,2,0)</f>
        <v>#N/A</v>
      </c>
    </row>
    <row r="218" spans="1:48" x14ac:dyDescent="0.3">
      <c r="A218" s="29" t="str">
        <f t="shared" si="3"/>
        <v>96.692.66.646/0/oracle_linux-cve-2018-9516</v>
      </c>
      <c r="B218" s="61" t="s">
        <v>2997</v>
      </c>
      <c r="C218" s="61" t="s">
        <v>528</v>
      </c>
      <c r="D218" s="61" t="s">
        <v>2964</v>
      </c>
      <c r="E218" s="61" t="s">
        <v>28</v>
      </c>
      <c r="F218" s="61" t="s">
        <v>529</v>
      </c>
      <c r="G218" s="61" t="s">
        <v>530</v>
      </c>
      <c r="H218" s="61" t="s">
        <v>531</v>
      </c>
      <c r="I218" s="37" t="s">
        <v>532</v>
      </c>
      <c r="J218" s="37">
        <v>0</v>
      </c>
      <c r="K218" s="61" t="s">
        <v>258</v>
      </c>
      <c r="L218" s="61" t="s">
        <v>31</v>
      </c>
      <c r="M218" s="9">
        <v>7</v>
      </c>
      <c r="N218" s="10" t="s">
        <v>2540</v>
      </c>
      <c r="O218" s="61" t="s">
        <v>1594</v>
      </c>
      <c r="P218" s="61" t="s">
        <v>1595</v>
      </c>
      <c r="Q218" s="61" t="s">
        <v>1596</v>
      </c>
      <c r="R218" s="61" t="s">
        <v>606</v>
      </c>
      <c r="S218" s="61" t="s">
        <v>1597</v>
      </c>
      <c r="T218" s="61" t="s">
        <v>31</v>
      </c>
      <c r="U218" s="61" t="s">
        <v>1598</v>
      </c>
      <c r="V218" s="61" t="s">
        <v>1599</v>
      </c>
      <c r="W218" s="62">
        <v>43374</v>
      </c>
      <c r="X218" s="37" t="s">
        <v>30</v>
      </c>
      <c r="Y218" s="37">
        <v>0</v>
      </c>
      <c r="Z218" s="37" t="s">
        <v>31</v>
      </c>
      <c r="AA218" s="37" t="s">
        <v>31</v>
      </c>
      <c r="AB218" s="37" t="s">
        <v>513</v>
      </c>
      <c r="AC218" s="61"/>
      <c r="AD218" s="34"/>
      <c r="AE218" s="98" t="s">
        <v>28</v>
      </c>
      <c r="AF218" s="36">
        <v>44191</v>
      </c>
      <c r="AG218" s="36">
        <v>44191</v>
      </c>
      <c r="AH218" s="37"/>
      <c r="AI218" s="72">
        <v>44185</v>
      </c>
      <c r="AJ218" s="38" t="s">
        <v>27</v>
      </c>
      <c r="AK218" s="39" t="e">
        <f>VLOOKUP(A218,'[1]Externe MAJ Nov'!$A:$H,8,0)</f>
        <v>#N/A</v>
      </c>
      <c r="AL218" s="61"/>
      <c r="AM218" s="61"/>
      <c r="AN218" s="61"/>
      <c r="AO218" s="58">
        <v>44185</v>
      </c>
      <c r="AP218" s="29" t="e">
        <f>VLOOKUP(A218,'[2]External Scan 02_21'!$B:$J,9,0)</f>
        <v>#N/A</v>
      </c>
      <c r="AQ218" s="29" t="s">
        <v>28</v>
      </c>
      <c r="AR218" s="21"/>
      <c r="AS218" s="21" t="str">
        <f>VLOOKUP(AE218,'ref statu'!A:B,2,0)</f>
        <v>Fixed</v>
      </c>
      <c r="AT218" s="8" t="e">
        <f>VLOOKUP(A218,chk!A:B,2,0)</f>
        <v>#N/A</v>
      </c>
      <c r="AU218" s="29" t="e">
        <f>VLOOKUP(A218,checker!A:B,2,0)</f>
        <v>#N/A</v>
      </c>
      <c r="AV218" s="29" t="e">
        <f>VLOOKUP(A218,checker!B:C,2,0)</f>
        <v>#N/A</v>
      </c>
    </row>
    <row r="219" spans="1:48" x14ac:dyDescent="0.3">
      <c r="A219" s="29" t="str">
        <f t="shared" si="3"/>
        <v>96.692.66.646/0/oracle_linux-cve-2018-9568</v>
      </c>
      <c r="B219" s="61" t="s">
        <v>2997</v>
      </c>
      <c r="C219" s="61" t="s">
        <v>528</v>
      </c>
      <c r="D219" s="61" t="s">
        <v>2964</v>
      </c>
      <c r="E219" s="61" t="s">
        <v>28</v>
      </c>
      <c r="F219" s="61" t="s">
        <v>529</v>
      </c>
      <c r="G219" s="61" t="s">
        <v>530</v>
      </c>
      <c r="H219" s="61" t="s">
        <v>531</v>
      </c>
      <c r="I219" s="37" t="s">
        <v>532</v>
      </c>
      <c r="J219" s="37">
        <v>0</v>
      </c>
      <c r="K219" s="61" t="s">
        <v>258</v>
      </c>
      <c r="L219" s="61" t="s">
        <v>31</v>
      </c>
      <c r="M219" s="9">
        <v>7</v>
      </c>
      <c r="N219" s="10" t="s">
        <v>2540</v>
      </c>
      <c r="O219" s="61" t="s">
        <v>1600</v>
      </c>
      <c r="P219" s="61" t="s">
        <v>1601</v>
      </c>
      <c r="Q219" s="61" t="s">
        <v>1602</v>
      </c>
      <c r="R219" s="61" t="s">
        <v>606</v>
      </c>
      <c r="S219" s="61" t="s">
        <v>1603</v>
      </c>
      <c r="T219" s="61" t="s">
        <v>31</v>
      </c>
      <c r="U219" s="61" t="s">
        <v>1604</v>
      </c>
      <c r="V219" s="61" t="s">
        <v>1605</v>
      </c>
      <c r="W219" s="62">
        <v>43440</v>
      </c>
      <c r="X219" s="37" t="s">
        <v>30</v>
      </c>
      <c r="Y219" s="37">
        <v>0</v>
      </c>
      <c r="Z219" s="37" t="s">
        <v>31</v>
      </c>
      <c r="AA219" s="37" t="s">
        <v>31</v>
      </c>
      <c r="AB219" s="37" t="s">
        <v>513</v>
      </c>
      <c r="AC219" s="61"/>
      <c r="AD219" s="33"/>
      <c r="AE219" s="98" t="s">
        <v>28</v>
      </c>
      <c r="AF219" s="36">
        <v>44191</v>
      </c>
      <c r="AG219" s="36">
        <v>44191</v>
      </c>
      <c r="AH219" s="37"/>
      <c r="AI219" s="72">
        <v>44185</v>
      </c>
      <c r="AJ219" s="38" t="s">
        <v>27</v>
      </c>
      <c r="AK219" s="39" t="e">
        <f>VLOOKUP(A219,'[1]Externe MAJ Nov'!$A:$H,8,0)</f>
        <v>#N/A</v>
      </c>
      <c r="AL219" s="61"/>
      <c r="AM219" s="61"/>
      <c r="AN219" s="61"/>
      <c r="AO219" s="58">
        <v>44185</v>
      </c>
      <c r="AP219" s="29" t="e">
        <f>VLOOKUP(A219,'[2]External Scan 02_21'!$B:$J,9,0)</f>
        <v>#N/A</v>
      </c>
      <c r="AQ219" s="29" t="s">
        <v>28</v>
      </c>
      <c r="AR219" s="21"/>
      <c r="AS219" s="21" t="str">
        <f>VLOOKUP(AE219,'ref statu'!A:B,2,0)</f>
        <v>Fixed</v>
      </c>
      <c r="AT219" s="8" t="e">
        <f>VLOOKUP(A219,chk!A:B,2,0)</f>
        <v>#N/A</v>
      </c>
      <c r="AU219" s="29" t="e">
        <f>VLOOKUP(A219,checker!A:B,2,0)</f>
        <v>#N/A</v>
      </c>
      <c r="AV219" s="29" t="e">
        <f>VLOOKUP(A219,checker!B:C,2,0)</f>
        <v>#N/A</v>
      </c>
    </row>
    <row r="220" spans="1:48" x14ac:dyDescent="0.3">
      <c r="A220" s="29" t="str">
        <f t="shared" si="3"/>
        <v>96.692.66.646/0/oracle_linux-cve-2019-0139</v>
      </c>
      <c r="B220" s="61" t="s">
        <v>2997</v>
      </c>
      <c r="C220" s="61" t="s">
        <v>528</v>
      </c>
      <c r="D220" s="61" t="s">
        <v>2964</v>
      </c>
      <c r="E220" s="61" t="s">
        <v>28</v>
      </c>
      <c r="F220" s="61" t="s">
        <v>529</v>
      </c>
      <c r="G220" s="61" t="s">
        <v>530</v>
      </c>
      <c r="H220" s="61" t="s">
        <v>531</v>
      </c>
      <c r="I220" s="37" t="s">
        <v>532</v>
      </c>
      <c r="J220" s="37">
        <v>0</v>
      </c>
      <c r="K220" s="61" t="s">
        <v>258</v>
      </c>
      <c r="L220" s="61" t="s">
        <v>31</v>
      </c>
      <c r="M220" s="9">
        <v>5</v>
      </c>
      <c r="N220" s="9" t="s">
        <v>29</v>
      </c>
      <c r="O220" s="61" t="s">
        <v>1606</v>
      </c>
      <c r="P220" s="61" t="s">
        <v>1607</v>
      </c>
      <c r="Q220" s="61" t="s">
        <v>1608</v>
      </c>
      <c r="R220" s="61" t="s">
        <v>536</v>
      </c>
      <c r="S220" s="61" t="s">
        <v>1609</v>
      </c>
      <c r="T220" s="61" t="s">
        <v>31</v>
      </c>
      <c r="U220" s="61" t="s">
        <v>1610</v>
      </c>
      <c r="V220" s="61" t="s">
        <v>1611</v>
      </c>
      <c r="W220" s="62">
        <v>43783</v>
      </c>
      <c r="X220" s="37" t="s">
        <v>30</v>
      </c>
      <c r="Y220" s="37">
        <v>0</v>
      </c>
      <c r="Z220" s="37" t="s">
        <v>31</v>
      </c>
      <c r="AA220" s="37" t="s">
        <v>31</v>
      </c>
      <c r="AB220" s="37" t="s">
        <v>513</v>
      </c>
      <c r="AC220" s="61"/>
      <c r="AD220" s="34"/>
      <c r="AE220" s="98" t="s">
        <v>28</v>
      </c>
      <c r="AF220" s="36">
        <v>44191</v>
      </c>
      <c r="AG220" s="36">
        <v>44191</v>
      </c>
      <c r="AH220" s="37"/>
      <c r="AI220" s="72">
        <v>44185</v>
      </c>
      <c r="AJ220" s="38" t="s">
        <v>27</v>
      </c>
      <c r="AK220" s="39" t="e">
        <f>VLOOKUP(A220,'[1]Externe MAJ Nov'!$A:$H,8,0)</f>
        <v>#N/A</v>
      </c>
      <c r="AL220" s="61"/>
      <c r="AM220" s="61"/>
      <c r="AN220" s="61"/>
      <c r="AO220" s="58">
        <v>44185</v>
      </c>
      <c r="AP220" s="29" t="e">
        <f>VLOOKUP(A220,'[2]External Scan 02_21'!$B:$J,9,0)</f>
        <v>#N/A</v>
      </c>
      <c r="AQ220" s="29" t="s">
        <v>28</v>
      </c>
      <c r="AR220" s="21"/>
      <c r="AS220" s="21" t="str">
        <f>VLOOKUP(AE220,'ref statu'!A:B,2,0)</f>
        <v>Fixed</v>
      </c>
      <c r="AT220" s="8" t="e">
        <f>VLOOKUP(A220,chk!A:B,2,0)</f>
        <v>#N/A</v>
      </c>
      <c r="AU220" s="29" t="e">
        <f>VLOOKUP(A220,checker!A:B,2,0)</f>
        <v>#N/A</v>
      </c>
      <c r="AV220" s="29" t="e">
        <f>VLOOKUP(A220,checker!B:C,2,0)</f>
        <v>#N/A</v>
      </c>
    </row>
    <row r="221" spans="1:48" x14ac:dyDescent="0.3">
      <c r="A221" s="29" t="str">
        <f t="shared" si="3"/>
        <v>96.692.66.646/0/oracle_linux-cve-2019-0140</v>
      </c>
      <c r="B221" s="61" t="s">
        <v>2997</v>
      </c>
      <c r="C221" s="61" t="s">
        <v>528</v>
      </c>
      <c r="D221" s="61" t="s">
        <v>2964</v>
      </c>
      <c r="E221" s="61" t="s">
        <v>28</v>
      </c>
      <c r="F221" s="61" t="s">
        <v>529</v>
      </c>
      <c r="G221" s="61" t="s">
        <v>530</v>
      </c>
      <c r="H221" s="61" t="s">
        <v>531</v>
      </c>
      <c r="I221" s="37" t="s">
        <v>532</v>
      </c>
      <c r="J221" s="37">
        <v>0</v>
      </c>
      <c r="K221" s="61" t="s">
        <v>258</v>
      </c>
      <c r="L221" s="61" t="s">
        <v>31</v>
      </c>
      <c r="M221" s="9">
        <v>6</v>
      </c>
      <c r="N221" s="9" t="s">
        <v>29</v>
      </c>
      <c r="O221" s="61" t="s">
        <v>1612</v>
      </c>
      <c r="P221" s="61" t="s">
        <v>1613</v>
      </c>
      <c r="Q221" s="61" t="s">
        <v>1614</v>
      </c>
      <c r="R221" s="61" t="s">
        <v>536</v>
      </c>
      <c r="S221" s="61" t="s">
        <v>1615</v>
      </c>
      <c r="T221" s="61" t="s">
        <v>31</v>
      </c>
      <c r="U221" s="61" t="s">
        <v>1616</v>
      </c>
      <c r="V221" s="61" t="s">
        <v>1617</v>
      </c>
      <c r="W221" s="62">
        <v>43783</v>
      </c>
      <c r="X221" s="37" t="s">
        <v>30</v>
      </c>
      <c r="Y221" s="37">
        <v>0</v>
      </c>
      <c r="Z221" s="37" t="s">
        <v>31</v>
      </c>
      <c r="AA221" s="37" t="s">
        <v>31</v>
      </c>
      <c r="AB221" s="37" t="s">
        <v>513</v>
      </c>
      <c r="AC221" s="61"/>
      <c r="AD221" s="34"/>
      <c r="AE221" s="98" t="s">
        <v>28</v>
      </c>
      <c r="AF221" s="36">
        <v>44191</v>
      </c>
      <c r="AG221" s="36">
        <v>44191</v>
      </c>
      <c r="AH221" s="37"/>
      <c r="AI221" s="72">
        <v>44185</v>
      </c>
      <c r="AJ221" s="38" t="s">
        <v>27</v>
      </c>
      <c r="AK221" s="39" t="e">
        <f>VLOOKUP(A221,'[1]Externe MAJ Nov'!$A:$H,8,0)</f>
        <v>#N/A</v>
      </c>
      <c r="AL221" s="61"/>
      <c r="AM221" s="61"/>
      <c r="AN221" s="61"/>
      <c r="AO221" s="58">
        <v>44185</v>
      </c>
      <c r="AP221" s="29" t="e">
        <f>VLOOKUP(A221,'[2]External Scan 02_21'!$B:$J,9,0)</f>
        <v>#N/A</v>
      </c>
      <c r="AQ221" s="29" t="s">
        <v>28</v>
      </c>
      <c r="AR221" s="21"/>
      <c r="AS221" s="21" t="str">
        <f>VLOOKUP(AE221,'ref statu'!A:B,2,0)</f>
        <v>Fixed</v>
      </c>
      <c r="AT221" s="8" t="e">
        <f>VLOOKUP(A221,chk!A:B,2,0)</f>
        <v>#N/A</v>
      </c>
      <c r="AU221" s="29" t="e">
        <f>VLOOKUP(A221,checker!A:B,2,0)</f>
        <v>#N/A</v>
      </c>
      <c r="AV221" s="29" t="e">
        <f>VLOOKUP(A221,checker!B:C,2,0)</f>
        <v>#N/A</v>
      </c>
    </row>
    <row r="222" spans="1:48" x14ac:dyDescent="0.3">
      <c r="A222" s="29" t="str">
        <f t="shared" si="3"/>
        <v>96.692.66.646/0/oracle_linux-cve-2019-0144</v>
      </c>
      <c r="B222" s="61" t="s">
        <v>2997</v>
      </c>
      <c r="C222" s="61" t="s">
        <v>528</v>
      </c>
      <c r="D222" s="61" t="s">
        <v>2964</v>
      </c>
      <c r="E222" s="61" t="s">
        <v>28</v>
      </c>
      <c r="F222" s="61" t="s">
        <v>529</v>
      </c>
      <c r="G222" s="61" t="s">
        <v>530</v>
      </c>
      <c r="H222" s="61" t="s">
        <v>531</v>
      </c>
      <c r="I222" s="37" t="s">
        <v>532</v>
      </c>
      <c r="J222" s="37">
        <v>0</v>
      </c>
      <c r="K222" s="61" t="s">
        <v>258</v>
      </c>
      <c r="L222" s="61" t="s">
        <v>31</v>
      </c>
      <c r="M222" s="9">
        <v>5</v>
      </c>
      <c r="N222" s="9" t="s">
        <v>29</v>
      </c>
      <c r="O222" s="61" t="s">
        <v>1618</v>
      </c>
      <c r="P222" s="61" t="s">
        <v>1619</v>
      </c>
      <c r="Q222" s="61" t="s">
        <v>1620</v>
      </c>
      <c r="R222" s="61" t="s">
        <v>536</v>
      </c>
      <c r="S222" s="61" t="s">
        <v>1621</v>
      </c>
      <c r="T222" s="61" t="s">
        <v>31</v>
      </c>
      <c r="U222" s="61" t="s">
        <v>1622</v>
      </c>
      <c r="V222" s="61" t="s">
        <v>1623</v>
      </c>
      <c r="W222" s="62">
        <v>43783</v>
      </c>
      <c r="X222" s="37" t="s">
        <v>30</v>
      </c>
      <c r="Y222" s="37">
        <v>0</v>
      </c>
      <c r="Z222" s="37" t="s">
        <v>31</v>
      </c>
      <c r="AA222" s="37" t="s">
        <v>31</v>
      </c>
      <c r="AB222" s="37" t="s">
        <v>513</v>
      </c>
      <c r="AC222" s="61"/>
      <c r="AD222" s="33"/>
      <c r="AE222" s="98" t="s">
        <v>28</v>
      </c>
      <c r="AF222" s="36">
        <v>44191</v>
      </c>
      <c r="AG222" s="36">
        <v>44191</v>
      </c>
      <c r="AH222" s="37"/>
      <c r="AI222" s="72">
        <v>44185</v>
      </c>
      <c r="AJ222" s="38" t="s">
        <v>27</v>
      </c>
      <c r="AK222" s="39" t="e">
        <f>VLOOKUP(A222,'[1]Externe MAJ Nov'!$A:$H,8,0)</f>
        <v>#N/A</v>
      </c>
      <c r="AL222" s="61"/>
      <c r="AM222" s="61"/>
      <c r="AN222" s="61"/>
      <c r="AO222" s="58">
        <v>44185</v>
      </c>
      <c r="AP222" s="29" t="e">
        <f>VLOOKUP(A222,'[2]External Scan 02_21'!$B:$J,9,0)</f>
        <v>#N/A</v>
      </c>
      <c r="AQ222" s="29" t="s">
        <v>28</v>
      </c>
      <c r="AR222" s="21"/>
      <c r="AS222" s="21" t="str">
        <f>VLOOKUP(AE222,'ref statu'!A:B,2,0)</f>
        <v>Fixed</v>
      </c>
      <c r="AT222" s="8" t="e">
        <f>VLOOKUP(A222,chk!A:B,2,0)</f>
        <v>#N/A</v>
      </c>
      <c r="AU222" s="29" t="e">
        <f>VLOOKUP(A222,checker!A:B,2,0)</f>
        <v>#N/A</v>
      </c>
      <c r="AV222" s="29" t="e">
        <f>VLOOKUP(A222,checker!B:C,2,0)</f>
        <v>#N/A</v>
      </c>
    </row>
    <row r="223" spans="1:48" s="59" customFormat="1" x14ac:dyDescent="0.3">
      <c r="A223" s="29" t="str">
        <f t="shared" si="3"/>
        <v>96.692.66.646/0/oracle_linux-cve-2019-10638</v>
      </c>
      <c r="B223" s="61" t="s">
        <v>2997</v>
      </c>
      <c r="C223" s="61" t="s">
        <v>528</v>
      </c>
      <c r="D223" s="61" t="s">
        <v>2964</v>
      </c>
      <c r="E223" s="61" t="s">
        <v>28</v>
      </c>
      <c r="F223" s="61" t="s">
        <v>529</v>
      </c>
      <c r="G223" s="61" t="s">
        <v>530</v>
      </c>
      <c r="H223" s="61" t="s">
        <v>531</v>
      </c>
      <c r="I223" s="37" t="s">
        <v>532</v>
      </c>
      <c r="J223" s="37">
        <v>0</v>
      </c>
      <c r="K223" s="61" t="s">
        <v>258</v>
      </c>
      <c r="L223" s="61" t="s">
        <v>31</v>
      </c>
      <c r="M223" s="9">
        <v>4</v>
      </c>
      <c r="N223" s="9" t="s">
        <v>29</v>
      </c>
      <c r="O223" s="61" t="s">
        <v>1624</v>
      </c>
      <c r="P223" s="61" t="s">
        <v>1625</v>
      </c>
      <c r="Q223" s="61" t="s">
        <v>1626</v>
      </c>
      <c r="R223" s="61" t="s">
        <v>1350</v>
      </c>
      <c r="S223" s="61" t="s">
        <v>1627</v>
      </c>
      <c r="T223" s="61" t="s">
        <v>31</v>
      </c>
      <c r="U223" s="61" t="s">
        <v>1628</v>
      </c>
      <c r="V223" s="61" t="s">
        <v>1629</v>
      </c>
      <c r="W223" s="62">
        <v>43651</v>
      </c>
      <c r="X223" s="37" t="s">
        <v>30</v>
      </c>
      <c r="Y223" s="37">
        <v>0</v>
      </c>
      <c r="Z223" s="37" t="s">
        <v>31</v>
      </c>
      <c r="AA223" s="37" t="s">
        <v>31</v>
      </c>
      <c r="AB223" s="37" t="s">
        <v>513</v>
      </c>
      <c r="AC223" s="61"/>
      <c r="AD223" s="34"/>
      <c r="AE223" s="98" t="s">
        <v>28</v>
      </c>
      <c r="AF223" s="36">
        <v>44191</v>
      </c>
      <c r="AG223" s="36">
        <v>44191</v>
      </c>
      <c r="AH223" s="37"/>
      <c r="AI223" s="72">
        <v>44185</v>
      </c>
      <c r="AJ223" s="38" t="s">
        <v>27</v>
      </c>
      <c r="AK223" s="39" t="e">
        <f>VLOOKUP(A223,'[1]Externe MAJ Nov'!$A:$H,8,0)</f>
        <v>#N/A</v>
      </c>
      <c r="AL223" s="61"/>
      <c r="AM223" s="61"/>
      <c r="AN223" s="61"/>
      <c r="AO223" s="58">
        <v>44185</v>
      </c>
      <c r="AP223" s="29" t="e">
        <f>VLOOKUP(A223,'[2]External Scan 02_21'!$B:$J,9,0)</f>
        <v>#N/A</v>
      </c>
      <c r="AQ223" s="29" t="s">
        <v>28</v>
      </c>
      <c r="AR223" s="21"/>
      <c r="AS223" s="21" t="str">
        <f>VLOOKUP(AE223,'ref statu'!A:B,2,0)</f>
        <v>Fixed</v>
      </c>
      <c r="AT223" s="8" t="e">
        <f>VLOOKUP(A223,chk!A:B,2,0)</f>
        <v>#N/A</v>
      </c>
      <c r="AU223" s="29" t="e">
        <f>VLOOKUP(A223,checker!A:B,2,0)</f>
        <v>#N/A</v>
      </c>
      <c r="AV223" s="29" t="e">
        <f>VLOOKUP(A223,checker!B:C,2,0)</f>
        <v>#N/A</v>
      </c>
    </row>
    <row r="224" spans="1:48" s="59" customFormat="1" x14ac:dyDescent="0.3">
      <c r="A224" s="29" t="str">
        <f t="shared" si="3"/>
        <v>96.692.66.646/0/oracle_linux-cve-2019-10639</v>
      </c>
      <c r="B224" s="61" t="s">
        <v>2997</v>
      </c>
      <c r="C224" s="61" t="s">
        <v>528</v>
      </c>
      <c r="D224" s="61" t="s">
        <v>2964</v>
      </c>
      <c r="E224" s="61" t="s">
        <v>28</v>
      </c>
      <c r="F224" s="61" t="s">
        <v>529</v>
      </c>
      <c r="G224" s="61" t="s">
        <v>530</v>
      </c>
      <c r="H224" s="61" t="s">
        <v>531</v>
      </c>
      <c r="I224" s="37" t="s">
        <v>532</v>
      </c>
      <c r="J224" s="37">
        <v>0</v>
      </c>
      <c r="K224" s="61" t="s">
        <v>258</v>
      </c>
      <c r="L224" s="61" t="s">
        <v>31</v>
      </c>
      <c r="M224" s="9">
        <v>5</v>
      </c>
      <c r="N224" s="9" t="s">
        <v>29</v>
      </c>
      <c r="O224" s="61" t="s">
        <v>1630</v>
      </c>
      <c r="P224" s="61" t="s">
        <v>1631</v>
      </c>
      <c r="Q224" s="61" t="s">
        <v>1632</v>
      </c>
      <c r="R224" s="61" t="s">
        <v>1350</v>
      </c>
      <c r="S224" s="61" t="s">
        <v>1633</v>
      </c>
      <c r="T224" s="61" t="s">
        <v>31</v>
      </c>
      <c r="U224" s="61" t="s">
        <v>1634</v>
      </c>
      <c r="V224" s="61" t="s">
        <v>1635</v>
      </c>
      <c r="W224" s="62">
        <v>43651</v>
      </c>
      <c r="X224" s="37" t="s">
        <v>30</v>
      </c>
      <c r="Y224" s="37">
        <v>0</v>
      </c>
      <c r="Z224" s="37" t="s">
        <v>31</v>
      </c>
      <c r="AA224" s="37" t="s">
        <v>31</v>
      </c>
      <c r="AB224" s="37" t="s">
        <v>513</v>
      </c>
      <c r="AC224" s="61"/>
      <c r="AD224" s="34"/>
      <c r="AE224" s="98" t="s">
        <v>28</v>
      </c>
      <c r="AF224" s="36">
        <v>44191</v>
      </c>
      <c r="AG224" s="36">
        <v>44191</v>
      </c>
      <c r="AH224" s="37"/>
      <c r="AI224" s="72">
        <v>44185</v>
      </c>
      <c r="AJ224" s="38" t="s">
        <v>27</v>
      </c>
      <c r="AK224" s="39" t="e">
        <f>VLOOKUP(A224,'[1]Externe MAJ Nov'!$A:$H,8,0)</f>
        <v>#N/A</v>
      </c>
      <c r="AL224" s="61"/>
      <c r="AM224" s="61"/>
      <c r="AN224" s="61"/>
      <c r="AO224" s="58">
        <v>44185</v>
      </c>
      <c r="AP224" s="29" t="e">
        <f>VLOOKUP(A224,'[2]External Scan 02_21'!$B:$J,9,0)</f>
        <v>#N/A</v>
      </c>
      <c r="AQ224" s="29" t="s">
        <v>28</v>
      </c>
      <c r="AR224" s="21"/>
      <c r="AS224" s="21" t="str">
        <f>VLOOKUP(AE224,'ref statu'!A:B,2,0)</f>
        <v>Fixed</v>
      </c>
      <c r="AT224" s="8" t="e">
        <f>VLOOKUP(A224,chk!A:B,2,0)</f>
        <v>#N/A</v>
      </c>
      <c r="AU224" s="29" t="e">
        <f>VLOOKUP(A224,checker!A:B,2,0)</f>
        <v>#N/A</v>
      </c>
      <c r="AV224" s="29" t="e">
        <f>VLOOKUP(A224,checker!B:C,2,0)</f>
        <v>#N/A</v>
      </c>
    </row>
    <row r="225" spans="1:48" s="59" customFormat="1" x14ac:dyDescent="0.3">
      <c r="A225" s="29" t="str">
        <f t="shared" si="3"/>
        <v>96.692.66.646/0/oracle_linux-cve-2019-11091</v>
      </c>
      <c r="B225" s="61" t="s">
        <v>2997</v>
      </c>
      <c r="C225" s="61" t="s">
        <v>528</v>
      </c>
      <c r="D225" s="61" t="s">
        <v>2964</v>
      </c>
      <c r="E225" s="61" t="s">
        <v>28</v>
      </c>
      <c r="F225" s="61" t="s">
        <v>529</v>
      </c>
      <c r="G225" s="61" t="s">
        <v>530</v>
      </c>
      <c r="H225" s="61" t="s">
        <v>531</v>
      </c>
      <c r="I225" s="37" t="s">
        <v>532</v>
      </c>
      <c r="J225" s="37">
        <v>0</v>
      </c>
      <c r="K225" s="61" t="s">
        <v>258</v>
      </c>
      <c r="L225" s="61" t="s">
        <v>31</v>
      </c>
      <c r="M225" s="9">
        <v>5</v>
      </c>
      <c r="N225" s="9" t="s">
        <v>29</v>
      </c>
      <c r="O225" s="61" t="s">
        <v>1636</v>
      </c>
      <c r="P225" s="61" t="s">
        <v>1637</v>
      </c>
      <c r="Q225" s="61" t="s">
        <v>465</v>
      </c>
      <c r="R225" s="61" t="s">
        <v>1309</v>
      </c>
      <c r="S225" s="61" t="s">
        <v>1638</v>
      </c>
      <c r="T225" s="61" t="s">
        <v>31</v>
      </c>
      <c r="U225" s="61" t="s">
        <v>466</v>
      </c>
      <c r="V225" s="61" t="s">
        <v>467</v>
      </c>
      <c r="W225" s="62">
        <v>43599</v>
      </c>
      <c r="X225" s="37" t="s">
        <v>30</v>
      </c>
      <c r="Y225" s="37">
        <v>0</v>
      </c>
      <c r="Z225" s="37" t="s">
        <v>31</v>
      </c>
      <c r="AA225" s="37" t="s">
        <v>31</v>
      </c>
      <c r="AB225" s="37" t="s">
        <v>513</v>
      </c>
      <c r="AC225" s="61"/>
      <c r="AD225" s="33"/>
      <c r="AE225" s="98" t="s">
        <v>28</v>
      </c>
      <c r="AF225" s="36">
        <v>44191</v>
      </c>
      <c r="AG225" s="36">
        <v>44191</v>
      </c>
      <c r="AH225" s="37"/>
      <c r="AI225" s="72">
        <v>44185</v>
      </c>
      <c r="AJ225" s="38" t="s">
        <v>27</v>
      </c>
      <c r="AK225" s="39" t="e">
        <f>VLOOKUP(A225,'[1]Externe MAJ Nov'!$A:$H,8,0)</f>
        <v>#N/A</v>
      </c>
      <c r="AL225" s="61"/>
      <c r="AM225" s="61"/>
      <c r="AN225" s="61"/>
      <c r="AO225" s="58">
        <v>44185</v>
      </c>
      <c r="AP225" s="29" t="e">
        <f>VLOOKUP(A225,'[2]External Scan 02_21'!$B:$J,9,0)</f>
        <v>#N/A</v>
      </c>
      <c r="AQ225" s="29" t="s">
        <v>28</v>
      </c>
      <c r="AR225" s="21"/>
      <c r="AS225" s="21" t="str">
        <f>VLOOKUP(AE225,'ref statu'!A:B,2,0)</f>
        <v>Fixed</v>
      </c>
      <c r="AT225" s="8" t="e">
        <f>VLOOKUP(A225,chk!A:B,2,0)</f>
        <v>#N/A</v>
      </c>
      <c r="AU225" s="29" t="e">
        <f>VLOOKUP(A225,checker!A:B,2,0)</f>
        <v>#N/A</v>
      </c>
      <c r="AV225" s="29" t="e">
        <f>VLOOKUP(A225,checker!B:C,2,0)</f>
        <v>#N/A</v>
      </c>
    </row>
    <row r="226" spans="1:48" s="59" customFormat="1" x14ac:dyDescent="0.3">
      <c r="A226" s="29" t="str">
        <f t="shared" si="3"/>
        <v>96.692.66.646/0/oracle_linux-cve-2019-11135</v>
      </c>
      <c r="B226" s="61" t="s">
        <v>2997</v>
      </c>
      <c r="C226" s="61" t="s">
        <v>528</v>
      </c>
      <c r="D226" s="61" t="s">
        <v>2964</v>
      </c>
      <c r="E226" s="61" t="s">
        <v>28</v>
      </c>
      <c r="F226" s="61" t="s">
        <v>529</v>
      </c>
      <c r="G226" s="61" t="s">
        <v>530</v>
      </c>
      <c r="H226" s="61" t="s">
        <v>531</v>
      </c>
      <c r="I226" s="37" t="s">
        <v>532</v>
      </c>
      <c r="J226" s="37">
        <v>0</v>
      </c>
      <c r="K226" s="61" t="s">
        <v>258</v>
      </c>
      <c r="L226" s="61" t="s">
        <v>31</v>
      </c>
      <c r="M226" s="9">
        <v>2</v>
      </c>
      <c r="N226" s="9" t="s">
        <v>42</v>
      </c>
      <c r="O226" s="61" t="s">
        <v>1639</v>
      </c>
      <c r="P226" s="61" t="s">
        <v>1640</v>
      </c>
      <c r="Q226" s="61" t="s">
        <v>476</v>
      </c>
      <c r="R226" s="61" t="s">
        <v>1641</v>
      </c>
      <c r="S226" s="61" t="s">
        <v>1642</v>
      </c>
      <c r="T226" s="61" t="s">
        <v>31</v>
      </c>
      <c r="U226" s="61" t="s">
        <v>477</v>
      </c>
      <c r="V226" s="61" t="s">
        <v>478</v>
      </c>
      <c r="W226" s="62">
        <v>43781</v>
      </c>
      <c r="X226" s="37" t="s">
        <v>30</v>
      </c>
      <c r="Y226" s="37">
        <v>0</v>
      </c>
      <c r="Z226" s="37" t="s">
        <v>31</v>
      </c>
      <c r="AA226" s="37" t="s">
        <v>31</v>
      </c>
      <c r="AB226" s="37" t="s">
        <v>513</v>
      </c>
      <c r="AC226" s="61"/>
      <c r="AD226" s="34"/>
      <c r="AE226" s="98" t="s">
        <v>28</v>
      </c>
      <c r="AF226" s="36">
        <v>44191</v>
      </c>
      <c r="AG226" s="36">
        <v>44191</v>
      </c>
      <c r="AH226" s="37"/>
      <c r="AI226" s="72">
        <v>44185</v>
      </c>
      <c r="AJ226" s="38" t="s">
        <v>27</v>
      </c>
      <c r="AK226" s="39" t="e">
        <f>VLOOKUP(A226,'[1]Externe MAJ Nov'!$A:$H,8,0)</f>
        <v>#N/A</v>
      </c>
      <c r="AL226" s="61"/>
      <c r="AM226" s="61"/>
      <c r="AN226" s="61"/>
      <c r="AO226" s="58">
        <v>44185</v>
      </c>
      <c r="AP226" s="29" t="e">
        <f>VLOOKUP(A226,'[2]External Scan 02_21'!$B:$J,9,0)</f>
        <v>#N/A</v>
      </c>
      <c r="AQ226" s="29" t="s">
        <v>28</v>
      </c>
      <c r="AR226" s="21"/>
      <c r="AS226" s="21" t="str">
        <f>VLOOKUP(AE226,'ref statu'!A:B,2,0)</f>
        <v>Fixed</v>
      </c>
      <c r="AT226" s="8" t="e">
        <f>VLOOKUP(A226,chk!A:B,2,0)</f>
        <v>#N/A</v>
      </c>
      <c r="AU226" s="29" t="e">
        <f>VLOOKUP(A226,checker!A:B,2,0)</f>
        <v>#N/A</v>
      </c>
      <c r="AV226" s="29" t="e">
        <f>VLOOKUP(A226,checker!B:C,2,0)</f>
        <v>#N/A</v>
      </c>
    </row>
    <row r="227" spans="1:48" s="59" customFormat="1" x14ac:dyDescent="0.3">
      <c r="A227" s="29" t="str">
        <f t="shared" si="3"/>
        <v>96.692.66.646/0/oracle_linux-cve-2019-11190</v>
      </c>
      <c r="B227" s="61" t="s">
        <v>2997</v>
      </c>
      <c r="C227" s="61" t="s">
        <v>528</v>
      </c>
      <c r="D227" s="61" t="s">
        <v>2964</v>
      </c>
      <c r="E227" s="61" t="s">
        <v>28</v>
      </c>
      <c r="F227" s="61" t="s">
        <v>529</v>
      </c>
      <c r="G227" s="61" t="s">
        <v>530</v>
      </c>
      <c r="H227" s="61" t="s">
        <v>531</v>
      </c>
      <c r="I227" s="37" t="s">
        <v>532</v>
      </c>
      <c r="J227" s="37">
        <v>0</v>
      </c>
      <c r="K227" s="61" t="s">
        <v>258</v>
      </c>
      <c r="L227" s="61" t="s">
        <v>31</v>
      </c>
      <c r="M227" s="9">
        <v>5</v>
      </c>
      <c r="N227" s="9" t="s">
        <v>29</v>
      </c>
      <c r="O227" s="61" t="s">
        <v>1643</v>
      </c>
      <c r="P227" s="61" t="s">
        <v>1644</v>
      </c>
      <c r="Q227" s="61" t="s">
        <v>1645</v>
      </c>
      <c r="R227" s="61" t="s">
        <v>606</v>
      </c>
      <c r="S227" s="61" t="s">
        <v>1646</v>
      </c>
      <c r="T227" s="61" t="s">
        <v>31</v>
      </c>
      <c r="U227" s="61" t="s">
        <v>1647</v>
      </c>
      <c r="V227" s="61" t="s">
        <v>1648</v>
      </c>
      <c r="W227" s="62">
        <v>43566</v>
      </c>
      <c r="X227" s="37" t="s">
        <v>30</v>
      </c>
      <c r="Y227" s="37">
        <v>0</v>
      </c>
      <c r="Z227" s="37" t="s">
        <v>31</v>
      </c>
      <c r="AA227" s="37" t="s">
        <v>31</v>
      </c>
      <c r="AB227" s="37" t="s">
        <v>513</v>
      </c>
      <c r="AC227" s="61"/>
      <c r="AD227" s="34"/>
      <c r="AE227" s="98" t="s">
        <v>28</v>
      </c>
      <c r="AF227" s="36">
        <v>44191</v>
      </c>
      <c r="AG227" s="36">
        <v>44191</v>
      </c>
      <c r="AH227" s="37"/>
      <c r="AI227" s="72">
        <v>44185</v>
      </c>
      <c r="AJ227" s="38" t="s">
        <v>27</v>
      </c>
      <c r="AK227" s="39" t="e">
        <f>VLOOKUP(A227,'[1]Externe MAJ Nov'!$A:$H,8,0)</f>
        <v>#N/A</v>
      </c>
      <c r="AL227" s="61"/>
      <c r="AM227" s="61"/>
      <c r="AN227" s="61"/>
      <c r="AO227" s="58">
        <v>44185</v>
      </c>
      <c r="AP227" s="29" t="e">
        <f>VLOOKUP(A227,'[2]External Scan 02_21'!$B:$J,9,0)</f>
        <v>#N/A</v>
      </c>
      <c r="AQ227" s="29" t="s">
        <v>28</v>
      </c>
      <c r="AR227" s="21"/>
      <c r="AS227" s="21" t="str">
        <f>VLOOKUP(AE227,'ref statu'!A:B,2,0)</f>
        <v>Fixed</v>
      </c>
      <c r="AT227" s="8" t="e">
        <f>VLOOKUP(A227,chk!A:B,2,0)</f>
        <v>#N/A</v>
      </c>
      <c r="AU227" s="29" t="e">
        <f>VLOOKUP(A227,checker!A:B,2,0)</f>
        <v>#N/A</v>
      </c>
      <c r="AV227" s="29" t="e">
        <f>VLOOKUP(A227,checker!B:C,2,0)</f>
        <v>#N/A</v>
      </c>
    </row>
    <row r="228" spans="1:48" s="59" customFormat="1" x14ac:dyDescent="0.3">
      <c r="A228" s="29" t="str">
        <f t="shared" si="3"/>
        <v>96.692.66.646/0/oracle_linux-cve-2019-1125</v>
      </c>
      <c r="B228" s="61" t="s">
        <v>2997</v>
      </c>
      <c r="C228" s="61" t="s">
        <v>528</v>
      </c>
      <c r="D228" s="61" t="s">
        <v>2964</v>
      </c>
      <c r="E228" s="61" t="s">
        <v>28</v>
      </c>
      <c r="F228" s="61" t="s">
        <v>529</v>
      </c>
      <c r="G228" s="61" t="s">
        <v>530</v>
      </c>
      <c r="H228" s="61" t="s">
        <v>531</v>
      </c>
      <c r="I228" s="37" t="s">
        <v>532</v>
      </c>
      <c r="J228" s="37">
        <v>0</v>
      </c>
      <c r="K228" s="61" t="s">
        <v>258</v>
      </c>
      <c r="L228" s="61" t="s">
        <v>31</v>
      </c>
      <c r="M228" s="9">
        <v>2</v>
      </c>
      <c r="N228" s="9" t="s">
        <v>42</v>
      </c>
      <c r="O228" s="61" t="s">
        <v>1649</v>
      </c>
      <c r="P228" s="61" t="s">
        <v>1650</v>
      </c>
      <c r="Q228" s="61" t="s">
        <v>1651</v>
      </c>
      <c r="R228" s="61" t="s">
        <v>1369</v>
      </c>
      <c r="S228" s="61" t="s">
        <v>1652</v>
      </c>
      <c r="T228" s="61" t="s">
        <v>31</v>
      </c>
      <c r="U228" s="61" t="s">
        <v>1653</v>
      </c>
      <c r="V228" s="61" t="s">
        <v>1654</v>
      </c>
      <c r="W228" s="62">
        <v>43684</v>
      </c>
      <c r="X228" s="37" t="s">
        <v>30</v>
      </c>
      <c r="Y228" s="37">
        <v>1</v>
      </c>
      <c r="Z228" s="37" t="s">
        <v>279</v>
      </c>
      <c r="AA228" s="37" t="s">
        <v>1655</v>
      </c>
      <c r="AB228" s="37" t="s">
        <v>513</v>
      </c>
      <c r="AC228" s="61"/>
      <c r="AD228" s="33"/>
      <c r="AE228" s="98" t="s">
        <v>28</v>
      </c>
      <c r="AF228" s="36">
        <v>44191</v>
      </c>
      <c r="AG228" s="36">
        <v>44191</v>
      </c>
      <c r="AH228" s="37"/>
      <c r="AI228" s="72">
        <v>44185</v>
      </c>
      <c r="AJ228" s="38" t="s">
        <v>27</v>
      </c>
      <c r="AK228" s="39" t="e">
        <f>VLOOKUP(A228,'[1]Externe MAJ Nov'!$A:$H,8,0)</f>
        <v>#N/A</v>
      </c>
      <c r="AL228" s="61"/>
      <c r="AM228" s="61"/>
      <c r="AN228" s="61"/>
      <c r="AO228" s="58">
        <v>44185</v>
      </c>
      <c r="AP228" s="29" t="e">
        <f>VLOOKUP(A228,'[2]External Scan 02_21'!$B:$J,9,0)</f>
        <v>#N/A</v>
      </c>
      <c r="AQ228" s="29" t="s">
        <v>28</v>
      </c>
      <c r="AR228" s="21"/>
      <c r="AS228" s="21" t="str">
        <f>VLOOKUP(AE228,'ref statu'!A:B,2,0)</f>
        <v>Fixed</v>
      </c>
      <c r="AT228" s="8" t="e">
        <f>VLOOKUP(A228,chk!A:B,2,0)</f>
        <v>#N/A</v>
      </c>
      <c r="AU228" s="29" t="e">
        <f>VLOOKUP(A228,checker!A:B,2,0)</f>
        <v>#N/A</v>
      </c>
      <c r="AV228" s="29" t="e">
        <f>VLOOKUP(A228,checker!B:C,2,0)</f>
        <v>#N/A</v>
      </c>
    </row>
    <row r="229" spans="1:48" s="59" customFormat="1" x14ac:dyDescent="0.3">
      <c r="A229" s="29" t="str">
        <f t="shared" si="3"/>
        <v>96.692.66.646/0/oracle_linux-cve-2019-11477</v>
      </c>
      <c r="B229" s="61" t="s">
        <v>2997</v>
      </c>
      <c r="C229" s="61" t="s">
        <v>528</v>
      </c>
      <c r="D229" s="61" t="s">
        <v>2964</v>
      </c>
      <c r="E229" s="61" t="s">
        <v>28</v>
      </c>
      <c r="F229" s="61" t="s">
        <v>529</v>
      </c>
      <c r="G229" s="61" t="s">
        <v>530</v>
      </c>
      <c r="H229" s="61" t="s">
        <v>531</v>
      </c>
      <c r="I229" s="37" t="s">
        <v>532</v>
      </c>
      <c r="J229" s="37">
        <v>0</v>
      </c>
      <c r="K229" s="61" t="s">
        <v>258</v>
      </c>
      <c r="L229" s="61" t="s">
        <v>31</v>
      </c>
      <c r="M229" s="9">
        <v>8</v>
      </c>
      <c r="N229" s="10" t="s">
        <v>2540</v>
      </c>
      <c r="O229" s="61" t="s">
        <v>1656</v>
      </c>
      <c r="P229" s="61" t="s">
        <v>1657</v>
      </c>
      <c r="Q229" s="61" t="s">
        <v>1658</v>
      </c>
      <c r="R229" s="61" t="s">
        <v>1369</v>
      </c>
      <c r="S229" s="61" t="s">
        <v>1659</v>
      </c>
      <c r="T229" s="61" t="s">
        <v>31</v>
      </c>
      <c r="U229" s="61" t="s">
        <v>1660</v>
      </c>
      <c r="V229" s="61" t="s">
        <v>1661</v>
      </c>
      <c r="W229" s="62">
        <v>43633</v>
      </c>
      <c r="X229" s="37" t="s">
        <v>30</v>
      </c>
      <c r="Y229" s="37">
        <v>0</v>
      </c>
      <c r="Z229" s="37" t="s">
        <v>31</v>
      </c>
      <c r="AA229" s="37" t="s">
        <v>31</v>
      </c>
      <c r="AB229" s="37" t="s">
        <v>513</v>
      </c>
      <c r="AC229" s="61"/>
      <c r="AD229" s="34"/>
      <c r="AE229" s="98" t="s">
        <v>28</v>
      </c>
      <c r="AF229" s="36">
        <v>44191</v>
      </c>
      <c r="AG229" s="36">
        <v>44191</v>
      </c>
      <c r="AH229" s="37"/>
      <c r="AI229" s="72">
        <v>44185</v>
      </c>
      <c r="AJ229" s="38" t="s">
        <v>27</v>
      </c>
      <c r="AK229" s="39" t="e">
        <f>VLOOKUP(A229,'[1]Externe MAJ Nov'!$A:$H,8,0)</f>
        <v>#N/A</v>
      </c>
      <c r="AL229" s="61"/>
      <c r="AM229" s="61"/>
      <c r="AN229" s="61"/>
      <c r="AO229" s="58">
        <v>44185</v>
      </c>
      <c r="AP229" s="29" t="e">
        <f>VLOOKUP(A229,'[2]External Scan 02_21'!$B:$J,9,0)</f>
        <v>#N/A</v>
      </c>
      <c r="AQ229" s="29" t="s">
        <v>28</v>
      </c>
      <c r="AR229" s="21"/>
      <c r="AS229" s="21" t="str">
        <f>VLOOKUP(AE229,'ref statu'!A:B,2,0)</f>
        <v>Fixed</v>
      </c>
      <c r="AT229" s="8" t="e">
        <f>VLOOKUP(A229,chk!A:B,2,0)</f>
        <v>#N/A</v>
      </c>
      <c r="AU229" s="29" t="e">
        <f>VLOOKUP(A229,checker!A:B,2,0)</f>
        <v>#N/A</v>
      </c>
      <c r="AV229" s="29" t="e">
        <f>VLOOKUP(A229,checker!B:C,2,0)</f>
        <v>#N/A</v>
      </c>
    </row>
    <row r="230" spans="1:48" s="59" customFormat="1" x14ac:dyDescent="0.3">
      <c r="A230" s="29" t="str">
        <f t="shared" si="3"/>
        <v>96.692.66.646/0/oracle_linux-cve-2019-11478</v>
      </c>
      <c r="B230" s="61" t="s">
        <v>2997</v>
      </c>
      <c r="C230" s="61" t="s">
        <v>528</v>
      </c>
      <c r="D230" s="61" t="s">
        <v>2964</v>
      </c>
      <c r="E230" s="61" t="s">
        <v>28</v>
      </c>
      <c r="F230" s="61" t="s">
        <v>529</v>
      </c>
      <c r="G230" s="61" t="s">
        <v>530</v>
      </c>
      <c r="H230" s="61" t="s">
        <v>531</v>
      </c>
      <c r="I230" s="37" t="s">
        <v>532</v>
      </c>
      <c r="J230" s="37">
        <v>0</v>
      </c>
      <c r="K230" s="61" t="s">
        <v>258</v>
      </c>
      <c r="L230" s="61" t="s">
        <v>31</v>
      </c>
      <c r="M230" s="9">
        <v>5</v>
      </c>
      <c r="N230" s="9" t="s">
        <v>29</v>
      </c>
      <c r="O230" s="61" t="s">
        <v>1662</v>
      </c>
      <c r="P230" s="61" t="s">
        <v>1663</v>
      </c>
      <c r="Q230" s="61" t="s">
        <v>1664</v>
      </c>
      <c r="R230" s="61" t="s">
        <v>1369</v>
      </c>
      <c r="S230" s="61" t="s">
        <v>1665</v>
      </c>
      <c r="T230" s="61" t="s">
        <v>31</v>
      </c>
      <c r="U230" s="61" t="s">
        <v>1666</v>
      </c>
      <c r="V230" s="61" t="s">
        <v>1667</v>
      </c>
      <c r="W230" s="62">
        <v>43633</v>
      </c>
      <c r="X230" s="37" t="s">
        <v>30</v>
      </c>
      <c r="Y230" s="37">
        <v>0</v>
      </c>
      <c r="Z230" s="37" t="s">
        <v>31</v>
      </c>
      <c r="AA230" s="37" t="s">
        <v>31</v>
      </c>
      <c r="AB230" s="37" t="s">
        <v>513</v>
      </c>
      <c r="AC230" s="61"/>
      <c r="AD230" s="34"/>
      <c r="AE230" s="98" t="s">
        <v>28</v>
      </c>
      <c r="AF230" s="36">
        <v>44191</v>
      </c>
      <c r="AG230" s="36">
        <v>44191</v>
      </c>
      <c r="AH230" s="37"/>
      <c r="AI230" s="72">
        <v>44185</v>
      </c>
      <c r="AJ230" s="38" t="s">
        <v>27</v>
      </c>
      <c r="AK230" s="39" t="e">
        <f>VLOOKUP(A230,'[1]Externe MAJ Nov'!$A:$H,8,0)</f>
        <v>#N/A</v>
      </c>
      <c r="AL230" s="61"/>
      <c r="AM230" s="61"/>
      <c r="AN230" s="61"/>
      <c r="AO230" s="58">
        <v>44185</v>
      </c>
      <c r="AP230" s="29" t="e">
        <f>VLOOKUP(A230,'[2]External Scan 02_21'!$B:$J,9,0)</f>
        <v>#N/A</v>
      </c>
      <c r="AQ230" s="29" t="s">
        <v>28</v>
      </c>
      <c r="AR230" s="21"/>
      <c r="AS230" s="21" t="str">
        <f>VLOOKUP(AE230,'ref statu'!A:B,2,0)</f>
        <v>Fixed</v>
      </c>
      <c r="AT230" s="8" t="e">
        <f>VLOOKUP(A230,chk!A:B,2,0)</f>
        <v>#N/A</v>
      </c>
      <c r="AU230" s="29" t="e">
        <f>VLOOKUP(A230,checker!A:B,2,0)</f>
        <v>#N/A</v>
      </c>
      <c r="AV230" s="29" t="e">
        <f>VLOOKUP(A230,checker!B:C,2,0)</f>
        <v>#N/A</v>
      </c>
    </row>
    <row r="231" spans="1:48" s="59" customFormat="1" x14ac:dyDescent="0.3">
      <c r="A231" s="29" t="str">
        <f t="shared" si="3"/>
        <v>96.692.66.646/0/oracle_linux-cve-2019-11479</v>
      </c>
      <c r="B231" s="61" t="s">
        <v>2997</v>
      </c>
      <c r="C231" s="61" t="s">
        <v>528</v>
      </c>
      <c r="D231" s="61" t="s">
        <v>2964</v>
      </c>
      <c r="E231" s="61" t="s">
        <v>28</v>
      </c>
      <c r="F231" s="61" t="s">
        <v>529</v>
      </c>
      <c r="G231" s="61" t="s">
        <v>530</v>
      </c>
      <c r="H231" s="61" t="s">
        <v>531</v>
      </c>
      <c r="I231" s="37" t="s">
        <v>532</v>
      </c>
      <c r="J231" s="37">
        <v>0</v>
      </c>
      <c r="K231" s="61" t="s">
        <v>258</v>
      </c>
      <c r="L231" s="61" t="s">
        <v>31</v>
      </c>
      <c r="M231" s="9">
        <v>5</v>
      </c>
      <c r="N231" s="9" t="s">
        <v>29</v>
      </c>
      <c r="O231" s="61" t="s">
        <v>1668</v>
      </c>
      <c r="P231" s="61" t="s">
        <v>1669</v>
      </c>
      <c r="Q231" s="61" t="s">
        <v>1670</v>
      </c>
      <c r="R231" s="61" t="s">
        <v>1369</v>
      </c>
      <c r="S231" s="61" t="s">
        <v>1671</v>
      </c>
      <c r="T231" s="61" t="s">
        <v>31</v>
      </c>
      <c r="U231" s="61" t="s">
        <v>1672</v>
      </c>
      <c r="V231" s="61" t="s">
        <v>1673</v>
      </c>
      <c r="W231" s="62">
        <v>43633</v>
      </c>
      <c r="X231" s="37" t="s">
        <v>30</v>
      </c>
      <c r="Y231" s="37">
        <v>0</v>
      </c>
      <c r="Z231" s="37" t="s">
        <v>31</v>
      </c>
      <c r="AA231" s="37" t="s">
        <v>31</v>
      </c>
      <c r="AB231" s="37" t="s">
        <v>513</v>
      </c>
      <c r="AC231" s="61"/>
      <c r="AD231" s="33"/>
      <c r="AE231" s="98" t="s">
        <v>28</v>
      </c>
      <c r="AF231" s="36">
        <v>44191</v>
      </c>
      <c r="AG231" s="36">
        <v>44191</v>
      </c>
      <c r="AH231" s="37"/>
      <c r="AI231" s="72">
        <v>44185</v>
      </c>
      <c r="AJ231" s="38" t="s">
        <v>27</v>
      </c>
      <c r="AK231" s="39" t="e">
        <f>VLOOKUP(A231,'[1]Externe MAJ Nov'!$A:$H,8,0)</f>
        <v>#N/A</v>
      </c>
      <c r="AL231" s="61"/>
      <c r="AM231" s="61"/>
      <c r="AN231" s="61"/>
      <c r="AO231" s="58">
        <v>44185</v>
      </c>
      <c r="AP231" s="29" t="e">
        <f>VLOOKUP(A231,'[2]External Scan 02_21'!$B:$J,9,0)</f>
        <v>#N/A</v>
      </c>
      <c r="AQ231" s="29" t="s">
        <v>28</v>
      </c>
      <c r="AR231" s="21"/>
      <c r="AS231" s="21" t="str">
        <f>VLOOKUP(AE231,'ref statu'!A:B,2,0)</f>
        <v>Fixed</v>
      </c>
      <c r="AT231" s="8" t="e">
        <f>VLOOKUP(A231,chk!A:B,2,0)</f>
        <v>#N/A</v>
      </c>
      <c r="AU231" s="29" t="e">
        <f>VLOOKUP(A231,checker!A:B,2,0)</f>
        <v>#N/A</v>
      </c>
      <c r="AV231" s="29" t="e">
        <f>VLOOKUP(A231,checker!B:C,2,0)</f>
        <v>#N/A</v>
      </c>
    </row>
    <row r="232" spans="1:48" s="59" customFormat="1" x14ac:dyDescent="0.3">
      <c r="A232" s="29" t="str">
        <f t="shared" si="3"/>
        <v>96.692.66.646/0/oracle_linux-cve-2019-11487</v>
      </c>
      <c r="B232" s="61" t="s">
        <v>2997</v>
      </c>
      <c r="C232" s="61" t="s">
        <v>528</v>
      </c>
      <c r="D232" s="61" t="s">
        <v>2964</v>
      </c>
      <c r="E232" s="61" t="s">
        <v>28</v>
      </c>
      <c r="F232" s="61" t="s">
        <v>529</v>
      </c>
      <c r="G232" s="61" t="s">
        <v>530</v>
      </c>
      <c r="H232" s="61" t="s">
        <v>531</v>
      </c>
      <c r="I232" s="37" t="s">
        <v>532</v>
      </c>
      <c r="J232" s="37">
        <v>0</v>
      </c>
      <c r="K232" s="61" t="s">
        <v>258</v>
      </c>
      <c r="L232" s="61" t="s">
        <v>31</v>
      </c>
      <c r="M232" s="9">
        <v>7</v>
      </c>
      <c r="N232" s="10" t="s">
        <v>2540</v>
      </c>
      <c r="O232" s="61" t="s">
        <v>1674</v>
      </c>
      <c r="P232" s="61" t="s">
        <v>1675</v>
      </c>
      <c r="Q232" s="61" t="s">
        <v>1676</v>
      </c>
      <c r="R232" s="61" t="s">
        <v>1350</v>
      </c>
      <c r="S232" s="61" t="s">
        <v>1677</v>
      </c>
      <c r="T232" s="61" t="s">
        <v>31</v>
      </c>
      <c r="U232" s="61" t="s">
        <v>1678</v>
      </c>
      <c r="V232" s="61" t="s">
        <v>1679</v>
      </c>
      <c r="W232" s="62">
        <v>43578</v>
      </c>
      <c r="X232" s="37" t="s">
        <v>30</v>
      </c>
      <c r="Y232" s="37">
        <v>0</v>
      </c>
      <c r="Z232" s="37" t="s">
        <v>31</v>
      </c>
      <c r="AA232" s="37" t="s">
        <v>31</v>
      </c>
      <c r="AB232" s="37" t="s">
        <v>513</v>
      </c>
      <c r="AC232" s="61"/>
      <c r="AD232" s="34"/>
      <c r="AE232" s="98" t="s">
        <v>28</v>
      </c>
      <c r="AF232" s="36">
        <v>44191</v>
      </c>
      <c r="AG232" s="36">
        <v>44191</v>
      </c>
      <c r="AH232" s="37"/>
      <c r="AI232" s="72">
        <v>44185</v>
      </c>
      <c r="AJ232" s="38" t="s">
        <v>27</v>
      </c>
      <c r="AK232" s="39" t="e">
        <f>VLOOKUP(A232,'[1]Externe MAJ Nov'!$A:$H,8,0)</f>
        <v>#N/A</v>
      </c>
      <c r="AL232" s="61"/>
      <c r="AM232" s="61"/>
      <c r="AN232" s="61"/>
      <c r="AO232" s="58">
        <v>44185</v>
      </c>
      <c r="AP232" s="29" t="e">
        <f>VLOOKUP(A232,'[2]External Scan 02_21'!$B:$J,9,0)</f>
        <v>#N/A</v>
      </c>
      <c r="AQ232" s="29" t="s">
        <v>28</v>
      </c>
      <c r="AR232" s="21"/>
      <c r="AS232" s="21" t="str">
        <f>VLOOKUP(AE232,'ref statu'!A:B,2,0)</f>
        <v>Fixed</v>
      </c>
      <c r="AT232" s="8" t="e">
        <f>VLOOKUP(A232,chk!A:B,2,0)</f>
        <v>#N/A</v>
      </c>
      <c r="AU232" s="29" t="e">
        <f>VLOOKUP(A232,checker!A:B,2,0)</f>
        <v>#N/A</v>
      </c>
      <c r="AV232" s="29" t="e">
        <f>VLOOKUP(A232,checker!B:C,2,0)</f>
        <v>#N/A</v>
      </c>
    </row>
    <row r="233" spans="1:48" s="59" customFormat="1" x14ac:dyDescent="0.3">
      <c r="A233" s="29" t="str">
        <f t="shared" si="3"/>
        <v>96.692.66.646/0/oracle_linux-cve-2019-11810</v>
      </c>
      <c r="B233" s="61" t="s">
        <v>2997</v>
      </c>
      <c r="C233" s="61" t="s">
        <v>528</v>
      </c>
      <c r="D233" s="61" t="s">
        <v>2964</v>
      </c>
      <c r="E233" s="61" t="s">
        <v>28</v>
      </c>
      <c r="F233" s="61" t="s">
        <v>529</v>
      </c>
      <c r="G233" s="61" t="s">
        <v>530</v>
      </c>
      <c r="H233" s="61" t="s">
        <v>531</v>
      </c>
      <c r="I233" s="37" t="s">
        <v>532</v>
      </c>
      <c r="J233" s="37">
        <v>0</v>
      </c>
      <c r="K233" s="61" t="s">
        <v>258</v>
      </c>
      <c r="L233" s="61" t="s">
        <v>31</v>
      </c>
      <c r="M233" s="9">
        <v>8</v>
      </c>
      <c r="N233" s="10" t="s">
        <v>2540</v>
      </c>
      <c r="O233" s="61" t="s">
        <v>1680</v>
      </c>
      <c r="P233" s="61" t="s">
        <v>1681</v>
      </c>
      <c r="Q233" s="61" t="s">
        <v>1682</v>
      </c>
      <c r="R233" s="61" t="s">
        <v>1350</v>
      </c>
      <c r="S233" s="61" t="s">
        <v>1683</v>
      </c>
      <c r="T233" s="61" t="s">
        <v>31</v>
      </c>
      <c r="U233" s="61" t="s">
        <v>1684</v>
      </c>
      <c r="V233" s="61" t="s">
        <v>1685</v>
      </c>
      <c r="W233" s="62">
        <v>43592</v>
      </c>
      <c r="X233" s="37" t="s">
        <v>30</v>
      </c>
      <c r="Y233" s="37">
        <v>0</v>
      </c>
      <c r="Z233" s="37" t="s">
        <v>31</v>
      </c>
      <c r="AA233" s="37" t="s">
        <v>31</v>
      </c>
      <c r="AB233" s="37" t="s">
        <v>513</v>
      </c>
      <c r="AC233" s="61"/>
      <c r="AD233" s="34"/>
      <c r="AE233" s="98" t="s">
        <v>28</v>
      </c>
      <c r="AF233" s="36">
        <v>44191</v>
      </c>
      <c r="AG233" s="36">
        <v>44191</v>
      </c>
      <c r="AH233" s="37"/>
      <c r="AI233" s="72">
        <v>44185</v>
      </c>
      <c r="AJ233" s="38" t="s">
        <v>27</v>
      </c>
      <c r="AK233" s="39" t="e">
        <f>VLOOKUP(A233,'[1]Externe MAJ Nov'!$A:$H,8,0)</f>
        <v>#N/A</v>
      </c>
      <c r="AL233" s="61"/>
      <c r="AM233" s="61"/>
      <c r="AN233" s="61"/>
      <c r="AO233" s="58">
        <v>44185</v>
      </c>
      <c r="AP233" s="29" t="e">
        <f>VLOOKUP(A233,'[2]External Scan 02_21'!$B:$J,9,0)</f>
        <v>#N/A</v>
      </c>
      <c r="AQ233" s="29" t="s">
        <v>28</v>
      </c>
      <c r="AR233" s="21"/>
      <c r="AS233" s="21" t="str">
        <f>VLOOKUP(AE233,'ref statu'!A:B,2,0)</f>
        <v>Fixed</v>
      </c>
      <c r="AT233" s="8" t="e">
        <f>VLOOKUP(A233,chk!A:B,2,0)</f>
        <v>#N/A</v>
      </c>
      <c r="AU233" s="29" t="e">
        <f>VLOOKUP(A233,checker!A:B,2,0)</f>
        <v>#N/A</v>
      </c>
      <c r="AV233" s="29" t="e">
        <f>VLOOKUP(A233,checker!B:C,2,0)</f>
        <v>#N/A</v>
      </c>
    </row>
    <row r="234" spans="1:48" s="59" customFormat="1" x14ac:dyDescent="0.3">
      <c r="A234" s="29" t="str">
        <f t="shared" si="3"/>
        <v>96.692.66.646/0/oracle_linux-cve-2019-11815</v>
      </c>
      <c r="B234" s="61" t="s">
        <v>2997</v>
      </c>
      <c r="C234" s="61" t="s">
        <v>528</v>
      </c>
      <c r="D234" s="61" t="s">
        <v>2964</v>
      </c>
      <c r="E234" s="61" t="s">
        <v>28</v>
      </c>
      <c r="F234" s="61" t="s">
        <v>529</v>
      </c>
      <c r="G234" s="61" t="s">
        <v>530</v>
      </c>
      <c r="H234" s="61" t="s">
        <v>531</v>
      </c>
      <c r="I234" s="37" t="s">
        <v>532</v>
      </c>
      <c r="J234" s="37">
        <v>0</v>
      </c>
      <c r="K234" s="61" t="s">
        <v>258</v>
      </c>
      <c r="L234" s="61" t="s">
        <v>31</v>
      </c>
      <c r="M234" s="9">
        <v>9</v>
      </c>
      <c r="N234" s="10" t="s">
        <v>164</v>
      </c>
      <c r="O234" s="61" t="s">
        <v>1686</v>
      </c>
      <c r="P234" s="61" t="s">
        <v>1687</v>
      </c>
      <c r="Q234" s="61" t="s">
        <v>1688</v>
      </c>
      <c r="R234" s="61" t="s">
        <v>1343</v>
      </c>
      <c r="S234" s="61" t="s">
        <v>1689</v>
      </c>
      <c r="T234" s="61" t="s">
        <v>31</v>
      </c>
      <c r="U234" s="61" t="s">
        <v>1690</v>
      </c>
      <c r="V234" s="61" t="s">
        <v>1691</v>
      </c>
      <c r="W234" s="62">
        <v>43593</v>
      </c>
      <c r="X234" s="37" t="s">
        <v>30</v>
      </c>
      <c r="Y234" s="37">
        <v>0</v>
      </c>
      <c r="Z234" s="37" t="s">
        <v>31</v>
      </c>
      <c r="AA234" s="37" t="s">
        <v>31</v>
      </c>
      <c r="AB234" s="37" t="s">
        <v>513</v>
      </c>
      <c r="AC234" s="61"/>
      <c r="AD234" s="33"/>
      <c r="AE234" s="98" t="s">
        <v>28</v>
      </c>
      <c r="AF234" s="36">
        <v>44191</v>
      </c>
      <c r="AG234" s="36">
        <v>44191</v>
      </c>
      <c r="AH234" s="37"/>
      <c r="AI234" s="72">
        <v>44185</v>
      </c>
      <c r="AJ234" s="38" t="s">
        <v>27</v>
      </c>
      <c r="AK234" s="39" t="e">
        <f>VLOOKUP(A234,'[1]Externe MAJ Nov'!$A:$H,8,0)</f>
        <v>#N/A</v>
      </c>
      <c r="AL234" s="61"/>
      <c r="AM234" s="61"/>
      <c r="AN234" s="61"/>
      <c r="AO234" s="58">
        <v>44185</v>
      </c>
      <c r="AP234" s="29" t="e">
        <f>VLOOKUP(A234,'[2]External Scan 02_21'!$B:$J,9,0)</f>
        <v>#N/A</v>
      </c>
      <c r="AQ234" s="29" t="s">
        <v>28</v>
      </c>
      <c r="AR234" s="21"/>
      <c r="AS234" s="21" t="str">
        <f>VLOOKUP(AE234,'ref statu'!A:B,2,0)</f>
        <v>Fixed</v>
      </c>
      <c r="AT234" s="8" t="e">
        <f>VLOOKUP(A234,chk!A:B,2,0)</f>
        <v>#N/A</v>
      </c>
      <c r="AU234" s="29" t="e">
        <f>VLOOKUP(A234,checker!A:B,2,0)</f>
        <v>#N/A</v>
      </c>
      <c r="AV234" s="29" t="e">
        <f>VLOOKUP(A234,checker!B:C,2,0)</f>
        <v>#N/A</v>
      </c>
    </row>
    <row r="235" spans="1:48" s="59" customFormat="1" x14ac:dyDescent="0.3">
      <c r="A235" s="29" t="str">
        <f t="shared" si="3"/>
        <v>96.692.66.646/0/oracle_linux-cve-2019-11833</v>
      </c>
      <c r="B235" s="61" t="s">
        <v>2997</v>
      </c>
      <c r="C235" s="61" t="s">
        <v>528</v>
      </c>
      <c r="D235" s="61" t="s">
        <v>2964</v>
      </c>
      <c r="E235" s="61" t="s">
        <v>28</v>
      </c>
      <c r="F235" s="61" t="s">
        <v>529</v>
      </c>
      <c r="G235" s="61" t="s">
        <v>530</v>
      </c>
      <c r="H235" s="61" t="s">
        <v>531</v>
      </c>
      <c r="I235" s="37" t="s">
        <v>532</v>
      </c>
      <c r="J235" s="37">
        <v>0</v>
      </c>
      <c r="K235" s="61" t="s">
        <v>258</v>
      </c>
      <c r="L235" s="61" t="s">
        <v>31</v>
      </c>
      <c r="M235" s="9">
        <v>2</v>
      </c>
      <c r="N235" s="9" t="s">
        <v>42</v>
      </c>
      <c r="O235" s="61" t="s">
        <v>1692</v>
      </c>
      <c r="P235" s="61" t="s">
        <v>1693</v>
      </c>
      <c r="Q235" s="61" t="s">
        <v>1694</v>
      </c>
      <c r="R235" s="61" t="s">
        <v>1350</v>
      </c>
      <c r="S235" s="61" t="s">
        <v>1695</v>
      </c>
      <c r="T235" s="61" t="s">
        <v>31</v>
      </c>
      <c r="U235" s="61" t="s">
        <v>1696</v>
      </c>
      <c r="V235" s="61" t="s">
        <v>1697</v>
      </c>
      <c r="W235" s="62">
        <v>43600</v>
      </c>
      <c r="X235" s="37" t="s">
        <v>30</v>
      </c>
      <c r="Y235" s="37">
        <v>0</v>
      </c>
      <c r="Z235" s="37" t="s">
        <v>31</v>
      </c>
      <c r="AA235" s="37" t="s">
        <v>31</v>
      </c>
      <c r="AB235" s="37" t="s">
        <v>513</v>
      </c>
      <c r="AC235" s="61"/>
      <c r="AD235" s="34"/>
      <c r="AE235" s="98" t="s">
        <v>28</v>
      </c>
      <c r="AF235" s="36">
        <v>44191</v>
      </c>
      <c r="AG235" s="36">
        <v>44191</v>
      </c>
      <c r="AH235" s="37"/>
      <c r="AI235" s="72">
        <v>44185</v>
      </c>
      <c r="AJ235" s="38" t="s">
        <v>27</v>
      </c>
      <c r="AK235" s="39" t="e">
        <f>VLOOKUP(A235,'[1]Externe MAJ Nov'!$A:$H,8,0)</f>
        <v>#N/A</v>
      </c>
      <c r="AL235" s="61"/>
      <c r="AM235" s="61"/>
      <c r="AN235" s="61"/>
      <c r="AO235" s="58">
        <v>44185</v>
      </c>
      <c r="AP235" s="29" t="e">
        <f>VLOOKUP(A235,'[2]External Scan 02_21'!$B:$J,9,0)</f>
        <v>#N/A</v>
      </c>
      <c r="AQ235" s="29" t="s">
        <v>28</v>
      </c>
      <c r="AR235" s="21"/>
      <c r="AS235" s="21" t="str">
        <f>VLOOKUP(AE235,'ref statu'!A:B,2,0)</f>
        <v>Fixed</v>
      </c>
      <c r="AT235" s="8" t="e">
        <f>VLOOKUP(A235,chk!A:B,2,0)</f>
        <v>#N/A</v>
      </c>
      <c r="AU235" s="29" t="e">
        <f>VLOOKUP(A235,checker!A:B,2,0)</f>
        <v>#N/A</v>
      </c>
      <c r="AV235" s="29" t="e">
        <f>VLOOKUP(A235,checker!B:C,2,0)</f>
        <v>#N/A</v>
      </c>
    </row>
    <row r="236" spans="1:48" x14ac:dyDescent="0.3">
      <c r="A236" s="29" t="str">
        <f t="shared" si="3"/>
        <v>96.692.66.646/0/oracle_linux-cve-2019-11884</v>
      </c>
      <c r="B236" s="61" t="s">
        <v>2997</v>
      </c>
      <c r="C236" s="61" t="s">
        <v>528</v>
      </c>
      <c r="D236" s="61" t="s">
        <v>2964</v>
      </c>
      <c r="E236" s="61" t="s">
        <v>28</v>
      </c>
      <c r="F236" s="61" t="s">
        <v>529</v>
      </c>
      <c r="G236" s="61" t="s">
        <v>530</v>
      </c>
      <c r="H236" s="61" t="s">
        <v>531</v>
      </c>
      <c r="I236" s="37" t="s">
        <v>532</v>
      </c>
      <c r="J236" s="37">
        <v>0</v>
      </c>
      <c r="K236" s="61" t="s">
        <v>258</v>
      </c>
      <c r="L236" s="61" t="s">
        <v>31</v>
      </c>
      <c r="M236" s="9">
        <v>2</v>
      </c>
      <c r="N236" s="9" t="s">
        <v>42</v>
      </c>
      <c r="O236" s="61" t="s">
        <v>1698</v>
      </c>
      <c r="P236" s="61" t="s">
        <v>1699</v>
      </c>
      <c r="Q236" s="61" t="s">
        <v>1700</v>
      </c>
      <c r="R236" s="61" t="s">
        <v>1369</v>
      </c>
      <c r="S236" s="61" t="s">
        <v>1701</v>
      </c>
      <c r="T236" s="61" t="s">
        <v>31</v>
      </c>
      <c r="U236" s="61" t="s">
        <v>1702</v>
      </c>
      <c r="V236" s="61" t="s">
        <v>1703</v>
      </c>
      <c r="W236" s="62">
        <v>43595</v>
      </c>
      <c r="X236" s="37" t="s">
        <v>30</v>
      </c>
      <c r="Y236" s="37">
        <v>0</v>
      </c>
      <c r="Z236" s="37" t="s">
        <v>31</v>
      </c>
      <c r="AA236" s="37" t="s">
        <v>31</v>
      </c>
      <c r="AB236" s="37" t="s">
        <v>513</v>
      </c>
      <c r="AC236" s="61"/>
      <c r="AD236" s="34"/>
      <c r="AE236" s="98" t="s">
        <v>28</v>
      </c>
      <c r="AF236" s="36">
        <v>44191</v>
      </c>
      <c r="AG236" s="36">
        <v>44191</v>
      </c>
      <c r="AH236" s="37"/>
      <c r="AI236" s="72">
        <v>44185</v>
      </c>
      <c r="AJ236" s="38" t="s">
        <v>27</v>
      </c>
      <c r="AK236" s="39" t="e">
        <f>VLOOKUP(A236,'[1]Externe MAJ Nov'!$A:$H,8,0)</f>
        <v>#N/A</v>
      </c>
      <c r="AL236" s="61"/>
      <c r="AM236" s="61"/>
      <c r="AN236" s="61"/>
      <c r="AO236" s="58">
        <v>44185</v>
      </c>
      <c r="AP236" s="29" t="e">
        <f>VLOOKUP(A236,'[2]External Scan 02_21'!$B:$J,9,0)</f>
        <v>#N/A</v>
      </c>
      <c r="AQ236" s="29" t="s">
        <v>28</v>
      </c>
      <c r="AR236" s="21"/>
      <c r="AS236" s="21" t="str">
        <f>VLOOKUP(AE236,'ref statu'!A:B,2,0)</f>
        <v>Fixed</v>
      </c>
      <c r="AT236" s="8" t="e">
        <f>VLOOKUP(A236,chk!A:B,2,0)</f>
        <v>#N/A</v>
      </c>
      <c r="AU236" s="29" t="e">
        <f>VLOOKUP(A236,checker!A:B,2,0)</f>
        <v>#N/A</v>
      </c>
      <c r="AV236" s="29" t="e">
        <f>VLOOKUP(A236,checker!B:C,2,0)</f>
        <v>#N/A</v>
      </c>
    </row>
    <row r="237" spans="1:48" x14ac:dyDescent="0.3">
      <c r="A237" s="29" t="str">
        <f t="shared" si="3"/>
        <v>96.692.66.646/0/oracle_linux-cve-2019-12378</v>
      </c>
      <c r="B237" s="61" t="s">
        <v>2997</v>
      </c>
      <c r="C237" s="61" t="s">
        <v>528</v>
      </c>
      <c r="D237" s="61" t="s">
        <v>2964</v>
      </c>
      <c r="E237" s="61" t="s">
        <v>28</v>
      </c>
      <c r="F237" s="61" t="s">
        <v>529</v>
      </c>
      <c r="G237" s="61" t="s">
        <v>530</v>
      </c>
      <c r="H237" s="61" t="s">
        <v>531</v>
      </c>
      <c r="I237" s="37" t="s">
        <v>532</v>
      </c>
      <c r="J237" s="37">
        <v>0</v>
      </c>
      <c r="K237" s="61" t="s">
        <v>258</v>
      </c>
      <c r="L237" s="61" t="s">
        <v>31</v>
      </c>
      <c r="M237" s="9">
        <v>5</v>
      </c>
      <c r="N237" s="9" t="s">
        <v>29</v>
      </c>
      <c r="O237" s="61" t="s">
        <v>1704</v>
      </c>
      <c r="P237" s="61" t="s">
        <v>1705</v>
      </c>
      <c r="Q237" s="61" t="s">
        <v>1706</v>
      </c>
      <c r="R237" s="61" t="s">
        <v>1343</v>
      </c>
      <c r="S237" s="61" t="s">
        <v>1707</v>
      </c>
      <c r="T237" s="61" t="s">
        <v>31</v>
      </c>
      <c r="U237" s="61" t="s">
        <v>1708</v>
      </c>
      <c r="V237" s="61" t="s">
        <v>1709</v>
      </c>
      <c r="W237" s="62">
        <v>43613</v>
      </c>
      <c r="X237" s="37" t="s">
        <v>30</v>
      </c>
      <c r="Y237" s="37">
        <v>0</v>
      </c>
      <c r="Z237" s="37" t="s">
        <v>31</v>
      </c>
      <c r="AA237" s="37" t="s">
        <v>31</v>
      </c>
      <c r="AB237" s="37" t="s">
        <v>513</v>
      </c>
      <c r="AC237" s="61"/>
      <c r="AD237" s="33"/>
      <c r="AE237" s="98" t="s">
        <v>28</v>
      </c>
      <c r="AF237" s="36">
        <v>44191</v>
      </c>
      <c r="AG237" s="36">
        <v>44191</v>
      </c>
      <c r="AH237" s="37"/>
      <c r="AI237" s="72">
        <v>44185</v>
      </c>
      <c r="AJ237" s="38" t="s">
        <v>27</v>
      </c>
      <c r="AK237" s="39" t="e">
        <f>VLOOKUP(A237,'[1]Externe MAJ Nov'!$A:$H,8,0)</f>
        <v>#N/A</v>
      </c>
      <c r="AL237" s="61"/>
      <c r="AM237" s="61"/>
      <c r="AN237" s="61"/>
      <c r="AO237" s="58">
        <v>44185</v>
      </c>
      <c r="AP237" s="29" t="e">
        <f>VLOOKUP(A237,'[2]External Scan 02_21'!$B:$J,9,0)</f>
        <v>#N/A</v>
      </c>
      <c r="AQ237" s="29" t="s">
        <v>28</v>
      </c>
      <c r="AR237" s="21"/>
      <c r="AS237" s="21" t="str">
        <f>VLOOKUP(AE237,'ref statu'!A:B,2,0)</f>
        <v>Fixed</v>
      </c>
      <c r="AT237" s="8" t="e">
        <f>VLOOKUP(A237,chk!A:B,2,0)</f>
        <v>#N/A</v>
      </c>
      <c r="AU237" s="29" t="e">
        <f>VLOOKUP(A237,checker!A:B,2,0)</f>
        <v>#N/A</v>
      </c>
      <c r="AV237" s="29" t="e">
        <f>VLOOKUP(A237,checker!B:C,2,0)</f>
        <v>#N/A</v>
      </c>
    </row>
    <row r="238" spans="1:48" x14ac:dyDescent="0.3">
      <c r="A238" s="29" t="str">
        <f t="shared" si="3"/>
        <v>96.692.66.646/0/oracle_linux-cve-2019-12381</v>
      </c>
      <c r="B238" s="61" t="s">
        <v>2997</v>
      </c>
      <c r="C238" s="61" t="s">
        <v>528</v>
      </c>
      <c r="D238" s="61" t="s">
        <v>2964</v>
      </c>
      <c r="E238" s="61" t="s">
        <v>28</v>
      </c>
      <c r="F238" s="61" t="s">
        <v>529</v>
      </c>
      <c r="G238" s="61" t="s">
        <v>530</v>
      </c>
      <c r="H238" s="61" t="s">
        <v>531</v>
      </c>
      <c r="I238" s="37" t="s">
        <v>532</v>
      </c>
      <c r="J238" s="37">
        <v>0</v>
      </c>
      <c r="K238" s="61" t="s">
        <v>258</v>
      </c>
      <c r="L238" s="61" t="s">
        <v>31</v>
      </c>
      <c r="M238" s="9">
        <v>5</v>
      </c>
      <c r="N238" s="9" t="s">
        <v>29</v>
      </c>
      <c r="O238" s="61" t="s">
        <v>1710</v>
      </c>
      <c r="P238" s="61" t="s">
        <v>1711</v>
      </c>
      <c r="Q238" s="61" t="s">
        <v>1712</v>
      </c>
      <c r="R238" s="61" t="s">
        <v>1343</v>
      </c>
      <c r="S238" s="61" t="s">
        <v>1713</v>
      </c>
      <c r="T238" s="61" t="s">
        <v>31</v>
      </c>
      <c r="U238" s="61" t="s">
        <v>1714</v>
      </c>
      <c r="V238" s="61" t="s">
        <v>1715</v>
      </c>
      <c r="W238" s="62">
        <v>43613</v>
      </c>
      <c r="X238" s="37" t="s">
        <v>30</v>
      </c>
      <c r="Y238" s="37">
        <v>0</v>
      </c>
      <c r="Z238" s="37" t="s">
        <v>31</v>
      </c>
      <c r="AA238" s="37" t="s">
        <v>31</v>
      </c>
      <c r="AB238" s="37" t="s">
        <v>513</v>
      </c>
      <c r="AC238" s="61"/>
      <c r="AD238" s="34"/>
      <c r="AE238" s="98" t="s">
        <v>28</v>
      </c>
      <c r="AF238" s="36">
        <v>44191</v>
      </c>
      <c r="AG238" s="36">
        <v>44191</v>
      </c>
      <c r="AH238" s="37"/>
      <c r="AI238" s="72">
        <v>44185</v>
      </c>
      <c r="AJ238" s="38" t="s">
        <v>27</v>
      </c>
      <c r="AK238" s="39" t="e">
        <f>VLOOKUP(A238,'[1]Externe MAJ Nov'!$A:$H,8,0)</f>
        <v>#N/A</v>
      </c>
      <c r="AL238" s="61"/>
      <c r="AM238" s="61"/>
      <c r="AN238" s="61"/>
      <c r="AO238" s="58">
        <v>44185</v>
      </c>
      <c r="AP238" s="29" t="e">
        <f>VLOOKUP(A238,'[2]External Scan 02_21'!$B:$J,9,0)</f>
        <v>#N/A</v>
      </c>
      <c r="AQ238" s="29" t="s">
        <v>28</v>
      </c>
      <c r="AR238" s="21"/>
      <c r="AS238" s="21" t="str">
        <f>VLOOKUP(AE238,'ref statu'!A:B,2,0)</f>
        <v>Fixed</v>
      </c>
      <c r="AT238" s="8" t="e">
        <f>VLOOKUP(A238,chk!A:B,2,0)</f>
        <v>#N/A</v>
      </c>
      <c r="AU238" s="29" t="e">
        <f>VLOOKUP(A238,checker!A:B,2,0)</f>
        <v>#N/A</v>
      </c>
      <c r="AV238" s="29" t="e">
        <f>VLOOKUP(A238,checker!B:C,2,0)</f>
        <v>#N/A</v>
      </c>
    </row>
    <row r="239" spans="1:48" x14ac:dyDescent="0.3">
      <c r="A239" s="29" t="str">
        <f t="shared" si="3"/>
        <v>96.692.66.646/0/oracle_linux-cve-2019-12819</v>
      </c>
      <c r="B239" s="61" t="s">
        <v>2997</v>
      </c>
      <c r="C239" s="61" t="s">
        <v>528</v>
      </c>
      <c r="D239" s="61" t="s">
        <v>2964</v>
      </c>
      <c r="E239" s="61" t="s">
        <v>28</v>
      </c>
      <c r="F239" s="61" t="s">
        <v>529</v>
      </c>
      <c r="G239" s="61" t="s">
        <v>530</v>
      </c>
      <c r="H239" s="61" t="s">
        <v>531</v>
      </c>
      <c r="I239" s="37" t="s">
        <v>532</v>
      </c>
      <c r="J239" s="37">
        <v>0</v>
      </c>
      <c r="K239" s="61" t="s">
        <v>258</v>
      </c>
      <c r="L239" s="61" t="s">
        <v>31</v>
      </c>
      <c r="M239" s="9">
        <v>2</v>
      </c>
      <c r="N239" s="9" t="s">
        <v>42</v>
      </c>
      <c r="O239" s="61" t="s">
        <v>1716</v>
      </c>
      <c r="P239" s="61" t="s">
        <v>1717</v>
      </c>
      <c r="Q239" s="61" t="s">
        <v>1718</v>
      </c>
      <c r="R239" s="61" t="s">
        <v>536</v>
      </c>
      <c r="S239" s="61" t="s">
        <v>1719</v>
      </c>
      <c r="T239" s="61" t="s">
        <v>31</v>
      </c>
      <c r="U239" s="61" t="s">
        <v>1720</v>
      </c>
      <c r="V239" s="61" t="s">
        <v>1721</v>
      </c>
      <c r="W239" s="62">
        <v>43630</v>
      </c>
      <c r="X239" s="37" t="s">
        <v>30</v>
      </c>
      <c r="Y239" s="37">
        <v>0</v>
      </c>
      <c r="Z239" s="37" t="s">
        <v>31</v>
      </c>
      <c r="AA239" s="37" t="s">
        <v>31</v>
      </c>
      <c r="AB239" s="37" t="s">
        <v>513</v>
      </c>
      <c r="AC239" s="61"/>
      <c r="AD239" s="34"/>
      <c r="AE239" s="98" t="s">
        <v>28</v>
      </c>
      <c r="AF239" s="36">
        <v>44191</v>
      </c>
      <c r="AG239" s="36">
        <v>44191</v>
      </c>
      <c r="AH239" s="37"/>
      <c r="AI239" s="72">
        <v>44185</v>
      </c>
      <c r="AJ239" s="38" t="s">
        <v>27</v>
      </c>
      <c r="AK239" s="39" t="e">
        <f>VLOOKUP(A239,'[1]Externe MAJ Nov'!$A:$H,8,0)</f>
        <v>#N/A</v>
      </c>
      <c r="AL239" s="61"/>
      <c r="AM239" s="61"/>
      <c r="AN239" s="61"/>
      <c r="AO239" s="58">
        <v>44185</v>
      </c>
      <c r="AP239" s="29" t="e">
        <f>VLOOKUP(A239,'[2]External Scan 02_21'!$B:$J,9,0)</f>
        <v>#N/A</v>
      </c>
      <c r="AQ239" s="29" t="s">
        <v>28</v>
      </c>
      <c r="AR239" s="21"/>
      <c r="AS239" s="21" t="str">
        <f>VLOOKUP(AE239,'ref statu'!A:B,2,0)</f>
        <v>Fixed</v>
      </c>
      <c r="AT239" s="8" t="e">
        <f>VLOOKUP(A239,chk!A:B,2,0)</f>
        <v>#N/A</v>
      </c>
      <c r="AU239" s="29" t="e">
        <f>VLOOKUP(A239,checker!A:B,2,0)</f>
        <v>#N/A</v>
      </c>
      <c r="AV239" s="29" t="e">
        <f>VLOOKUP(A239,checker!B:C,2,0)</f>
        <v>#N/A</v>
      </c>
    </row>
    <row r="240" spans="1:48" x14ac:dyDescent="0.3">
      <c r="A240" s="29" t="str">
        <f t="shared" si="3"/>
        <v>96.692.66.646/0/oracle_linux-cve-2019-13631</v>
      </c>
      <c r="B240" s="61" t="s">
        <v>2997</v>
      </c>
      <c r="C240" s="61" t="s">
        <v>528</v>
      </c>
      <c r="D240" s="61" t="s">
        <v>2964</v>
      </c>
      <c r="E240" s="61" t="s">
        <v>28</v>
      </c>
      <c r="F240" s="61" t="s">
        <v>529</v>
      </c>
      <c r="G240" s="61" t="s">
        <v>530</v>
      </c>
      <c r="H240" s="61" t="s">
        <v>531</v>
      </c>
      <c r="I240" s="37" t="s">
        <v>532</v>
      </c>
      <c r="J240" s="37">
        <v>0</v>
      </c>
      <c r="K240" s="61" t="s">
        <v>258</v>
      </c>
      <c r="L240" s="61" t="s">
        <v>31</v>
      </c>
      <c r="M240" s="9">
        <v>5</v>
      </c>
      <c r="N240" s="9" t="s">
        <v>29</v>
      </c>
      <c r="O240" s="61" t="s">
        <v>1722</v>
      </c>
      <c r="P240" s="61" t="s">
        <v>1723</v>
      </c>
      <c r="Q240" s="61" t="s">
        <v>1724</v>
      </c>
      <c r="R240" s="61" t="s">
        <v>723</v>
      </c>
      <c r="S240" s="61" t="s">
        <v>1725</v>
      </c>
      <c r="T240" s="61" t="s">
        <v>31</v>
      </c>
      <c r="U240" s="61" t="s">
        <v>1726</v>
      </c>
      <c r="V240" s="61" t="s">
        <v>1727</v>
      </c>
      <c r="W240" s="62">
        <v>43663</v>
      </c>
      <c r="X240" s="37" t="s">
        <v>30</v>
      </c>
      <c r="Y240" s="37">
        <v>0</v>
      </c>
      <c r="Z240" s="37" t="s">
        <v>31</v>
      </c>
      <c r="AA240" s="37" t="s">
        <v>31</v>
      </c>
      <c r="AB240" s="37" t="s">
        <v>513</v>
      </c>
      <c r="AC240" s="61"/>
      <c r="AD240" s="33"/>
      <c r="AE240" s="98" t="s">
        <v>28</v>
      </c>
      <c r="AF240" s="36">
        <v>44191</v>
      </c>
      <c r="AG240" s="36">
        <v>44191</v>
      </c>
      <c r="AH240" s="37"/>
      <c r="AI240" s="72">
        <v>44185</v>
      </c>
      <c r="AJ240" s="38" t="s">
        <v>27</v>
      </c>
      <c r="AK240" s="39" t="e">
        <f>VLOOKUP(A240,'[1]Externe MAJ Nov'!$A:$H,8,0)</f>
        <v>#N/A</v>
      </c>
      <c r="AL240" s="61"/>
      <c r="AM240" s="61"/>
      <c r="AN240" s="61"/>
      <c r="AO240" s="58">
        <v>44185</v>
      </c>
      <c r="AP240" s="29" t="e">
        <f>VLOOKUP(A240,'[2]External Scan 02_21'!$B:$J,9,0)</f>
        <v>#N/A</v>
      </c>
      <c r="AQ240" s="29" t="s">
        <v>28</v>
      </c>
      <c r="AR240" s="21"/>
      <c r="AS240" s="21" t="str">
        <f>VLOOKUP(AE240,'ref statu'!A:B,2,0)</f>
        <v>Fixed</v>
      </c>
      <c r="AT240" s="8" t="e">
        <f>VLOOKUP(A240,chk!A:B,2,0)</f>
        <v>#N/A</v>
      </c>
      <c r="AU240" s="29" t="e">
        <f>VLOOKUP(A240,checker!A:B,2,0)</f>
        <v>#N/A</v>
      </c>
      <c r="AV240" s="29" t="e">
        <f>VLOOKUP(A240,checker!B:C,2,0)</f>
        <v>#N/A</v>
      </c>
    </row>
    <row r="241" spans="1:48" x14ac:dyDescent="0.3">
      <c r="A241" s="29" t="str">
        <f t="shared" si="3"/>
        <v>96.692.66.646/0/oracle_linux-cve-2019-14283</v>
      </c>
      <c r="B241" s="61" t="s">
        <v>2997</v>
      </c>
      <c r="C241" s="61" t="s">
        <v>528</v>
      </c>
      <c r="D241" s="61" t="s">
        <v>2964</v>
      </c>
      <c r="E241" s="61" t="s">
        <v>28</v>
      </c>
      <c r="F241" s="61" t="s">
        <v>529</v>
      </c>
      <c r="G241" s="61" t="s">
        <v>530</v>
      </c>
      <c r="H241" s="61" t="s">
        <v>531</v>
      </c>
      <c r="I241" s="37" t="s">
        <v>532</v>
      </c>
      <c r="J241" s="37">
        <v>0</v>
      </c>
      <c r="K241" s="61" t="s">
        <v>258</v>
      </c>
      <c r="L241" s="61" t="s">
        <v>31</v>
      </c>
      <c r="M241" s="9">
        <v>5</v>
      </c>
      <c r="N241" s="9" t="s">
        <v>29</v>
      </c>
      <c r="O241" s="61" t="s">
        <v>1728</v>
      </c>
      <c r="P241" s="61" t="s">
        <v>1729</v>
      </c>
      <c r="Q241" s="61" t="s">
        <v>1730</v>
      </c>
      <c r="R241" s="61" t="s">
        <v>606</v>
      </c>
      <c r="S241" s="61" t="s">
        <v>1731</v>
      </c>
      <c r="T241" s="61" t="s">
        <v>31</v>
      </c>
      <c r="U241" s="61" t="s">
        <v>1732</v>
      </c>
      <c r="V241" s="61" t="s">
        <v>1733</v>
      </c>
      <c r="W241" s="62">
        <v>43672</v>
      </c>
      <c r="X241" s="37" t="s">
        <v>30</v>
      </c>
      <c r="Y241" s="37">
        <v>0</v>
      </c>
      <c r="Z241" s="37" t="s">
        <v>31</v>
      </c>
      <c r="AA241" s="37" t="s">
        <v>31</v>
      </c>
      <c r="AB241" s="37" t="s">
        <v>513</v>
      </c>
      <c r="AC241" s="61"/>
      <c r="AD241" s="34"/>
      <c r="AE241" s="98" t="s">
        <v>28</v>
      </c>
      <c r="AF241" s="36">
        <v>44191</v>
      </c>
      <c r="AG241" s="36">
        <v>44191</v>
      </c>
      <c r="AH241" s="37"/>
      <c r="AI241" s="72">
        <v>44185</v>
      </c>
      <c r="AJ241" s="38" t="s">
        <v>27</v>
      </c>
      <c r="AK241" s="39" t="e">
        <f>VLOOKUP(A241,'[1]Externe MAJ Nov'!$A:$H,8,0)</f>
        <v>#N/A</v>
      </c>
      <c r="AL241" s="61"/>
      <c r="AM241" s="61"/>
      <c r="AN241" s="61"/>
      <c r="AO241" s="58">
        <v>44185</v>
      </c>
      <c r="AP241" s="29" t="e">
        <f>VLOOKUP(A241,'[2]External Scan 02_21'!$B:$J,9,0)</f>
        <v>#N/A</v>
      </c>
      <c r="AQ241" s="29" t="s">
        <v>28</v>
      </c>
      <c r="AR241" s="21"/>
      <c r="AS241" s="21" t="str">
        <f>VLOOKUP(AE241,'ref statu'!A:B,2,0)</f>
        <v>Fixed</v>
      </c>
      <c r="AT241" s="8" t="e">
        <f>VLOOKUP(A241,chk!A:B,2,0)</f>
        <v>#N/A</v>
      </c>
      <c r="AU241" s="29" t="e">
        <f>VLOOKUP(A241,checker!A:B,2,0)</f>
        <v>#N/A</v>
      </c>
      <c r="AV241" s="29" t="e">
        <f>VLOOKUP(A241,checker!B:C,2,0)</f>
        <v>#N/A</v>
      </c>
    </row>
    <row r="242" spans="1:48" x14ac:dyDescent="0.3">
      <c r="A242" s="29" t="str">
        <f t="shared" si="3"/>
        <v>96.692.66.646/0/oracle_linux-cve-2019-14284</v>
      </c>
      <c r="B242" s="61" t="s">
        <v>2997</v>
      </c>
      <c r="C242" s="61" t="s">
        <v>528</v>
      </c>
      <c r="D242" s="61" t="s">
        <v>2964</v>
      </c>
      <c r="E242" s="61" t="s">
        <v>28</v>
      </c>
      <c r="F242" s="61" t="s">
        <v>529</v>
      </c>
      <c r="G242" s="61" t="s">
        <v>530</v>
      </c>
      <c r="H242" s="61" t="s">
        <v>531</v>
      </c>
      <c r="I242" s="37" t="s">
        <v>532</v>
      </c>
      <c r="J242" s="37">
        <v>0</v>
      </c>
      <c r="K242" s="61" t="s">
        <v>258</v>
      </c>
      <c r="L242" s="61" t="s">
        <v>31</v>
      </c>
      <c r="M242" s="9">
        <v>2</v>
      </c>
      <c r="N242" s="9" t="s">
        <v>42</v>
      </c>
      <c r="O242" s="61" t="s">
        <v>1734</v>
      </c>
      <c r="P242" s="61" t="s">
        <v>1735</v>
      </c>
      <c r="Q242" s="61" t="s">
        <v>1736</v>
      </c>
      <c r="R242" s="61" t="s">
        <v>556</v>
      </c>
      <c r="S242" s="61" t="s">
        <v>1737</v>
      </c>
      <c r="T242" s="61" t="s">
        <v>31</v>
      </c>
      <c r="U242" s="61" t="s">
        <v>1738</v>
      </c>
      <c r="V242" s="61" t="s">
        <v>1739</v>
      </c>
      <c r="W242" s="62">
        <v>43672</v>
      </c>
      <c r="X242" s="37" t="s">
        <v>30</v>
      </c>
      <c r="Y242" s="37">
        <v>0</v>
      </c>
      <c r="Z242" s="37" t="s">
        <v>31</v>
      </c>
      <c r="AA242" s="37" t="s">
        <v>31</v>
      </c>
      <c r="AB242" s="37" t="s">
        <v>513</v>
      </c>
      <c r="AC242" s="61"/>
      <c r="AD242" s="34"/>
      <c r="AE242" s="98" t="s">
        <v>28</v>
      </c>
      <c r="AF242" s="36">
        <v>44191</v>
      </c>
      <c r="AG242" s="36">
        <v>44191</v>
      </c>
      <c r="AH242" s="37"/>
      <c r="AI242" s="72">
        <v>44185</v>
      </c>
      <c r="AJ242" s="38" t="s">
        <v>27</v>
      </c>
      <c r="AK242" s="39" t="e">
        <f>VLOOKUP(A242,'[1]Externe MAJ Nov'!$A:$H,8,0)</f>
        <v>#N/A</v>
      </c>
      <c r="AL242" s="61"/>
      <c r="AM242" s="61"/>
      <c r="AN242" s="61"/>
      <c r="AO242" s="58">
        <v>44185</v>
      </c>
      <c r="AP242" s="29" t="e">
        <f>VLOOKUP(A242,'[2]External Scan 02_21'!$B:$J,9,0)</f>
        <v>#N/A</v>
      </c>
      <c r="AQ242" s="29" t="s">
        <v>28</v>
      </c>
      <c r="AR242" s="21"/>
      <c r="AS242" s="21" t="str">
        <f>VLOOKUP(AE242,'ref statu'!A:B,2,0)</f>
        <v>Fixed</v>
      </c>
      <c r="AT242" s="8" t="e">
        <f>VLOOKUP(A242,chk!A:B,2,0)</f>
        <v>#N/A</v>
      </c>
      <c r="AU242" s="29" t="e">
        <f>VLOOKUP(A242,checker!A:B,2,0)</f>
        <v>#N/A</v>
      </c>
      <c r="AV242" s="29" t="e">
        <f>VLOOKUP(A242,checker!B:C,2,0)</f>
        <v>#N/A</v>
      </c>
    </row>
    <row r="243" spans="1:48" x14ac:dyDescent="0.3">
      <c r="A243" s="29" t="str">
        <f t="shared" si="3"/>
        <v>96.692.66.646/0/oracle_linux-cve-2019-14814</v>
      </c>
      <c r="B243" s="61" t="s">
        <v>2997</v>
      </c>
      <c r="C243" s="61" t="s">
        <v>528</v>
      </c>
      <c r="D243" s="61" t="s">
        <v>2964</v>
      </c>
      <c r="E243" s="61" t="s">
        <v>28</v>
      </c>
      <c r="F243" s="61" t="s">
        <v>529</v>
      </c>
      <c r="G243" s="61" t="s">
        <v>530</v>
      </c>
      <c r="H243" s="61" t="s">
        <v>531</v>
      </c>
      <c r="I243" s="37" t="s">
        <v>532</v>
      </c>
      <c r="J243" s="37">
        <v>0</v>
      </c>
      <c r="K243" s="61" t="s">
        <v>258</v>
      </c>
      <c r="L243" s="61" t="s">
        <v>31</v>
      </c>
      <c r="M243" s="9">
        <v>7</v>
      </c>
      <c r="N243" s="10" t="s">
        <v>2540</v>
      </c>
      <c r="O243" s="61" t="s">
        <v>1740</v>
      </c>
      <c r="P243" s="61" t="s">
        <v>1741</v>
      </c>
      <c r="Q243" s="61" t="s">
        <v>1742</v>
      </c>
      <c r="R243" s="61" t="s">
        <v>536</v>
      </c>
      <c r="S243" s="61" t="s">
        <v>1743</v>
      </c>
      <c r="T243" s="61" t="s">
        <v>31</v>
      </c>
      <c r="U243" s="61" t="s">
        <v>1744</v>
      </c>
      <c r="V243" s="61" t="s">
        <v>1745</v>
      </c>
      <c r="W243" s="62">
        <v>43728</v>
      </c>
      <c r="X243" s="37" t="s">
        <v>30</v>
      </c>
      <c r="Y243" s="37">
        <v>0</v>
      </c>
      <c r="Z243" s="37" t="s">
        <v>31</v>
      </c>
      <c r="AA243" s="37" t="s">
        <v>31</v>
      </c>
      <c r="AB243" s="37" t="s">
        <v>513</v>
      </c>
      <c r="AC243" s="61"/>
      <c r="AD243" s="33"/>
      <c r="AE243" s="98" t="s">
        <v>28</v>
      </c>
      <c r="AF243" s="36">
        <v>44191</v>
      </c>
      <c r="AG243" s="36">
        <v>44191</v>
      </c>
      <c r="AH243" s="37"/>
      <c r="AI243" s="72">
        <v>44185</v>
      </c>
      <c r="AJ243" s="38" t="s">
        <v>27</v>
      </c>
      <c r="AK243" s="39" t="e">
        <f>VLOOKUP(A243,'[1]Externe MAJ Nov'!$A:$H,8,0)</f>
        <v>#N/A</v>
      </c>
      <c r="AL243" s="61"/>
      <c r="AM243" s="61"/>
      <c r="AN243" s="61"/>
      <c r="AO243" s="58">
        <v>44185</v>
      </c>
      <c r="AP243" s="29" t="e">
        <f>VLOOKUP(A243,'[2]External Scan 02_21'!$B:$J,9,0)</f>
        <v>#N/A</v>
      </c>
      <c r="AQ243" s="29" t="s">
        <v>28</v>
      </c>
      <c r="AR243" s="21"/>
      <c r="AS243" s="21" t="str">
        <f>VLOOKUP(AE243,'ref statu'!A:B,2,0)</f>
        <v>Fixed</v>
      </c>
      <c r="AT243" s="8" t="e">
        <f>VLOOKUP(A243,chk!A:B,2,0)</f>
        <v>#N/A</v>
      </c>
      <c r="AU243" s="29" t="e">
        <f>VLOOKUP(A243,checker!A:B,2,0)</f>
        <v>#N/A</v>
      </c>
      <c r="AV243" s="29" t="e">
        <f>VLOOKUP(A243,checker!B:C,2,0)</f>
        <v>#N/A</v>
      </c>
    </row>
    <row r="244" spans="1:48" x14ac:dyDescent="0.3">
      <c r="A244" s="29" t="str">
        <f t="shared" si="3"/>
        <v>96.692.66.646/0/oracle_linux-cve-2019-14815</v>
      </c>
      <c r="B244" s="61" t="s">
        <v>2997</v>
      </c>
      <c r="C244" s="61" t="s">
        <v>528</v>
      </c>
      <c r="D244" s="61" t="s">
        <v>2964</v>
      </c>
      <c r="E244" s="61" t="s">
        <v>28</v>
      </c>
      <c r="F244" s="61" t="s">
        <v>529</v>
      </c>
      <c r="G244" s="61" t="s">
        <v>530</v>
      </c>
      <c r="H244" s="61" t="s">
        <v>531</v>
      </c>
      <c r="I244" s="37" t="s">
        <v>532</v>
      </c>
      <c r="J244" s="37">
        <v>0</v>
      </c>
      <c r="K244" s="61" t="s">
        <v>258</v>
      </c>
      <c r="L244" s="61" t="s">
        <v>31</v>
      </c>
      <c r="M244" s="9">
        <v>7</v>
      </c>
      <c r="N244" s="10" t="s">
        <v>2540</v>
      </c>
      <c r="O244" s="61" t="s">
        <v>1746</v>
      </c>
      <c r="P244" s="61" t="s">
        <v>1747</v>
      </c>
      <c r="Q244" s="61" t="s">
        <v>1748</v>
      </c>
      <c r="R244" s="61" t="s">
        <v>536</v>
      </c>
      <c r="S244" s="61" t="s">
        <v>1749</v>
      </c>
      <c r="T244" s="61" t="s">
        <v>31</v>
      </c>
      <c r="U244" s="61" t="s">
        <v>1750</v>
      </c>
      <c r="V244" s="61" t="s">
        <v>1751</v>
      </c>
      <c r="W244" s="62">
        <v>43728</v>
      </c>
      <c r="X244" s="37" t="s">
        <v>30</v>
      </c>
      <c r="Y244" s="37">
        <v>0</v>
      </c>
      <c r="Z244" s="37" t="s">
        <v>31</v>
      </c>
      <c r="AA244" s="37" t="s">
        <v>31</v>
      </c>
      <c r="AB244" s="37" t="s">
        <v>513</v>
      </c>
      <c r="AC244" s="61"/>
      <c r="AD244" s="34"/>
      <c r="AE244" s="98" t="s">
        <v>28</v>
      </c>
      <c r="AF244" s="36">
        <v>44191</v>
      </c>
      <c r="AG244" s="36">
        <v>44191</v>
      </c>
      <c r="AH244" s="37"/>
      <c r="AI244" s="72">
        <v>44185</v>
      </c>
      <c r="AJ244" s="38" t="s">
        <v>27</v>
      </c>
      <c r="AK244" s="39" t="e">
        <f>VLOOKUP(A244,'[1]Externe MAJ Nov'!$A:$H,8,0)</f>
        <v>#N/A</v>
      </c>
      <c r="AL244" s="61"/>
      <c r="AM244" s="61"/>
      <c r="AN244" s="61"/>
      <c r="AO244" s="58">
        <v>44185</v>
      </c>
      <c r="AP244" s="29" t="e">
        <f>VLOOKUP(A244,'[2]External Scan 02_21'!$B:$J,9,0)</f>
        <v>#N/A</v>
      </c>
      <c r="AQ244" s="29" t="s">
        <v>28</v>
      </c>
      <c r="AR244" s="21"/>
      <c r="AS244" s="21" t="str">
        <f>VLOOKUP(AE244,'ref statu'!A:B,2,0)</f>
        <v>Fixed</v>
      </c>
      <c r="AT244" s="8" t="e">
        <f>VLOOKUP(A244,chk!A:B,2,0)</f>
        <v>#N/A</v>
      </c>
      <c r="AU244" s="29" t="e">
        <f>VLOOKUP(A244,checker!A:B,2,0)</f>
        <v>#N/A</v>
      </c>
      <c r="AV244" s="29" t="e">
        <f>VLOOKUP(A244,checker!B:C,2,0)</f>
        <v>#N/A</v>
      </c>
    </row>
    <row r="245" spans="1:48" x14ac:dyDescent="0.3">
      <c r="A245" s="29" t="str">
        <f t="shared" si="3"/>
        <v>96.692.66.646/0/oracle_linux-cve-2019-14816</v>
      </c>
      <c r="B245" s="61" t="s">
        <v>2997</v>
      </c>
      <c r="C245" s="61" t="s">
        <v>528</v>
      </c>
      <c r="D245" s="61" t="s">
        <v>2964</v>
      </c>
      <c r="E245" s="61" t="s">
        <v>28</v>
      </c>
      <c r="F245" s="61" t="s">
        <v>529</v>
      </c>
      <c r="G245" s="61" t="s">
        <v>530</v>
      </c>
      <c r="H245" s="61" t="s">
        <v>531</v>
      </c>
      <c r="I245" s="37" t="s">
        <v>532</v>
      </c>
      <c r="J245" s="37">
        <v>0</v>
      </c>
      <c r="K245" s="61" t="s">
        <v>258</v>
      </c>
      <c r="L245" s="61" t="s">
        <v>31</v>
      </c>
      <c r="M245" s="9">
        <v>7</v>
      </c>
      <c r="N245" s="10" t="s">
        <v>2540</v>
      </c>
      <c r="O245" s="61" t="s">
        <v>1752</v>
      </c>
      <c r="P245" s="61" t="s">
        <v>1753</v>
      </c>
      <c r="Q245" s="61" t="s">
        <v>1754</v>
      </c>
      <c r="R245" s="61" t="s">
        <v>581</v>
      </c>
      <c r="S245" s="61" t="s">
        <v>1755</v>
      </c>
      <c r="T245" s="61" t="s">
        <v>31</v>
      </c>
      <c r="U245" s="61" t="s">
        <v>1756</v>
      </c>
      <c r="V245" s="61" t="s">
        <v>1757</v>
      </c>
      <c r="W245" s="62">
        <v>43728</v>
      </c>
      <c r="X245" s="37" t="s">
        <v>30</v>
      </c>
      <c r="Y245" s="37">
        <v>0</v>
      </c>
      <c r="Z245" s="37" t="s">
        <v>31</v>
      </c>
      <c r="AA245" s="37" t="s">
        <v>31</v>
      </c>
      <c r="AB245" s="37" t="s">
        <v>513</v>
      </c>
      <c r="AC245" s="61"/>
      <c r="AD245" s="34"/>
      <c r="AE245" s="98" t="s">
        <v>28</v>
      </c>
      <c r="AF245" s="36">
        <v>44191</v>
      </c>
      <c r="AG245" s="36">
        <v>44191</v>
      </c>
      <c r="AH245" s="37"/>
      <c r="AI245" s="72">
        <v>44185</v>
      </c>
      <c r="AJ245" s="38" t="s">
        <v>27</v>
      </c>
      <c r="AK245" s="39" t="e">
        <f>VLOOKUP(A245,'[1]Externe MAJ Nov'!$A:$H,8,0)</f>
        <v>#N/A</v>
      </c>
      <c r="AL245" s="61"/>
      <c r="AM245" s="61"/>
      <c r="AN245" s="61"/>
      <c r="AO245" s="58">
        <v>44185</v>
      </c>
      <c r="AP245" s="29" t="e">
        <f>VLOOKUP(A245,'[2]External Scan 02_21'!$B:$J,9,0)</f>
        <v>#N/A</v>
      </c>
      <c r="AQ245" s="29" t="s">
        <v>28</v>
      </c>
      <c r="AR245" s="21"/>
      <c r="AS245" s="21" t="str">
        <f>VLOOKUP(AE245,'ref statu'!A:B,2,0)</f>
        <v>Fixed</v>
      </c>
      <c r="AT245" s="8" t="e">
        <f>VLOOKUP(A245,chk!A:B,2,0)</f>
        <v>#N/A</v>
      </c>
      <c r="AU245" s="29" t="e">
        <f>VLOOKUP(A245,checker!A:B,2,0)</f>
        <v>#N/A</v>
      </c>
      <c r="AV245" s="29" t="e">
        <f>VLOOKUP(A245,checker!B:C,2,0)</f>
        <v>#N/A</v>
      </c>
    </row>
    <row r="246" spans="1:48" x14ac:dyDescent="0.3">
      <c r="A246" s="29" t="str">
        <f t="shared" si="3"/>
        <v>96.692.66.646/0/oracle_linux-cve-2019-14821</v>
      </c>
      <c r="B246" s="61" t="s">
        <v>2997</v>
      </c>
      <c r="C246" s="61" t="s">
        <v>528</v>
      </c>
      <c r="D246" s="61" t="s">
        <v>2964</v>
      </c>
      <c r="E246" s="61" t="s">
        <v>28</v>
      </c>
      <c r="F246" s="61" t="s">
        <v>529</v>
      </c>
      <c r="G246" s="61" t="s">
        <v>530</v>
      </c>
      <c r="H246" s="61" t="s">
        <v>531</v>
      </c>
      <c r="I246" s="37" t="s">
        <v>532</v>
      </c>
      <c r="J246" s="37">
        <v>0</v>
      </c>
      <c r="K246" s="61" t="s">
        <v>258</v>
      </c>
      <c r="L246" s="61" t="s">
        <v>31</v>
      </c>
      <c r="M246" s="9">
        <v>7</v>
      </c>
      <c r="N246" s="10" t="s">
        <v>2540</v>
      </c>
      <c r="O246" s="61" t="s">
        <v>1758</v>
      </c>
      <c r="P246" s="61" t="s">
        <v>1759</v>
      </c>
      <c r="Q246" s="61" t="s">
        <v>1760</v>
      </c>
      <c r="R246" s="61" t="s">
        <v>581</v>
      </c>
      <c r="S246" s="61" t="s">
        <v>1761</v>
      </c>
      <c r="T246" s="61" t="s">
        <v>31</v>
      </c>
      <c r="U246" s="61" t="s">
        <v>1762</v>
      </c>
      <c r="V246" s="61" t="s">
        <v>1763</v>
      </c>
      <c r="W246" s="62">
        <v>43727</v>
      </c>
      <c r="X246" s="37" t="s">
        <v>30</v>
      </c>
      <c r="Y246" s="37">
        <v>0</v>
      </c>
      <c r="Z246" s="37" t="s">
        <v>31</v>
      </c>
      <c r="AA246" s="37" t="s">
        <v>31</v>
      </c>
      <c r="AB246" s="37" t="s">
        <v>513</v>
      </c>
      <c r="AC246" s="61"/>
      <c r="AD246" s="33"/>
      <c r="AE246" s="98" t="s">
        <v>28</v>
      </c>
      <c r="AF246" s="36">
        <v>44191</v>
      </c>
      <c r="AG246" s="36">
        <v>44191</v>
      </c>
      <c r="AH246" s="37"/>
      <c r="AI246" s="72">
        <v>44185</v>
      </c>
      <c r="AJ246" s="38" t="s">
        <v>27</v>
      </c>
      <c r="AK246" s="39" t="e">
        <f>VLOOKUP(A246,'[1]Externe MAJ Nov'!$A:$H,8,0)</f>
        <v>#N/A</v>
      </c>
      <c r="AL246" s="61"/>
      <c r="AM246" s="61"/>
      <c r="AN246" s="61"/>
      <c r="AO246" s="58">
        <v>44185</v>
      </c>
      <c r="AP246" s="29" t="e">
        <f>VLOOKUP(A246,'[2]External Scan 02_21'!$B:$J,9,0)</f>
        <v>#N/A</v>
      </c>
      <c r="AQ246" s="29" t="s">
        <v>28</v>
      </c>
      <c r="AR246" s="21"/>
      <c r="AS246" s="21" t="str">
        <f>VLOOKUP(AE246,'ref statu'!A:B,2,0)</f>
        <v>Fixed</v>
      </c>
      <c r="AT246" s="8" t="e">
        <f>VLOOKUP(A246,chk!A:B,2,0)</f>
        <v>#N/A</v>
      </c>
      <c r="AU246" s="29" t="e">
        <f>VLOOKUP(A246,checker!A:B,2,0)</f>
        <v>#N/A</v>
      </c>
      <c r="AV246" s="29" t="e">
        <f>VLOOKUP(A246,checker!B:C,2,0)</f>
        <v>#N/A</v>
      </c>
    </row>
    <row r="247" spans="1:48" x14ac:dyDescent="0.3">
      <c r="A247" s="29" t="str">
        <f t="shared" si="3"/>
        <v>96.692.66.646/0/oracle_linux-cve-2019-14835</v>
      </c>
      <c r="B247" s="61" t="s">
        <v>2997</v>
      </c>
      <c r="C247" s="61" t="s">
        <v>528</v>
      </c>
      <c r="D247" s="61" t="s">
        <v>2964</v>
      </c>
      <c r="E247" s="61" t="s">
        <v>28</v>
      </c>
      <c r="F247" s="61" t="s">
        <v>529</v>
      </c>
      <c r="G247" s="61" t="s">
        <v>530</v>
      </c>
      <c r="H247" s="61" t="s">
        <v>531</v>
      </c>
      <c r="I247" s="37" t="s">
        <v>532</v>
      </c>
      <c r="J247" s="37">
        <v>0</v>
      </c>
      <c r="K247" s="61" t="s">
        <v>258</v>
      </c>
      <c r="L247" s="61" t="s">
        <v>31</v>
      </c>
      <c r="M247" s="9">
        <v>7</v>
      </c>
      <c r="N247" s="10" t="s">
        <v>2540</v>
      </c>
      <c r="O247" s="61" t="s">
        <v>1764</v>
      </c>
      <c r="P247" s="61" t="s">
        <v>1765</v>
      </c>
      <c r="Q247" s="61" t="s">
        <v>1766</v>
      </c>
      <c r="R247" s="61" t="s">
        <v>581</v>
      </c>
      <c r="S247" s="61" t="s">
        <v>1767</v>
      </c>
      <c r="T247" s="61" t="s">
        <v>31</v>
      </c>
      <c r="U247" s="61" t="s">
        <v>1768</v>
      </c>
      <c r="V247" s="61" t="s">
        <v>1769</v>
      </c>
      <c r="W247" s="62">
        <v>43725</v>
      </c>
      <c r="X247" s="37" t="s">
        <v>30</v>
      </c>
      <c r="Y247" s="37">
        <v>0</v>
      </c>
      <c r="Z247" s="37" t="s">
        <v>31</v>
      </c>
      <c r="AA247" s="37" t="s">
        <v>31</v>
      </c>
      <c r="AB247" s="37" t="s">
        <v>513</v>
      </c>
      <c r="AC247" s="61"/>
      <c r="AD247" s="34"/>
      <c r="AE247" s="98" t="s">
        <v>28</v>
      </c>
      <c r="AF247" s="36">
        <v>44191</v>
      </c>
      <c r="AG247" s="36">
        <v>44191</v>
      </c>
      <c r="AH247" s="37"/>
      <c r="AI247" s="72">
        <v>44185</v>
      </c>
      <c r="AJ247" s="38" t="s">
        <v>27</v>
      </c>
      <c r="AK247" s="39" t="e">
        <f>VLOOKUP(A247,'[1]Externe MAJ Nov'!$A:$H,8,0)</f>
        <v>#N/A</v>
      </c>
      <c r="AL247" s="61"/>
      <c r="AM247" s="61"/>
      <c r="AN247" s="61"/>
      <c r="AO247" s="58">
        <v>44185</v>
      </c>
      <c r="AP247" s="29" t="e">
        <f>VLOOKUP(A247,'[2]External Scan 02_21'!$B:$J,9,0)</f>
        <v>#N/A</v>
      </c>
      <c r="AQ247" s="29" t="s">
        <v>28</v>
      </c>
      <c r="AR247" s="21"/>
      <c r="AS247" s="21" t="str">
        <f>VLOOKUP(AE247,'ref statu'!A:B,2,0)</f>
        <v>Fixed</v>
      </c>
      <c r="AT247" s="8" t="e">
        <f>VLOOKUP(A247,chk!A:B,2,0)</f>
        <v>#N/A</v>
      </c>
      <c r="AU247" s="29" t="e">
        <f>VLOOKUP(A247,checker!A:B,2,0)</f>
        <v>#N/A</v>
      </c>
      <c r="AV247" s="29" t="e">
        <f>VLOOKUP(A247,checker!B:C,2,0)</f>
        <v>#N/A</v>
      </c>
    </row>
    <row r="248" spans="1:48" x14ac:dyDescent="0.3">
      <c r="A248" s="29" t="str">
        <f t="shared" si="3"/>
        <v>96.692.66.646/0/oracle_linux-cve-2019-14897</v>
      </c>
      <c r="B248" s="61" t="s">
        <v>2997</v>
      </c>
      <c r="C248" s="61" t="s">
        <v>528</v>
      </c>
      <c r="D248" s="61" t="s">
        <v>2964</v>
      </c>
      <c r="E248" s="61" t="s">
        <v>28</v>
      </c>
      <c r="F248" s="61" t="s">
        <v>529</v>
      </c>
      <c r="G248" s="61" t="s">
        <v>530</v>
      </c>
      <c r="H248" s="61" t="s">
        <v>531</v>
      </c>
      <c r="I248" s="37" t="s">
        <v>532</v>
      </c>
      <c r="J248" s="37">
        <v>0</v>
      </c>
      <c r="K248" s="61" t="s">
        <v>258</v>
      </c>
      <c r="L248" s="61" t="s">
        <v>31</v>
      </c>
      <c r="M248" s="9">
        <v>8</v>
      </c>
      <c r="N248" s="10" t="s">
        <v>2540</v>
      </c>
      <c r="O248" s="61" t="s">
        <v>1770</v>
      </c>
      <c r="P248" s="61" t="s">
        <v>1771</v>
      </c>
      <c r="Q248" s="61" t="s">
        <v>1772</v>
      </c>
      <c r="R248" s="61" t="s">
        <v>536</v>
      </c>
      <c r="S248" s="61" t="s">
        <v>1773</v>
      </c>
      <c r="T248" s="61" t="s">
        <v>31</v>
      </c>
      <c r="U248" s="61" t="s">
        <v>1774</v>
      </c>
      <c r="V248" s="61" t="s">
        <v>1775</v>
      </c>
      <c r="W248" s="62">
        <v>43798</v>
      </c>
      <c r="X248" s="37" t="s">
        <v>30</v>
      </c>
      <c r="Y248" s="37">
        <v>0</v>
      </c>
      <c r="Z248" s="37" t="s">
        <v>31</v>
      </c>
      <c r="AA248" s="37" t="s">
        <v>31</v>
      </c>
      <c r="AB248" s="37" t="s">
        <v>513</v>
      </c>
      <c r="AC248" s="61"/>
      <c r="AD248" s="34"/>
      <c r="AE248" s="98" t="s">
        <v>28</v>
      </c>
      <c r="AF248" s="36">
        <v>44191</v>
      </c>
      <c r="AG248" s="36">
        <v>44191</v>
      </c>
      <c r="AH248" s="37"/>
      <c r="AI248" s="72">
        <v>44185</v>
      </c>
      <c r="AJ248" s="38" t="s">
        <v>27</v>
      </c>
      <c r="AK248" s="39" t="e">
        <f>VLOOKUP(A248,'[1]Externe MAJ Nov'!$A:$H,8,0)</f>
        <v>#N/A</v>
      </c>
      <c r="AL248" s="61"/>
      <c r="AM248" s="61"/>
      <c r="AN248" s="61"/>
      <c r="AO248" s="58">
        <v>44185</v>
      </c>
      <c r="AP248" s="29" t="e">
        <f>VLOOKUP(A248,'[2]External Scan 02_21'!$B:$J,9,0)</f>
        <v>#N/A</v>
      </c>
      <c r="AQ248" s="29" t="s">
        <v>28</v>
      </c>
      <c r="AR248" s="21"/>
      <c r="AS248" s="21" t="str">
        <f>VLOOKUP(AE248,'ref statu'!A:B,2,0)</f>
        <v>Fixed</v>
      </c>
      <c r="AT248" s="8" t="e">
        <f>VLOOKUP(A248,chk!A:B,2,0)</f>
        <v>#N/A</v>
      </c>
      <c r="AU248" s="29" t="e">
        <f>VLOOKUP(A248,checker!A:B,2,0)</f>
        <v>#N/A</v>
      </c>
      <c r="AV248" s="29" t="e">
        <f>VLOOKUP(A248,checker!B:C,2,0)</f>
        <v>#N/A</v>
      </c>
    </row>
    <row r="249" spans="1:48" x14ac:dyDescent="0.3">
      <c r="A249" s="29" t="str">
        <f t="shared" si="3"/>
        <v>96.692.66.646/0/oracle_linux-cve-2019-14898</v>
      </c>
      <c r="B249" s="61" t="s">
        <v>2997</v>
      </c>
      <c r="C249" s="61" t="s">
        <v>528</v>
      </c>
      <c r="D249" s="61" t="s">
        <v>2964</v>
      </c>
      <c r="E249" s="61" t="s">
        <v>28</v>
      </c>
      <c r="F249" s="61" t="s">
        <v>529</v>
      </c>
      <c r="G249" s="61" t="s">
        <v>530</v>
      </c>
      <c r="H249" s="61" t="s">
        <v>531</v>
      </c>
      <c r="I249" s="37" t="s">
        <v>532</v>
      </c>
      <c r="J249" s="37">
        <v>0</v>
      </c>
      <c r="K249" s="61" t="s">
        <v>258</v>
      </c>
      <c r="L249" s="61" t="s">
        <v>31</v>
      </c>
      <c r="M249" s="9">
        <v>7</v>
      </c>
      <c r="N249" s="10" t="s">
        <v>2540</v>
      </c>
      <c r="O249" s="61" t="s">
        <v>1776</v>
      </c>
      <c r="P249" s="61" t="s">
        <v>1777</v>
      </c>
      <c r="Q249" s="61" t="s">
        <v>1778</v>
      </c>
      <c r="R249" s="61" t="s">
        <v>1350</v>
      </c>
      <c r="S249" s="61" t="s">
        <v>1779</v>
      </c>
      <c r="T249" s="61" t="s">
        <v>31</v>
      </c>
      <c r="U249" s="61" t="s">
        <v>1780</v>
      </c>
      <c r="V249" s="61" t="s">
        <v>1781</v>
      </c>
      <c r="W249" s="62">
        <v>43866</v>
      </c>
      <c r="X249" s="37" t="s">
        <v>30</v>
      </c>
      <c r="Y249" s="37">
        <v>0</v>
      </c>
      <c r="Z249" s="37" t="s">
        <v>31</v>
      </c>
      <c r="AA249" s="37" t="s">
        <v>31</v>
      </c>
      <c r="AB249" s="37" t="s">
        <v>513</v>
      </c>
      <c r="AC249" s="61"/>
      <c r="AD249" s="33"/>
      <c r="AE249" s="98" t="s">
        <v>28</v>
      </c>
      <c r="AF249" s="36">
        <v>44191</v>
      </c>
      <c r="AG249" s="36">
        <v>44191</v>
      </c>
      <c r="AH249" s="37"/>
      <c r="AI249" s="72">
        <v>44185</v>
      </c>
      <c r="AJ249" s="38" t="s">
        <v>27</v>
      </c>
      <c r="AK249" s="39" t="e">
        <f>VLOOKUP(A249,'[1]Externe MAJ Nov'!$A:$H,8,0)</f>
        <v>#N/A</v>
      </c>
      <c r="AL249" s="61"/>
      <c r="AM249" s="61"/>
      <c r="AN249" s="61"/>
      <c r="AO249" s="58">
        <v>44185</v>
      </c>
      <c r="AP249" s="29" t="e">
        <f>VLOOKUP(A249,'[2]External Scan 02_21'!$B:$J,9,0)</f>
        <v>#N/A</v>
      </c>
      <c r="AQ249" s="29" t="s">
        <v>28</v>
      </c>
      <c r="AR249" s="21"/>
      <c r="AS249" s="21" t="str">
        <f>VLOOKUP(AE249,'ref statu'!A:B,2,0)</f>
        <v>Fixed</v>
      </c>
      <c r="AT249" s="8" t="e">
        <f>VLOOKUP(A249,chk!A:B,2,0)</f>
        <v>#N/A</v>
      </c>
      <c r="AU249" s="29" t="e">
        <f>VLOOKUP(A249,checker!A:B,2,0)</f>
        <v>#N/A</v>
      </c>
      <c r="AV249" s="29" t="e">
        <f>VLOOKUP(A249,checker!B:C,2,0)</f>
        <v>#N/A</v>
      </c>
    </row>
    <row r="250" spans="1:48" x14ac:dyDescent="0.3">
      <c r="A250" s="29" t="str">
        <f t="shared" si="3"/>
        <v>96.692.66.646/0/oracle_linux-cve-2019-14901</v>
      </c>
      <c r="B250" s="61" t="s">
        <v>2997</v>
      </c>
      <c r="C250" s="61" t="s">
        <v>528</v>
      </c>
      <c r="D250" s="61" t="s">
        <v>2964</v>
      </c>
      <c r="E250" s="61" t="s">
        <v>28</v>
      </c>
      <c r="F250" s="61" t="s">
        <v>529</v>
      </c>
      <c r="G250" s="61" t="s">
        <v>530</v>
      </c>
      <c r="H250" s="61" t="s">
        <v>531</v>
      </c>
      <c r="I250" s="37" t="s">
        <v>532</v>
      </c>
      <c r="J250" s="37">
        <v>0</v>
      </c>
      <c r="K250" s="61" t="s">
        <v>258</v>
      </c>
      <c r="L250" s="61" t="s">
        <v>31</v>
      </c>
      <c r="M250" s="9">
        <v>10</v>
      </c>
      <c r="N250" s="10" t="s">
        <v>164</v>
      </c>
      <c r="O250" s="61" t="s">
        <v>1782</v>
      </c>
      <c r="P250" s="61" t="s">
        <v>1783</v>
      </c>
      <c r="Q250" s="61" t="s">
        <v>1784</v>
      </c>
      <c r="R250" s="61" t="s">
        <v>1785</v>
      </c>
      <c r="S250" s="61" t="s">
        <v>1786</v>
      </c>
      <c r="T250" s="61" t="s">
        <v>31</v>
      </c>
      <c r="U250" s="61" t="s">
        <v>1787</v>
      </c>
      <c r="V250" s="61" t="s">
        <v>1788</v>
      </c>
      <c r="W250" s="62">
        <v>43798</v>
      </c>
      <c r="X250" s="37" t="s">
        <v>30</v>
      </c>
      <c r="Y250" s="37">
        <v>0</v>
      </c>
      <c r="Z250" s="37" t="s">
        <v>31</v>
      </c>
      <c r="AA250" s="37" t="s">
        <v>31</v>
      </c>
      <c r="AB250" s="37" t="s">
        <v>513</v>
      </c>
      <c r="AC250" s="61"/>
      <c r="AD250" s="34"/>
      <c r="AE250" s="98" t="s">
        <v>28</v>
      </c>
      <c r="AF250" s="36">
        <v>44191</v>
      </c>
      <c r="AG250" s="36">
        <v>44191</v>
      </c>
      <c r="AH250" s="37"/>
      <c r="AI250" s="72">
        <v>44185</v>
      </c>
      <c r="AJ250" s="38" t="s">
        <v>27</v>
      </c>
      <c r="AK250" s="39" t="e">
        <f>VLOOKUP(A250,'[1]Externe MAJ Nov'!$A:$H,8,0)</f>
        <v>#N/A</v>
      </c>
      <c r="AL250" s="61"/>
      <c r="AM250" s="61"/>
      <c r="AN250" s="61"/>
      <c r="AO250" s="58">
        <v>44185</v>
      </c>
      <c r="AP250" s="29" t="e">
        <f>VLOOKUP(A250,'[2]External Scan 02_21'!$B:$J,9,0)</f>
        <v>#N/A</v>
      </c>
      <c r="AQ250" s="29" t="s">
        <v>28</v>
      </c>
      <c r="AR250" s="21"/>
      <c r="AS250" s="21" t="str">
        <f>VLOOKUP(AE250,'ref statu'!A:B,2,0)</f>
        <v>Fixed</v>
      </c>
      <c r="AT250" s="8" t="e">
        <f>VLOOKUP(A250,chk!A:B,2,0)</f>
        <v>#N/A</v>
      </c>
      <c r="AU250" s="29" t="e">
        <f>VLOOKUP(A250,checker!A:B,2,0)</f>
        <v>#N/A</v>
      </c>
      <c r="AV250" s="29" t="e">
        <f>VLOOKUP(A250,checker!B:C,2,0)</f>
        <v>#N/A</v>
      </c>
    </row>
    <row r="251" spans="1:48" x14ac:dyDescent="0.3">
      <c r="A251" s="29" t="str">
        <f t="shared" si="3"/>
        <v>96.692.66.646/0/oracle_linux-cve-2019-15213</v>
      </c>
      <c r="B251" s="61" t="s">
        <v>2997</v>
      </c>
      <c r="C251" s="61" t="s">
        <v>528</v>
      </c>
      <c r="D251" s="61" t="s">
        <v>2964</v>
      </c>
      <c r="E251" s="61" t="s">
        <v>28</v>
      </c>
      <c r="F251" s="61" t="s">
        <v>529</v>
      </c>
      <c r="G251" s="61" t="s">
        <v>530</v>
      </c>
      <c r="H251" s="61" t="s">
        <v>531</v>
      </c>
      <c r="I251" s="37" t="s">
        <v>532</v>
      </c>
      <c r="J251" s="37">
        <v>0</v>
      </c>
      <c r="K251" s="61" t="s">
        <v>258</v>
      </c>
      <c r="L251" s="61" t="s">
        <v>31</v>
      </c>
      <c r="M251" s="9">
        <v>5</v>
      </c>
      <c r="N251" s="9" t="s">
        <v>29</v>
      </c>
      <c r="O251" s="61" t="s">
        <v>1789</v>
      </c>
      <c r="P251" s="61" t="s">
        <v>1790</v>
      </c>
      <c r="Q251" s="61" t="s">
        <v>1791</v>
      </c>
      <c r="R251" s="61" t="s">
        <v>556</v>
      </c>
      <c r="S251" s="61" t="s">
        <v>1792</v>
      </c>
      <c r="T251" s="61" t="s">
        <v>31</v>
      </c>
      <c r="U251" s="61" t="s">
        <v>1793</v>
      </c>
      <c r="V251" s="61" t="s">
        <v>1794</v>
      </c>
      <c r="W251" s="62">
        <v>43696</v>
      </c>
      <c r="X251" s="37" t="s">
        <v>30</v>
      </c>
      <c r="Y251" s="37">
        <v>0</v>
      </c>
      <c r="Z251" s="37" t="s">
        <v>31</v>
      </c>
      <c r="AA251" s="37" t="s">
        <v>31</v>
      </c>
      <c r="AB251" s="37" t="s">
        <v>513</v>
      </c>
      <c r="AC251" s="61"/>
      <c r="AD251" s="34"/>
      <c r="AE251" s="98" t="s">
        <v>28</v>
      </c>
      <c r="AF251" s="36">
        <v>44191</v>
      </c>
      <c r="AG251" s="36">
        <v>44191</v>
      </c>
      <c r="AH251" s="37"/>
      <c r="AI251" s="72">
        <v>44185</v>
      </c>
      <c r="AJ251" s="38" t="s">
        <v>27</v>
      </c>
      <c r="AK251" s="39" t="e">
        <f>VLOOKUP(A251,'[1]Externe MAJ Nov'!$A:$H,8,0)</f>
        <v>#N/A</v>
      </c>
      <c r="AL251" s="61"/>
      <c r="AM251" s="61"/>
      <c r="AN251" s="61"/>
      <c r="AO251" s="58">
        <v>44185</v>
      </c>
      <c r="AP251" s="29" t="e">
        <f>VLOOKUP(A251,'[2]External Scan 02_21'!$B:$J,9,0)</f>
        <v>#N/A</v>
      </c>
      <c r="AQ251" s="29" t="s">
        <v>28</v>
      </c>
      <c r="AR251" s="21"/>
      <c r="AS251" s="21" t="str">
        <f>VLOOKUP(AE251,'ref statu'!A:B,2,0)</f>
        <v>Fixed</v>
      </c>
      <c r="AT251" s="8" t="e">
        <f>VLOOKUP(A251,chk!A:B,2,0)</f>
        <v>#N/A</v>
      </c>
      <c r="AU251" s="29" t="e">
        <f>VLOOKUP(A251,checker!A:B,2,0)</f>
        <v>#N/A</v>
      </c>
      <c r="AV251" s="29" t="e">
        <f>VLOOKUP(A251,checker!B:C,2,0)</f>
        <v>#N/A</v>
      </c>
    </row>
    <row r="252" spans="1:48" x14ac:dyDescent="0.3">
      <c r="A252" s="29" t="str">
        <f t="shared" si="3"/>
        <v>96.692.66.646/0/oracle_linux-cve-2019-15214</v>
      </c>
      <c r="B252" s="61" t="s">
        <v>2997</v>
      </c>
      <c r="C252" s="61" t="s">
        <v>528</v>
      </c>
      <c r="D252" s="61" t="s">
        <v>2964</v>
      </c>
      <c r="E252" s="61" t="s">
        <v>28</v>
      </c>
      <c r="F252" s="61" t="s">
        <v>529</v>
      </c>
      <c r="G252" s="61" t="s">
        <v>530</v>
      </c>
      <c r="H252" s="61" t="s">
        <v>531</v>
      </c>
      <c r="I252" s="37" t="s">
        <v>532</v>
      </c>
      <c r="J252" s="37">
        <v>0</v>
      </c>
      <c r="K252" s="61" t="s">
        <v>258</v>
      </c>
      <c r="L252" s="61" t="s">
        <v>31</v>
      </c>
      <c r="M252" s="9">
        <v>7</v>
      </c>
      <c r="N252" s="10" t="s">
        <v>2540</v>
      </c>
      <c r="O252" s="61" t="s">
        <v>1795</v>
      </c>
      <c r="P252" s="61" t="s">
        <v>1796</v>
      </c>
      <c r="Q252" s="61" t="s">
        <v>1797</v>
      </c>
      <c r="R252" s="61" t="s">
        <v>723</v>
      </c>
      <c r="S252" s="61" t="s">
        <v>1798</v>
      </c>
      <c r="T252" s="61" t="s">
        <v>31</v>
      </c>
      <c r="U252" s="61" t="s">
        <v>1799</v>
      </c>
      <c r="V252" s="61" t="s">
        <v>1800</v>
      </c>
      <c r="W252" s="62">
        <v>43696</v>
      </c>
      <c r="X252" s="37" t="s">
        <v>30</v>
      </c>
      <c r="Y252" s="37">
        <v>0</v>
      </c>
      <c r="Z252" s="37" t="s">
        <v>31</v>
      </c>
      <c r="AA252" s="37" t="s">
        <v>31</v>
      </c>
      <c r="AB252" s="37" t="s">
        <v>513</v>
      </c>
      <c r="AC252" s="61"/>
      <c r="AD252" s="33"/>
      <c r="AE252" s="98" t="s">
        <v>28</v>
      </c>
      <c r="AF252" s="36">
        <v>44191</v>
      </c>
      <c r="AG252" s="36">
        <v>44191</v>
      </c>
      <c r="AH252" s="37"/>
      <c r="AI252" s="72">
        <v>44185</v>
      </c>
      <c r="AJ252" s="38" t="s">
        <v>27</v>
      </c>
      <c r="AK252" s="39" t="e">
        <f>VLOOKUP(A252,'[1]Externe MAJ Nov'!$A:$H,8,0)</f>
        <v>#N/A</v>
      </c>
      <c r="AL252" s="61"/>
      <c r="AM252" s="61"/>
      <c r="AN252" s="61"/>
      <c r="AO252" s="58">
        <v>44185</v>
      </c>
      <c r="AP252" s="29" t="e">
        <f>VLOOKUP(A252,'[2]External Scan 02_21'!$B:$J,9,0)</f>
        <v>#N/A</v>
      </c>
      <c r="AQ252" s="29" t="s">
        <v>28</v>
      </c>
      <c r="AR252" s="21"/>
      <c r="AS252" s="21" t="str">
        <f>VLOOKUP(AE252,'ref statu'!A:B,2,0)</f>
        <v>Fixed</v>
      </c>
      <c r="AT252" s="8" t="e">
        <f>VLOOKUP(A252,chk!A:B,2,0)</f>
        <v>#N/A</v>
      </c>
      <c r="AU252" s="29" t="e">
        <f>VLOOKUP(A252,checker!A:B,2,0)</f>
        <v>#N/A</v>
      </c>
      <c r="AV252" s="29" t="e">
        <f>VLOOKUP(A252,checker!B:C,2,0)</f>
        <v>#N/A</v>
      </c>
    </row>
    <row r="253" spans="1:48" x14ac:dyDescent="0.3">
      <c r="A253" s="29" t="str">
        <f t="shared" si="3"/>
        <v>96.692.66.646/0/oracle_linux-cve-2019-15215</v>
      </c>
      <c r="B253" s="61" t="s">
        <v>2997</v>
      </c>
      <c r="C253" s="61" t="s">
        <v>528</v>
      </c>
      <c r="D253" s="61" t="s">
        <v>2964</v>
      </c>
      <c r="E253" s="61" t="s">
        <v>28</v>
      </c>
      <c r="F253" s="61" t="s">
        <v>529</v>
      </c>
      <c r="G253" s="61" t="s">
        <v>530</v>
      </c>
      <c r="H253" s="61" t="s">
        <v>531</v>
      </c>
      <c r="I253" s="37" t="s">
        <v>532</v>
      </c>
      <c r="J253" s="37">
        <v>0</v>
      </c>
      <c r="K253" s="61" t="s">
        <v>258</v>
      </c>
      <c r="L253" s="61" t="s">
        <v>31</v>
      </c>
      <c r="M253" s="9">
        <v>5</v>
      </c>
      <c r="N253" s="9" t="s">
        <v>29</v>
      </c>
      <c r="O253" s="61" t="s">
        <v>1801</v>
      </c>
      <c r="P253" s="61" t="s">
        <v>1802</v>
      </c>
      <c r="Q253" s="61" t="s">
        <v>1803</v>
      </c>
      <c r="R253" s="61" t="s">
        <v>556</v>
      </c>
      <c r="S253" s="61" t="s">
        <v>1804</v>
      </c>
      <c r="T253" s="61" t="s">
        <v>31</v>
      </c>
      <c r="U253" s="61" t="s">
        <v>1805</v>
      </c>
      <c r="V253" s="61" t="s">
        <v>1806</v>
      </c>
      <c r="W253" s="62">
        <v>43696</v>
      </c>
      <c r="X253" s="37" t="s">
        <v>30</v>
      </c>
      <c r="Y253" s="37">
        <v>0</v>
      </c>
      <c r="Z253" s="37" t="s">
        <v>31</v>
      </c>
      <c r="AA253" s="37" t="s">
        <v>31</v>
      </c>
      <c r="AB253" s="37" t="s">
        <v>513</v>
      </c>
      <c r="AC253" s="61"/>
      <c r="AD253" s="34"/>
      <c r="AE253" s="98" t="s">
        <v>28</v>
      </c>
      <c r="AF253" s="36">
        <v>44191</v>
      </c>
      <c r="AG253" s="36">
        <v>44191</v>
      </c>
      <c r="AH253" s="37"/>
      <c r="AI253" s="72">
        <v>44185</v>
      </c>
      <c r="AJ253" s="38" t="s">
        <v>27</v>
      </c>
      <c r="AK253" s="39" t="e">
        <f>VLOOKUP(A253,'[1]Externe MAJ Nov'!$A:$H,8,0)</f>
        <v>#N/A</v>
      </c>
      <c r="AL253" s="61"/>
      <c r="AM253" s="61"/>
      <c r="AN253" s="61"/>
      <c r="AO253" s="58">
        <v>44185</v>
      </c>
      <c r="AP253" s="29" t="e">
        <f>VLOOKUP(A253,'[2]External Scan 02_21'!$B:$J,9,0)</f>
        <v>#N/A</v>
      </c>
      <c r="AQ253" s="29" t="s">
        <v>28</v>
      </c>
      <c r="AR253" s="21"/>
      <c r="AS253" s="21" t="str">
        <f>VLOOKUP(AE253,'ref statu'!A:B,2,0)</f>
        <v>Fixed</v>
      </c>
      <c r="AT253" s="8" t="e">
        <f>VLOOKUP(A253,chk!A:B,2,0)</f>
        <v>#N/A</v>
      </c>
      <c r="AU253" s="29" t="e">
        <f>VLOOKUP(A253,checker!A:B,2,0)</f>
        <v>#N/A</v>
      </c>
      <c r="AV253" s="29" t="e">
        <f>VLOOKUP(A253,checker!B:C,2,0)</f>
        <v>#N/A</v>
      </c>
    </row>
    <row r="254" spans="1:48" x14ac:dyDescent="0.3">
      <c r="A254" s="29" t="str">
        <f t="shared" si="3"/>
        <v>96.692.66.646/0/oracle_linux-cve-2019-15217</v>
      </c>
      <c r="B254" s="61" t="s">
        <v>2997</v>
      </c>
      <c r="C254" s="61" t="s">
        <v>528</v>
      </c>
      <c r="D254" s="61" t="s">
        <v>2964</v>
      </c>
      <c r="E254" s="61" t="s">
        <v>28</v>
      </c>
      <c r="F254" s="61" t="s">
        <v>529</v>
      </c>
      <c r="G254" s="61" t="s">
        <v>530</v>
      </c>
      <c r="H254" s="61" t="s">
        <v>531</v>
      </c>
      <c r="I254" s="37" t="s">
        <v>532</v>
      </c>
      <c r="J254" s="37">
        <v>0</v>
      </c>
      <c r="K254" s="61" t="s">
        <v>258</v>
      </c>
      <c r="L254" s="61" t="s">
        <v>31</v>
      </c>
      <c r="M254" s="9">
        <v>5</v>
      </c>
      <c r="N254" s="9" t="s">
        <v>29</v>
      </c>
      <c r="O254" s="61" t="s">
        <v>1807</v>
      </c>
      <c r="P254" s="61" t="s">
        <v>1808</v>
      </c>
      <c r="Q254" s="61" t="s">
        <v>1809</v>
      </c>
      <c r="R254" s="61" t="s">
        <v>606</v>
      </c>
      <c r="S254" s="61" t="s">
        <v>1810</v>
      </c>
      <c r="T254" s="61" t="s">
        <v>31</v>
      </c>
      <c r="U254" s="61" t="s">
        <v>1811</v>
      </c>
      <c r="V254" s="61" t="s">
        <v>1812</v>
      </c>
      <c r="W254" s="62">
        <v>43696</v>
      </c>
      <c r="X254" s="37" t="s">
        <v>30</v>
      </c>
      <c r="Y254" s="37">
        <v>0</v>
      </c>
      <c r="Z254" s="37" t="s">
        <v>31</v>
      </c>
      <c r="AA254" s="37" t="s">
        <v>31</v>
      </c>
      <c r="AB254" s="37" t="s">
        <v>513</v>
      </c>
      <c r="AC254" s="61"/>
      <c r="AD254" s="34"/>
      <c r="AE254" s="98" t="s">
        <v>28</v>
      </c>
      <c r="AF254" s="36">
        <v>44191</v>
      </c>
      <c r="AG254" s="36">
        <v>44191</v>
      </c>
      <c r="AH254" s="37"/>
      <c r="AI254" s="72">
        <v>44185</v>
      </c>
      <c r="AJ254" s="38" t="s">
        <v>27</v>
      </c>
      <c r="AK254" s="39" t="e">
        <f>VLOOKUP(A254,'[1]Externe MAJ Nov'!$A:$H,8,0)</f>
        <v>#N/A</v>
      </c>
      <c r="AL254" s="61"/>
      <c r="AM254" s="61"/>
      <c r="AN254" s="61"/>
      <c r="AO254" s="58">
        <v>44185</v>
      </c>
      <c r="AP254" s="29" t="e">
        <f>VLOOKUP(A254,'[2]External Scan 02_21'!$B:$J,9,0)</f>
        <v>#N/A</v>
      </c>
      <c r="AQ254" s="29" t="s">
        <v>28</v>
      </c>
      <c r="AR254" s="21"/>
      <c r="AS254" s="21" t="str">
        <f>VLOOKUP(AE254,'ref statu'!A:B,2,0)</f>
        <v>Fixed</v>
      </c>
      <c r="AT254" s="8" t="e">
        <f>VLOOKUP(A254,chk!A:B,2,0)</f>
        <v>#N/A</v>
      </c>
      <c r="AU254" s="29" t="e">
        <f>VLOOKUP(A254,checker!A:B,2,0)</f>
        <v>#N/A</v>
      </c>
      <c r="AV254" s="29" t="e">
        <f>VLOOKUP(A254,checker!B:C,2,0)</f>
        <v>#N/A</v>
      </c>
    </row>
    <row r="255" spans="1:48" x14ac:dyDescent="0.3">
      <c r="A255" s="29" t="str">
        <f t="shared" si="3"/>
        <v>96.692.66.646/0/oracle_linux-cve-2019-15218</v>
      </c>
      <c r="B255" s="61" t="s">
        <v>2997</v>
      </c>
      <c r="C255" s="61" t="s">
        <v>528</v>
      </c>
      <c r="D255" s="61" t="s">
        <v>2964</v>
      </c>
      <c r="E255" s="61" t="s">
        <v>28</v>
      </c>
      <c r="F255" s="61" t="s">
        <v>529</v>
      </c>
      <c r="G255" s="61" t="s">
        <v>530</v>
      </c>
      <c r="H255" s="61" t="s">
        <v>531</v>
      </c>
      <c r="I255" s="37" t="s">
        <v>532</v>
      </c>
      <c r="J255" s="37">
        <v>0</v>
      </c>
      <c r="K255" s="61" t="s">
        <v>258</v>
      </c>
      <c r="L255" s="61" t="s">
        <v>31</v>
      </c>
      <c r="M255" s="9">
        <v>5</v>
      </c>
      <c r="N255" s="9" t="s">
        <v>29</v>
      </c>
      <c r="O255" s="61" t="s">
        <v>1813</v>
      </c>
      <c r="P255" s="61" t="s">
        <v>1814</v>
      </c>
      <c r="Q255" s="61" t="s">
        <v>1815</v>
      </c>
      <c r="R255" s="61" t="s">
        <v>1343</v>
      </c>
      <c r="S255" s="61" t="s">
        <v>1816</v>
      </c>
      <c r="T255" s="61" t="s">
        <v>31</v>
      </c>
      <c r="U255" s="61" t="s">
        <v>1817</v>
      </c>
      <c r="V255" s="61" t="s">
        <v>1818</v>
      </c>
      <c r="W255" s="62">
        <v>43696</v>
      </c>
      <c r="X255" s="37" t="s">
        <v>30</v>
      </c>
      <c r="Y255" s="37">
        <v>0</v>
      </c>
      <c r="Z255" s="37" t="s">
        <v>31</v>
      </c>
      <c r="AA255" s="37" t="s">
        <v>31</v>
      </c>
      <c r="AB255" s="37" t="s">
        <v>513</v>
      </c>
      <c r="AC255" s="61"/>
      <c r="AD255" s="33"/>
      <c r="AE255" s="98" t="s">
        <v>28</v>
      </c>
      <c r="AF255" s="36">
        <v>44191</v>
      </c>
      <c r="AG255" s="36">
        <v>44191</v>
      </c>
      <c r="AH255" s="37"/>
      <c r="AI255" s="72">
        <v>44185</v>
      </c>
      <c r="AJ255" s="38" t="s">
        <v>27</v>
      </c>
      <c r="AK255" s="39" t="e">
        <f>VLOOKUP(A255,'[1]Externe MAJ Nov'!$A:$H,8,0)</f>
        <v>#N/A</v>
      </c>
      <c r="AL255" s="61"/>
      <c r="AM255" s="61"/>
      <c r="AN255" s="61"/>
      <c r="AO255" s="58">
        <v>44185</v>
      </c>
      <c r="AP255" s="29" t="e">
        <f>VLOOKUP(A255,'[2]External Scan 02_21'!$B:$J,9,0)</f>
        <v>#N/A</v>
      </c>
      <c r="AQ255" s="29" t="s">
        <v>28</v>
      </c>
      <c r="AR255" s="21"/>
      <c r="AS255" s="21" t="str">
        <f>VLOOKUP(AE255,'ref statu'!A:B,2,0)</f>
        <v>Fixed</v>
      </c>
      <c r="AT255" s="8" t="e">
        <f>VLOOKUP(A255,chk!A:B,2,0)</f>
        <v>#N/A</v>
      </c>
      <c r="AU255" s="29" t="e">
        <f>VLOOKUP(A255,checker!A:B,2,0)</f>
        <v>#N/A</v>
      </c>
      <c r="AV255" s="29" t="e">
        <f>VLOOKUP(A255,checker!B:C,2,0)</f>
        <v>#N/A</v>
      </c>
    </row>
    <row r="256" spans="1:48" x14ac:dyDescent="0.3">
      <c r="A256" s="29" t="str">
        <f t="shared" si="3"/>
        <v>96.692.66.646/0/oracle_linux-cve-2019-15219</v>
      </c>
      <c r="B256" s="61" t="s">
        <v>2997</v>
      </c>
      <c r="C256" s="61" t="s">
        <v>528</v>
      </c>
      <c r="D256" s="61" t="s">
        <v>2964</v>
      </c>
      <c r="E256" s="61" t="s">
        <v>28</v>
      </c>
      <c r="F256" s="61" t="s">
        <v>529</v>
      </c>
      <c r="G256" s="61" t="s">
        <v>530</v>
      </c>
      <c r="H256" s="61" t="s">
        <v>531</v>
      </c>
      <c r="I256" s="37" t="s">
        <v>532</v>
      </c>
      <c r="J256" s="37">
        <v>0</v>
      </c>
      <c r="K256" s="61" t="s">
        <v>258</v>
      </c>
      <c r="L256" s="61" t="s">
        <v>31</v>
      </c>
      <c r="M256" s="9">
        <v>5</v>
      </c>
      <c r="N256" s="9" t="s">
        <v>29</v>
      </c>
      <c r="O256" s="61" t="s">
        <v>1819</v>
      </c>
      <c r="P256" s="61" t="s">
        <v>1820</v>
      </c>
      <c r="Q256" s="61" t="s">
        <v>1821</v>
      </c>
      <c r="R256" s="61" t="s">
        <v>556</v>
      </c>
      <c r="S256" s="61" t="s">
        <v>1822</v>
      </c>
      <c r="T256" s="61" t="s">
        <v>31</v>
      </c>
      <c r="U256" s="61" t="s">
        <v>1823</v>
      </c>
      <c r="V256" s="61" t="s">
        <v>1824</v>
      </c>
      <c r="W256" s="62">
        <v>43696</v>
      </c>
      <c r="X256" s="37" t="s">
        <v>30</v>
      </c>
      <c r="Y256" s="37">
        <v>0</v>
      </c>
      <c r="Z256" s="37" t="s">
        <v>31</v>
      </c>
      <c r="AA256" s="37" t="s">
        <v>31</v>
      </c>
      <c r="AB256" s="37" t="s">
        <v>513</v>
      </c>
      <c r="AC256" s="61"/>
      <c r="AD256" s="34"/>
      <c r="AE256" s="98" t="s">
        <v>28</v>
      </c>
      <c r="AF256" s="36">
        <v>44191</v>
      </c>
      <c r="AG256" s="36">
        <v>44191</v>
      </c>
      <c r="AH256" s="37"/>
      <c r="AI256" s="72">
        <v>44185</v>
      </c>
      <c r="AJ256" s="38" t="s">
        <v>27</v>
      </c>
      <c r="AK256" s="39" t="e">
        <f>VLOOKUP(A256,'[1]Externe MAJ Nov'!$A:$H,8,0)</f>
        <v>#N/A</v>
      </c>
      <c r="AL256" s="61"/>
      <c r="AM256" s="61"/>
      <c r="AN256" s="61"/>
      <c r="AO256" s="58">
        <v>44185</v>
      </c>
      <c r="AP256" s="29" t="e">
        <f>VLOOKUP(A256,'[2]External Scan 02_21'!$B:$J,9,0)</f>
        <v>#N/A</v>
      </c>
      <c r="AQ256" s="29" t="s">
        <v>28</v>
      </c>
      <c r="AR256" s="21"/>
      <c r="AS256" s="21" t="str">
        <f>VLOOKUP(AE256,'ref statu'!A:B,2,0)</f>
        <v>Fixed</v>
      </c>
      <c r="AT256" s="8" t="e">
        <f>VLOOKUP(A256,chk!A:B,2,0)</f>
        <v>#N/A</v>
      </c>
      <c r="AU256" s="29" t="e">
        <f>VLOOKUP(A256,checker!A:B,2,0)</f>
        <v>#N/A</v>
      </c>
      <c r="AV256" s="29" t="e">
        <f>VLOOKUP(A256,checker!B:C,2,0)</f>
        <v>#N/A</v>
      </c>
    </row>
    <row r="257" spans="1:48" x14ac:dyDescent="0.3">
      <c r="A257" s="29" t="str">
        <f t="shared" si="3"/>
        <v>96.692.66.646/0/oracle_linux-cve-2019-15239</v>
      </c>
      <c r="B257" s="61" t="s">
        <v>2997</v>
      </c>
      <c r="C257" s="61" t="s">
        <v>528</v>
      </c>
      <c r="D257" s="61" t="s">
        <v>2964</v>
      </c>
      <c r="E257" s="61" t="s">
        <v>28</v>
      </c>
      <c r="F257" s="61" t="s">
        <v>529</v>
      </c>
      <c r="G257" s="61" t="s">
        <v>530</v>
      </c>
      <c r="H257" s="61" t="s">
        <v>531</v>
      </c>
      <c r="I257" s="37" t="s">
        <v>532</v>
      </c>
      <c r="J257" s="37">
        <v>0</v>
      </c>
      <c r="K257" s="61" t="s">
        <v>258</v>
      </c>
      <c r="L257" s="61" t="s">
        <v>31</v>
      </c>
      <c r="M257" s="9">
        <v>7</v>
      </c>
      <c r="N257" s="10" t="s">
        <v>2540</v>
      </c>
      <c r="O257" s="61" t="s">
        <v>1825</v>
      </c>
      <c r="P257" s="61" t="s">
        <v>1826</v>
      </c>
      <c r="Q257" s="61" t="s">
        <v>1827</v>
      </c>
      <c r="R257" s="61" t="s">
        <v>606</v>
      </c>
      <c r="S257" s="61" t="s">
        <v>1828</v>
      </c>
      <c r="T257" s="61" t="s">
        <v>31</v>
      </c>
      <c r="U257" s="61" t="s">
        <v>1829</v>
      </c>
      <c r="V257" s="61" t="s">
        <v>1830</v>
      </c>
      <c r="W257" s="62">
        <v>43697</v>
      </c>
      <c r="X257" s="37" t="s">
        <v>30</v>
      </c>
      <c r="Y257" s="37">
        <v>0</v>
      </c>
      <c r="Z257" s="37" t="s">
        <v>31</v>
      </c>
      <c r="AA257" s="37" t="s">
        <v>31</v>
      </c>
      <c r="AB257" s="37" t="s">
        <v>513</v>
      </c>
      <c r="AC257" s="61"/>
      <c r="AD257" s="34"/>
      <c r="AE257" s="98" t="s">
        <v>28</v>
      </c>
      <c r="AF257" s="36">
        <v>44191</v>
      </c>
      <c r="AG257" s="36">
        <v>44191</v>
      </c>
      <c r="AH257" s="37"/>
      <c r="AI257" s="72">
        <v>44185</v>
      </c>
      <c r="AJ257" s="38" t="s">
        <v>27</v>
      </c>
      <c r="AK257" s="39" t="e">
        <f>VLOOKUP(A257,'[1]Externe MAJ Nov'!$A:$H,8,0)</f>
        <v>#N/A</v>
      </c>
      <c r="AL257" s="61"/>
      <c r="AM257" s="61"/>
      <c r="AN257" s="61"/>
      <c r="AO257" s="58">
        <v>44185</v>
      </c>
      <c r="AP257" s="29" t="e">
        <f>VLOOKUP(A257,'[2]External Scan 02_21'!$B:$J,9,0)</f>
        <v>#N/A</v>
      </c>
      <c r="AQ257" s="29" t="s">
        <v>28</v>
      </c>
      <c r="AR257" s="21"/>
      <c r="AS257" s="21" t="str">
        <f>VLOOKUP(AE257,'ref statu'!A:B,2,0)</f>
        <v>Fixed</v>
      </c>
      <c r="AT257" s="8" t="e">
        <f>VLOOKUP(A257,chk!A:B,2,0)</f>
        <v>#N/A</v>
      </c>
      <c r="AU257" s="29" t="e">
        <f>VLOOKUP(A257,checker!A:B,2,0)</f>
        <v>#N/A</v>
      </c>
      <c r="AV257" s="29" t="e">
        <f>VLOOKUP(A257,checker!B:C,2,0)</f>
        <v>#N/A</v>
      </c>
    </row>
    <row r="258" spans="1:48" x14ac:dyDescent="0.3">
      <c r="A258" s="29" t="str">
        <f t="shared" ref="A258:A321" si="4">B258&amp;"/"&amp;J258&amp;"/"&amp;O258</f>
        <v>96.692.66.646/0/oracle_linux-cve-2019-15291</v>
      </c>
      <c r="B258" s="61" t="s">
        <v>2997</v>
      </c>
      <c r="C258" s="61" t="s">
        <v>528</v>
      </c>
      <c r="D258" s="61" t="s">
        <v>2964</v>
      </c>
      <c r="E258" s="61" t="s">
        <v>28</v>
      </c>
      <c r="F258" s="61" t="s">
        <v>529</v>
      </c>
      <c r="G258" s="61" t="s">
        <v>530</v>
      </c>
      <c r="H258" s="61" t="s">
        <v>531</v>
      </c>
      <c r="I258" s="37" t="s">
        <v>532</v>
      </c>
      <c r="J258" s="37">
        <v>0</v>
      </c>
      <c r="K258" s="61" t="s">
        <v>258</v>
      </c>
      <c r="L258" s="61" t="s">
        <v>31</v>
      </c>
      <c r="M258" s="9">
        <v>5</v>
      </c>
      <c r="N258" s="9" t="s">
        <v>29</v>
      </c>
      <c r="O258" s="61" t="s">
        <v>1831</v>
      </c>
      <c r="P258" s="61" t="s">
        <v>1832</v>
      </c>
      <c r="Q258" s="61" t="s">
        <v>1833</v>
      </c>
      <c r="R258" s="61" t="s">
        <v>556</v>
      </c>
      <c r="S258" s="61" t="s">
        <v>1834</v>
      </c>
      <c r="T258" s="61" t="s">
        <v>31</v>
      </c>
      <c r="U258" s="61" t="s">
        <v>1835</v>
      </c>
      <c r="V258" s="61" t="s">
        <v>1836</v>
      </c>
      <c r="W258" s="62">
        <v>43697</v>
      </c>
      <c r="X258" s="37" t="s">
        <v>30</v>
      </c>
      <c r="Y258" s="37">
        <v>0</v>
      </c>
      <c r="Z258" s="37" t="s">
        <v>31</v>
      </c>
      <c r="AA258" s="37" t="s">
        <v>31</v>
      </c>
      <c r="AB258" s="37" t="s">
        <v>513</v>
      </c>
      <c r="AC258" s="61"/>
      <c r="AD258" s="33"/>
      <c r="AE258" s="98" t="s">
        <v>28</v>
      </c>
      <c r="AF258" s="36">
        <v>44191</v>
      </c>
      <c r="AG258" s="36">
        <v>44191</v>
      </c>
      <c r="AH258" s="37"/>
      <c r="AI258" s="72">
        <v>44185</v>
      </c>
      <c r="AJ258" s="38" t="s">
        <v>27</v>
      </c>
      <c r="AK258" s="39" t="e">
        <f>VLOOKUP(A258,'[1]Externe MAJ Nov'!$A:$H,8,0)</f>
        <v>#N/A</v>
      </c>
      <c r="AL258" s="61"/>
      <c r="AM258" s="61"/>
      <c r="AN258" s="61"/>
      <c r="AO258" s="58">
        <v>44185</v>
      </c>
      <c r="AP258" s="29" t="e">
        <f>VLOOKUP(A258,'[2]External Scan 02_21'!$B:$J,9,0)</f>
        <v>#N/A</v>
      </c>
      <c r="AQ258" s="29" t="s">
        <v>28</v>
      </c>
      <c r="AR258" s="21"/>
      <c r="AS258" s="21" t="str">
        <f>VLOOKUP(AE258,'ref statu'!A:B,2,0)</f>
        <v>Fixed</v>
      </c>
      <c r="AT258" s="8" t="e">
        <f>VLOOKUP(A258,chk!A:B,2,0)</f>
        <v>#N/A</v>
      </c>
      <c r="AU258" s="29" t="e">
        <f>VLOOKUP(A258,checker!A:B,2,0)</f>
        <v>#N/A</v>
      </c>
      <c r="AV258" s="29" t="e">
        <f>VLOOKUP(A258,checker!B:C,2,0)</f>
        <v>#N/A</v>
      </c>
    </row>
    <row r="259" spans="1:48" x14ac:dyDescent="0.3">
      <c r="A259" s="29" t="str">
        <f t="shared" si="4"/>
        <v>96.692.66.646/0/oracle_linux-cve-2019-15505</v>
      </c>
      <c r="B259" s="61" t="s">
        <v>2997</v>
      </c>
      <c r="C259" s="61" t="s">
        <v>528</v>
      </c>
      <c r="D259" s="61" t="s">
        <v>2964</v>
      </c>
      <c r="E259" s="61" t="s">
        <v>28</v>
      </c>
      <c r="F259" s="61" t="s">
        <v>529</v>
      </c>
      <c r="G259" s="61" t="s">
        <v>530</v>
      </c>
      <c r="H259" s="61" t="s">
        <v>531</v>
      </c>
      <c r="I259" s="37" t="s">
        <v>532</v>
      </c>
      <c r="J259" s="37">
        <v>0</v>
      </c>
      <c r="K259" s="61" t="s">
        <v>258</v>
      </c>
      <c r="L259" s="61" t="s">
        <v>31</v>
      </c>
      <c r="M259" s="9">
        <v>10</v>
      </c>
      <c r="N259" s="10" t="s">
        <v>164</v>
      </c>
      <c r="O259" s="61" t="s">
        <v>1837</v>
      </c>
      <c r="P259" s="61" t="s">
        <v>1838</v>
      </c>
      <c r="Q259" s="61" t="s">
        <v>1839</v>
      </c>
      <c r="R259" s="61" t="s">
        <v>536</v>
      </c>
      <c r="S259" s="61" t="s">
        <v>1840</v>
      </c>
      <c r="T259" s="61" t="s">
        <v>31</v>
      </c>
      <c r="U259" s="61" t="s">
        <v>1841</v>
      </c>
      <c r="V259" s="61" t="s">
        <v>1842</v>
      </c>
      <c r="W259" s="62">
        <v>43700</v>
      </c>
      <c r="X259" s="37" t="s">
        <v>30</v>
      </c>
      <c r="Y259" s="37">
        <v>0</v>
      </c>
      <c r="Z259" s="37" t="s">
        <v>31</v>
      </c>
      <c r="AA259" s="37" t="s">
        <v>31</v>
      </c>
      <c r="AB259" s="37" t="s">
        <v>513</v>
      </c>
      <c r="AC259" s="61"/>
      <c r="AD259" s="34"/>
      <c r="AE259" s="98" t="s">
        <v>28</v>
      </c>
      <c r="AF259" s="36">
        <v>44191</v>
      </c>
      <c r="AG259" s="36">
        <v>44191</v>
      </c>
      <c r="AH259" s="37"/>
      <c r="AI259" s="72">
        <v>44185</v>
      </c>
      <c r="AJ259" s="38" t="s">
        <v>27</v>
      </c>
      <c r="AK259" s="39" t="e">
        <f>VLOOKUP(A259,'[1]Externe MAJ Nov'!$A:$H,8,0)</f>
        <v>#N/A</v>
      </c>
      <c r="AL259" s="61"/>
      <c r="AM259" s="61"/>
      <c r="AN259" s="61"/>
      <c r="AO259" s="58">
        <v>44185</v>
      </c>
      <c r="AP259" s="29" t="e">
        <f>VLOOKUP(A259,'[2]External Scan 02_21'!$B:$J,9,0)</f>
        <v>#N/A</v>
      </c>
      <c r="AQ259" s="29" t="s">
        <v>28</v>
      </c>
      <c r="AR259" s="21"/>
      <c r="AS259" s="21" t="str">
        <f>VLOOKUP(AE259,'ref statu'!A:B,2,0)</f>
        <v>Fixed</v>
      </c>
      <c r="AT259" s="8" t="e">
        <f>VLOOKUP(A259,chk!A:B,2,0)</f>
        <v>#N/A</v>
      </c>
      <c r="AU259" s="29" t="e">
        <f>VLOOKUP(A259,checker!A:B,2,0)</f>
        <v>#N/A</v>
      </c>
      <c r="AV259" s="29" t="e">
        <f>VLOOKUP(A259,checker!B:C,2,0)</f>
        <v>#N/A</v>
      </c>
    </row>
    <row r="260" spans="1:48" x14ac:dyDescent="0.3">
      <c r="A260" s="29" t="str">
        <f t="shared" si="4"/>
        <v>96.692.66.646/0/oracle_linux-cve-2019-15666</v>
      </c>
      <c r="B260" s="61" t="s">
        <v>2997</v>
      </c>
      <c r="C260" s="61" t="s">
        <v>528</v>
      </c>
      <c r="D260" s="61" t="s">
        <v>2964</v>
      </c>
      <c r="E260" s="61" t="s">
        <v>28</v>
      </c>
      <c r="F260" s="61" t="s">
        <v>529</v>
      </c>
      <c r="G260" s="61" t="s">
        <v>530</v>
      </c>
      <c r="H260" s="61" t="s">
        <v>531</v>
      </c>
      <c r="I260" s="37" t="s">
        <v>532</v>
      </c>
      <c r="J260" s="37">
        <v>0</v>
      </c>
      <c r="K260" s="61" t="s">
        <v>258</v>
      </c>
      <c r="L260" s="61" t="s">
        <v>31</v>
      </c>
      <c r="M260" s="9">
        <v>5</v>
      </c>
      <c r="N260" s="9" t="s">
        <v>29</v>
      </c>
      <c r="O260" s="61" t="s">
        <v>1843</v>
      </c>
      <c r="P260" s="61" t="s">
        <v>1844</v>
      </c>
      <c r="Q260" s="61" t="s">
        <v>1845</v>
      </c>
      <c r="R260" s="61" t="s">
        <v>536</v>
      </c>
      <c r="S260" s="61" t="s">
        <v>1846</v>
      </c>
      <c r="T260" s="61" t="s">
        <v>31</v>
      </c>
      <c r="U260" s="61" t="s">
        <v>1847</v>
      </c>
      <c r="V260" s="61" t="s">
        <v>1848</v>
      </c>
      <c r="W260" s="62">
        <v>43704</v>
      </c>
      <c r="X260" s="37" t="s">
        <v>30</v>
      </c>
      <c r="Y260" s="37">
        <v>0</v>
      </c>
      <c r="Z260" s="37" t="s">
        <v>31</v>
      </c>
      <c r="AA260" s="37" t="s">
        <v>31</v>
      </c>
      <c r="AB260" s="37" t="s">
        <v>513</v>
      </c>
      <c r="AC260" s="61"/>
      <c r="AD260" s="34"/>
      <c r="AE260" s="98" t="s">
        <v>28</v>
      </c>
      <c r="AF260" s="36">
        <v>44191</v>
      </c>
      <c r="AG260" s="36">
        <v>44191</v>
      </c>
      <c r="AH260" s="37"/>
      <c r="AI260" s="72">
        <v>44185</v>
      </c>
      <c r="AJ260" s="38" t="s">
        <v>27</v>
      </c>
      <c r="AK260" s="39" t="e">
        <f>VLOOKUP(A260,'[1]Externe MAJ Nov'!$A:$H,8,0)</f>
        <v>#N/A</v>
      </c>
      <c r="AL260" s="61"/>
      <c r="AM260" s="61"/>
      <c r="AN260" s="61"/>
      <c r="AO260" s="58">
        <v>44185</v>
      </c>
      <c r="AP260" s="29" t="e">
        <f>VLOOKUP(A260,'[2]External Scan 02_21'!$B:$J,9,0)</f>
        <v>#N/A</v>
      </c>
      <c r="AQ260" s="29" t="s">
        <v>28</v>
      </c>
      <c r="AR260" s="21"/>
      <c r="AS260" s="21" t="str">
        <f>VLOOKUP(AE260,'ref statu'!A:B,2,0)</f>
        <v>Fixed</v>
      </c>
      <c r="AT260" s="8" t="e">
        <f>VLOOKUP(A260,chk!A:B,2,0)</f>
        <v>#N/A</v>
      </c>
      <c r="AU260" s="29" t="e">
        <f>VLOOKUP(A260,checker!A:B,2,0)</f>
        <v>#N/A</v>
      </c>
      <c r="AV260" s="29" t="e">
        <f>VLOOKUP(A260,checker!B:C,2,0)</f>
        <v>#N/A</v>
      </c>
    </row>
    <row r="261" spans="1:48" x14ac:dyDescent="0.3">
      <c r="A261" s="29" t="str">
        <f t="shared" si="4"/>
        <v>96.692.66.646/0/oracle_linux-cve-2019-15807</v>
      </c>
      <c r="B261" s="61" t="s">
        <v>2997</v>
      </c>
      <c r="C261" s="61" t="s">
        <v>528</v>
      </c>
      <c r="D261" s="61" t="s">
        <v>2964</v>
      </c>
      <c r="E261" s="61" t="s">
        <v>28</v>
      </c>
      <c r="F261" s="61" t="s">
        <v>529</v>
      </c>
      <c r="G261" s="61" t="s">
        <v>530</v>
      </c>
      <c r="H261" s="61" t="s">
        <v>531</v>
      </c>
      <c r="I261" s="37" t="s">
        <v>532</v>
      </c>
      <c r="J261" s="37">
        <v>0</v>
      </c>
      <c r="K261" s="61" t="s">
        <v>258</v>
      </c>
      <c r="L261" s="61" t="s">
        <v>31</v>
      </c>
      <c r="M261" s="9">
        <v>5</v>
      </c>
      <c r="N261" s="9" t="s">
        <v>29</v>
      </c>
      <c r="O261" s="61" t="s">
        <v>1849</v>
      </c>
      <c r="P261" s="61" t="s">
        <v>1850</v>
      </c>
      <c r="Q261" s="61" t="s">
        <v>1851</v>
      </c>
      <c r="R261" s="61" t="s">
        <v>606</v>
      </c>
      <c r="S261" s="61" t="s">
        <v>1852</v>
      </c>
      <c r="T261" s="61" t="s">
        <v>31</v>
      </c>
      <c r="U261" s="61" t="s">
        <v>1853</v>
      </c>
      <c r="V261" s="61" t="s">
        <v>1854</v>
      </c>
      <c r="W261" s="62">
        <v>43706</v>
      </c>
      <c r="X261" s="37" t="s">
        <v>30</v>
      </c>
      <c r="Y261" s="37">
        <v>0</v>
      </c>
      <c r="Z261" s="37" t="s">
        <v>31</v>
      </c>
      <c r="AA261" s="37" t="s">
        <v>31</v>
      </c>
      <c r="AB261" s="37" t="s">
        <v>513</v>
      </c>
      <c r="AC261" s="61"/>
      <c r="AD261" s="33"/>
      <c r="AE261" s="98" t="s">
        <v>28</v>
      </c>
      <c r="AF261" s="36">
        <v>44191</v>
      </c>
      <c r="AG261" s="36">
        <v>44191</v>
      </c>
      <c r="AH261" s="37"/>
      <c r="AI261" s="72">
        <v>44185</v>
      </c>
      <c r="AJ261" s="38" t="s">
        <v>27</v>
      </c>
      <c r="AK261" s="39" t="e">
        <f>VLOOKUP(A261,'[1]Externe MAJ Nov'!$A:$H,8,0)</f>
        <v>#N/A</v>
      </c>
      <c r="AL261" s="61"/>
      <c r="AM261" s="61"/>
      <c r="AN261" s="61"/>
      <c r="AO261" s="58">
        <v>44185</v>
      </c>
      <c r="AP261" s="29" t="e">
        <f>VLOOKUP(A261,'[2]External Scan 02_21'!$B:$J,9,0)</f>
        <v>#N/A</v>
      </c>
      <c r="AQ261" s="29" t="s">
        <v>28</v>
      </c>
      <c r="AR261" s="21"/>
      <c r="AS261" s="21" t="str">
        <f>VLOOKUP(AE261,'ref statu'!A:B,2,0)</f>
        <v>Fixed</v>
      </c>
      <c r="AT261" s="8" t="e">
        <f>VLOOKUP(A261,chk!A:B,2,0)</f>
        <v>#N/A</v>
      </c>
      <c r="AU261" s="29" t="e">
        <f>VLOOKUP(A261,checker!A:B,2,0)</f>
        <v>#N/A</v>
      </c>
      <c r="AV261" s="29" t="e">
        <f>VLOOKUP(A261,checker!B:C,2,0)</f>
        <v>#N/A</v>
      </c>
    </row>
    <row r="262" spans="1:48" x14ac:dyDescent="0.3">
      <c r="A262" s="29" t="str">
        <f t="shared" si="4"/>
        <v>96.692.66.646/0/oracle_linux-cve-2019-15916</v>
      </c>
      <c r="B262" s="61" t="s">
        <v>2997</v>
      </c>
      <c r="C262" s="61" t="s">
        <v>528</v>
      </c>
      <c r="D262" s="61" t="s">
        <v>2964</v>
      </c>
      <c r="E262" s="61" t="s">
        <v>28</v>
      </c>
      <c r="F262" s="61" t="s">
        <v>529</v>
      </c>
      <c r="G262" s="61" t="s">
        <v>530</v>
      </c>
      <c r="H262" s="61" t="s">
        <v>531</v>
      </c>
      <c r="I262" s="37" t="s">
        <v>532</v>
      </c>
      <c r="J262" s="37">
        <v>0</v>
      </c>
      <c r="K262" s="61" t="s">
        <v>258</v>
      </c>
      <c r="L262" s="61" t="s">
        <v>31</v>
      </c>
      <c r="M262" s="9">
        <v>8</v>
      </c>
      <c r="N262" s="10" t="s">
        <v>2540</v>
      </c>
      <c r="O262" s="61" t="s">
        <v>1855</v>
      </c>
      <c r="P262" s="61" t="s">
        <v>1856</v>
      </c>
      <c r="Q262" s="61" t="s">
        <v>1857</v>
      </c>
      <c r="R262" s="61" t="s">
        <v>581</v>
      </c>
      <c r="S262" s="61" t="s">
        <v>1858</v>
      </c>
      <c r="T262" s="61" t="s">
        <v>31</v>
      </c>
      <c r="U262" s="61" t="s">
        <v>1859</v>
      </c>
      <c r="V262" s="61" t="s">
        <v>1860</v>
      </c>
      <c r="W262" s="62">
        <v>43712</v>
      </c>
      <c r="X262" s="37" t="s">
        <v>30</v>
      </c>
      <c r="Y262" s="37">
        <v>0</v>
      </c>
      <c r="Z262" s="37" t="s">
        <v>31</v>
      </c>
      <c r="AA262" s="37" t="s">
        <v>31</v>
      </c>
      <c r="AB262" s="37" t="s">
        <v>513</v>
      </c>
      <c r="AC262" s="61"/>
      <c r="AD262" s="34"/>
      <c r="AE262" s="98" t="s">
        <v>28</v>
      </c>
      <c r="AF262" s="36">
        <v>44191</v>
      </c>
      <c r="AG262" s="36">
        <v>44191</v>
      </c>
      <c r="AH262" s="37"/>
      <c r="AI262" s="72">
        <v>44185</v>
      </c>
      <c r="AJ262" s="38" t="s">
        <v>27</v>
      </c>
      <c r="AK262" s="39" t="e">
        <f>VLOOKUP(A262,'[1]Externe MAJ Nov'!$A:$H,8,0)</f>
        <v>#N/A</v>
      </c>
      <c r="AL262" s="61"/>
      <c r="AM262" s="61"/>
      <c r="AN262" s="61"/>
      <c r="AO262" s="58">
        <v>44185</v>
      </c>
      <c r="AP262" s="29" t="e">
        <f>VLOOKUP(A262,'[2]External Scan 02_21'!$B:$J,9,0)</f>
        <v>#N/A</v>
      </c>
      <c r="AQ262" s="29" t="s">
        <v>28</v>
      </c>
      <c r="AR262" s="21"/>
      <c r="AS262" s="21" t="str">
        <f>VLOOKUP(AE262,'ref statu'!A:B,2,0)</f>
        <v>Fixed</v>
      </c>
      <c r="AT262" s="8" t="e">
        <f>VLOOKUP(A262,chk!A:B,2,0)</f>
        <v>#N/A</v>
      </c>
      <c r="AU262" s="29" t="e">
        <f>VLOOKUP(A262,checker!A:B,2,0)</f>
        <v>#N/A</v>
      </c>
      <c r="AV262" s="29" t="e">
        <f>VLOOKUP(A262,checker!B:C,2,0)</f>
        <v>#N/A</v>
      </c>
    </row>
    <row r="263" spans="1:48" x14ac:dyDescent="0.3">
      <c r="A263" s="29" t="str">
        <f t="shared" si="4"/>
        <v>96.692.66.646/0/oracle_linux-cve-2019-15927</v>
      </c>
      <c r="B263" s="61" t="s">
        <v>2997</v>
      </c>
      <c r="C263" s="61" t="s">
        <v>528</v>
      </c>
      <c r="D263" s="61" t="s">
        <v>2964</v>
      </c>
      <c r="E263" s="61" t="s">
        <v>28</v>
      </c>
      <c r="F263" s="61" t="s">
        <v>529</v>
      </c>
      <c r="G263" s="61" t="s">
        <v>530</v>
      </c>
      <c r="H263" s="61" t="s">
        <v>531</v>
      </c>
      <c r="I263" s="37" t="s">
        <v>532</v>
      </c>
      <c r="J263" s="37">
        <v>0</v>
      </c>
      <c r="K263" s="61" t="s">
        <v>258</v>
      </c>
      <c r="L263" s="61" t="s">
        <v>31</v>
      </c>
      <c r="M263" s="9">
        <v>7</v>
      </c>
      <c r="N263" s="10" t="s">
        <v>2540</v>
      </c>
      <c r="O263" s="61" t="s">
        <v>1861</v>
      </c>
      <c r="P263" s="61" t="s">
        <v>1862</v>
      </c>
      <c r="Q263" s="61" t="s">
        <v>1863</v>
      </c>
      <c r="R263" s="61" t="s">
        <v>536</v>
      </c>
      <c r="S263" s="61" t="s">
        <v>1864</v>
      </c>
      <c r="T263" s="61" t="s">
        <v>31</v>
      </c>
      <c r="U263" s="61" t="s">
        <v>1865</v>
      </c>
      <c r="V263" s="61" t="s">
        <v>1866</v>
      </c>
      <c r="W263" s="62">
        <v>43712</v>
      </c>
      <c r="X263" s="37" t="s">
        <v>30</v>
      </c>
      <c r="Y263" s="37">
        <v>0</v>
      </c>
      <c r="Z263" s="37" t="s">
        <v>31</v>
      </c>
      <c r="AA263" s="37" t="s">
        <v>31</v>
      </c>
      <c r="AB263" s="37" t="s">
        <v>513</v>
      </c>
      <c r="AC263" s="61"/>
      <c r="AD263" s="34"/>
      <c r="AE263" s="98" t="s">
        <v>28</v>
      </c>
      <c r="AF263" s="36">
        <v>44191</v>
      </c>
      <c r="AG263" s="36">
        <v>44191</v>
      </c>
      <c r="AH263" s="37"/>
      <c r="AI263" s="72">
        <v>44185</v>
      </c>
      <c r="AJ263" s="38" t="s">
        <v>27</v>
      </c>
      <c r="AK263" s="39" t="e">
        <f>VLOOKUP(A263,'[1]Externe MAJ Nov'!$A:$H,8,0)</f>
        <v>#N/A</v>
      </c>
      <c r="AL263" s="61"/>
      <c r="AM263" s="61"/>
      <c r="AN263" s="61"/>
      <c r="AO263" s="58">
        <v>44185</v>
      </c>
      <c r="AP263" s="29" t="e">
        <f>VLOOKUP(A263,'[2]External Scan 02_21'!$B:$J,9,0)</f>
        <v>#N/A</v>
      </c>
      <c r="AQ263" s="29" t="s">
        <v>28</v>
      </c>
      <c r="AR263" s="21"/>
      <c r="AS263" s="21" t="str">
        <f>VLOOKUP(AE263,'ref statu'!A:B,2,0)</f>
        <v>Fixed</v>
      </c>
      <c r="AT263" s="8" t="e">
        <f>VLOOKUP(A263,chk!A:B,2,0)</f>
        <v>#N/A</v>
      </c>
      <c r="AU263" s="29" t="e">
        <f>VLOOKUP(A263,checker!A:B,2,0)</f>
        <v>#N/A</v>
      </c>
      <c r="AV263" s="29" t="e">
        <f>VLOOKUP(A263,checker!B:C,2,0)</f>
        <v>#N/A</v>
      </c>
    </row>
    <row r="264" spans="1:48" x14ac:dyDescent="0.3">
      <c r="A264" s="29" t="str">
        <f t="shared" si="4"/>
        <v>96.692.66.646/0/oracle_linux-cve-2019-16233</v>
      </c>
      <c r="B264" s="61" t="s">
        <v>2997</v>
      </c>
      <c r="C264" s="61" t="s">
        <v>528</v>
      </c>
      <c r="D264" s="61" t="s">
        <v>2964</v>
      </c>
      <c r="E264" s="61" t="s">
        <v>28</v>
      </c>
      <c r="F264" s="61" t="s">
        <v>529</v>
      </c>
      <c r="G264" s="61" t="s">
        <v>530</v>
      </c>
      <c r="H264" s="61" t="s">
        <v>531</v>
      </c>
      <c r="I264" s="37" t="s">
        <v>532</v>
      </c>
      <c r="J264" s="37">
        <v>0</v>
      </c>
      <c r="K264" s="61" t="s">
        <v>258</v>
      </c>
      <c r="L264" s="61" t="s">
        <v>31</v>
      </c>
      <c r="M264" s="9">
        <v>5</v>
      </c>
      <c r="N264" s="9" t="s">
        <v>29</v>
      </c>
      <c r="O264" s="61" t="s">
        <v>1867</v>
      </c>
      <c r="P264" s="61" t="s">
        <v>1868</v>
      </c>
      <c r="Q264" s="61" t="s">
        <v>1869</v>
      </c>
      <c r="R264" s="61" t="s">
        <v>581</v>
      </c>
      <c r="S264" s="61" t="s">
        <v>1870</v>
      </c>
      <c r="T264" s="61" t="s">
        <v>31</v>
      </c>
      <c r="U264" s="61" t="s">
        <v>1871</v>
      </c>
      <c r="V264" s="61" t="s">
        <v>1872</v>
      </c>
      <c r="W264" s="62">
        <v>43719</v>
      </c>
      <c r="X264" s="37" t="s">
        <v>30</v>
      </c>
      <c r="Y264" s="37">
        <v>0</v>
      </c>
      <c r="Z264" s="37" t="s">
        <v>31</v>
      </c>
      <c r="AA264" s="37" t="s">
        <v>31</v>
      </c>
      <c r="AB264" s="37" t="s">
        <v>513</v>
      </c>
      <c r="AC264" s="61"/>
      <c r="AD264" s="33"/>
      <c r="AE264" s="98" t="s">
        <v>28</v>
      </c>
      <c r="AF264" s="36">
        <v>44191</v>
      </c>
      <c r="AG264" s="36">
        <v>44191</v>
      </c>
      <c r="AH264" s="37"/>
      <c r="AI264" s="72">
        <v>44185</v>
      </c>
      <c r="AJ264" s="38" t="s">
        <v>27</v>
      </c>
      <c r="AK264" s="39" t="e">
        <f>VLOOKUP(A264,'[1]Externe MAJ Nov'!$A:$H,8,0)</f>
        <v>#N/A</v>
      </c>
      <c r="AL264" s="61"/>
      <c r="AM264" s="61"/>
      <c r="AN264" s="61"/>
      <c r="AO264" s="58">
        <v>44185</v>
      </c>
      <c r="AP264" s="29" t="e">
        <f>VLOOKUP(A264,'[2]External Scan 02_21'!$B:$J,9,0)</f>
        <v>#N/A</v>
      </c>
      <c r="AQ264" s="29" t="s">
        <v>28</v>
      </c>
      <c r="AR264" s="21"/>
      <c r="AS264" s="21" t="str">
        <f>VLOOKUP(AE264,'ref statu'!A:B,2,0)</f>
        <v>Fixed</v>
      </c>
      <c r="AT264" s="8" t="e">
        <f>VLOOKUP(A264,chk!A:B,2,0)</f>
        <v>#N/A</v>
      </c>
      <c r="AU264" s="29" t="e">
        <f>VLOOKUP(A264,checker!A:B,2,0)</f>
        <v>#N/A</v>
      </c>
      <c r="AV264" s="29" t="e">
        <f>VLOOKUP(A264,checker!B:C,2,0)</f>
        <v>#N/A</v>
      </c>
    </row>
    <row r="265" spans="1:48" x14ac:dyDescent="0.3">
      <c r="A265" s="29" t="str">
        <f t="shared" si="4"/>
        <v>96.692.66.646/0/oracle_linux-cve-2019-16746</v>
      </c>
      <c r="B265" s="61" t="s">
        <v>2997</v>
      </c>
      <c r="C265" s="61" t="s">
        <v>528</v>
      </c>
      <c r="D265" s="61" t="s">
        <v>2964</v>
      </c>
      <c r="E265" s="61" t="s">
        <v>28</v>
      </c>
      <c r="F265" s="61" t="s">
        <v>529</v>
      </c>
      <c r="G265" s="61" t="s">
        <v>530</v>
      </c>
      <c r="H265" s="61" t="s">
        <v>531</v>
      </c>
      <c r="I265" s="37" t="s">
        <v>532</v>
      </c>
      <c r="J265" s="37">
        <v>0</v>
      </c>
      <c r="K265" s="61" t="s">
        <v>258</v>
      </c>
      <c r="L265" s="61" t="s">
        <v>31</v>
      </c>
      <c r="M265" s="9">
        <v>8</v>
      </c>
      <c r="N265" s="10" t="s">
        <v>2540</v>
      </c>
      <c r="O265" s="61" t="s">
        <v>1873</v>
      </c>
      <c r="P265" s="61" t="s">
        <v>1874</v>
      </c>
      <c r="Q265" s="61" t="s">
        <v>1875</v>
      </c>
      <c r="R265" s="61" t="s">
        <v>1350</v>
      </c>
      <c r="S265" s="61" t="s">
        <v>1876</v>
      </c>
      <c r="T265" s="61" t="s">
        <v>31</v>
      </c>
      <c r="U265" s="61" t="s">
        <v>1877</v>
      </c>
      <c r="V265" s="61" t="s">
        <v>1878</v>
      </c>
      <c r="W265" s="62">
        <v>43732</v>
      </c>
      <c r="X265" s="37" t="s">
        <v>30</v>
      </c>
      <c r="Y265" s="37">
        <v>0</v>
      </c>
      <c r="Z265" s="37" t="s">
        <v>31</v>
      </c>
      <c r="AA265" s="37" t="s">
        <v>31</v>
      </c>
      <c r="AB265" s="37" t="s">
        <v>513</v>
      </c>
      <c r="AC265" s="61"/>
      <c r="AD265" s="34"/>
      <c r="AE265" s="98" t="s">
        <v>28</v>
      </c>
      <c r="AF265" s="36">
        <v>44191</v>
      </c>
      <c r="AG265" s="36">
        <v>44191</v>
      </c>
      <c r="AH265" s="37"/>
      <c r="AI265" s="72">
        <v>44185</v>
      </c>
      <c r="AJ265" s="38" t="s">
        <v>27</v>
      </c>
      <c r="AK265" s="39" t="e">
        <f>VLOOKUP(A265,'[1]Externe MAJ Nov'!$A:$H,8,0)</f>
        <v>#N/A</v>
      </c>
      <c r="AL265" s="61"/>
      <c r="AM265" s="61"/>
      <c r="AN265" s="61"/>
      <c r="AO265" s="58">
        <v>44185</v>
      </c>
      <c r="AP265" s="29" t="e">
        <f>VLOOKUP(A265,'[2]External Scan 02_21'!$B:$J,9,0)</f>
        <v>#N/A</v>
      </c>
      <c r="AQ265" s="29" t="s">
        <v>28</v>
      </c>
      <c r="AR265" s="21"/>
      <c r="AS265" s="21" t="str">
        <f>VLOOKUP(AE265,'ref statu'!A:B,2,0)</f>
        <v>Fixed</v>
      </c>
      <c r="AT265" s="8" t="e">
        <f>VLOOKUP(A265,chk!A:B,2,0)</f>
        <v>#N/A</v>
      </c>
      <c r="AU265" s="29" t="e">
        <f>VLOOKUP(A265,checker!A:B,2,0)</f>
        <v>#N/A</v>
      </c>
      <c r="AV265" s="29" t="e">
        <f>VLOOKUP(A265,checker!B:C,2,0)</f>
        <v>#N/A</v>
      </c>
    </row>
    <row r="266" spans="1:48" x14ac:dyDescent="0.3">
      <c r="A266" s="29" t="str">
        <f t="shared" si="4"/>
        <v>96.692.66.646/0/oracle_linux-cve-2019-16994</v>
      </c>
      <c r="B266" s="61" t="s">
        <v>2997</v>
      </c>
      <c r="C266" s="61" t="s">
        <v>528</v>
      </c>
      <c r="D266" s="61" t="s">
        <v>2964</v>
      </c>
      <c r="E266" s="61" t="s">
        <v>28</v>
      </c>
      <c r="F266" s="61" t="s">
        <v>529</v>
      </c>
      <c r="G266" s="61" t="s">
        <v>530</v>
      </c>
      <c r="H266" s="61" t="s">
        <v>531</v>
      </c>
      <c r="I266" s="37" t="s">
        <v>532</v>
      </c>
      <c r="J266" s="37">
        <v>0</v>
      </c>
      <c r="K266" s="61" t="s">
        <v>258</v>
      </c>
      <c r="L266" s="61" t="s">
        <v>31</v>
      </c>
      <c r="M266" s="9">
        <v>5</v>
      </c>
      <c r="N266" s="9" t="s">
        <v>29</v>
      </c>
      <c r="O266" s="61" t="s">
        <v>1879</v>
      </c>
      <c r="P266" s="61" t="s">
        <v>1880</v>
      </c>
      <c r="Q266" s="61" t="s">
        <v>1881</v>
      </c>
      <c r="R266" s="61" t="s">
        <v>606</v>
      </c>
      <c r="S266" s="61" t="s">
        <v>1882</v>
      </c>
      <c r="T266" s="61" t="s">
        <v>31</v>
      </c>
      <c r="U266" s="61" t="s">
        <v>1883</v>
      </c>
      <c r="V266" s="61" t="s">
        <v>1884</v>
      </c>
      <c r="W266" s="62">
        <v>43738</v>
      </c>
      <c r="X266" s="37" t="s">
        <v>30</v>
      </c>
      <c r="Y266" s="37">
        <v>0</v>
      </c>
      <c r="Z266" s="37" t="s">
        <v>31</v>
      </c>
      <c r="AA266" s="37" t="s">
        <v>31</v>
      </c>
      <c r="AB266" s="37" t="s">
        <v>513</v>
      </c>
      <c r="AC266" s="61"/>
      <c r="AD266" s="34"/>
      <c r="AE266" s="98" t="s">
        <v>28</v>
      </c>
      <c r="AF266" s="36">
        <v>44191</v>
      </c>
      <c r="AG266" s="36">
        <v>44191</v>
      </c>
      <c r="AH266" s="37"/>
      <c r="AI266" s="72">
        <v>44185</v>
      </c>
      <c r="AJ266" s="38" t="s">
        <v>27</v>
      </c>
      <c r="AK266" s="39" t="e">
        <f>VLOOKUP(A266,'[1]Externe MAJ Nov'!$A:$H,8,0)</f>
        <v>#N/A</v>
      </c>
      <c r="AL266" s="61"/>
      <c r="AM266" s="61"/>
      <c r="AN266" s="61"/>
      <c r="AO266" s="58">
        <v>44185</v>
      </c>
      <c r="AP266" s="29" t="e">
        <f>VLOOKUP(A266,'[2]External Scan 02_21'!$B:$J,9,0)</f>
        <v>#N/A</v>
      </c>
      <c r="AQ266" s="29" t="s">
        <v>28</v>
      </c>
      <c r="AR266" s="21"/>
      <c r="AS266" s="21" t="str">
        <f>VLOOKUP(AE266,'ref statu'!A:B,2,0)</f>
        <v>Fixed</v>
      </c>
      <c r="AT266" s="8" t="e">
        <f>VLOOKUP(A266,chk!A:B,2,0)</f>
        <v>#N/A</v>
      </c>
      <c r="AU266" s="29" t="e">
        <f>VLOOKUP(A266,checker!A:B,2,0)</f>
        <v>#N/A</v>
      </c>
      <c r="AV266" s="29" t="e">
        <f>VLOOKUP(A266,checker!B:C,2,0)</f>
        <v>#N/A</v>
      </c>
    </row>
    <row r="267" spans="1:48" x14ac:dyDescent="0.3">
      <c r="A267" s="29" t="str">
        <f t="shared" si="4"/>
        <v>96.692.66.646/0/oracle_linux-cve-2019-16995</v>
      </c>
      <c r="B267" s="61" t="s">
        <v>2997</v>
      </c>
      <c r="C267" s="61" t="s">
        <v>528</v>
      </c>
      <c r="D267" s="61" t="s">
        <v>2964</v>
      </c>
      <c r="E267" s="61" t="s">
        <v>28</v>
      </c>
      <c r="F267" s="61" t="s">
        <v>529</v>
      </c>
      <c r="G267" s="61" t="s">
        <v>530</v>
      </c>
      <c r="H267" s="61" t="s">
        <v>531</v>
      </c>
      <c r="I267" s="37" t="s">
        <v>532</v>
      </c>
      <c r="J267" s="37">
        <v>0</v>
      </c>
      <c r="K267" s="61" t="s">
        <v>258</v>
      </c>
      <c r="L267" s="61" t="s">
        <v>31</v>
      </c>
      <c r="M267" s="9">
        <v>8</v>
      </c>
      <c r="N267" s="10" t="s">
        <v>2540</v>
      </c>
      <c r="O267" s="61" t="s">
        <v>1885</v>
      </c>
      <c r="P267" s="61" t="s">
        <v>1886</v>
      </c>
      <c r="Q267" s="61" t="s">
        <v>1887</v>
      </c>
      <c r="R267" s="61" t="s">
        <v>536</v>
      </c>
      <c r="S267" s="61" t="s">
        <v>1888</v>
      </c>
      <c r="T267" s="61" t="s">
        <v>31</v>
      </c>
      <c r="U267" s="61" t="s">
        <v>1889</v>
      </c>
      <c r="V267" s="61" t="s">
        <v>1890</v>
      </c>
      <c r="W267" s="62">
        <v>43738</v>
      </c>
      <c r="X267" s="37" t="s">
        <v>30</v>
      </c>
      <c r="Y267" s="37">
        <v>0</v>
      </c>
      <c r="Z267" s="37" t="s">
        <v>31</v>
      </c>
      <c r="AA267" s="37" t="s">
        <v>31</v>
      </c>
      <c r="AB267" s="37" t="s">
        <v>513</v>
      </c>
      <c r="AC267" s="61"/>
      <c r="AD267" s="33"/>
      <c r="AE267" s="98" t="s">
        <v>28</v>
      </c>
      <c r="AF267" s="36">
        <v>44191</v>
      </c>
      <c r="AG267" s="36">
        <v>44191</v>
      </c>
      <c r="AH267" s="37"/>
      <c r="AI267" s="72">
        <v>44185</v>
      </c>
      <c r="AJ267" s="38" t="s">
        <v>27</v>
      </c>
      <c r="AK267" s="39" t="e">
        <f>VLOOKUP(A267,'[1]Externe MAJ Nov'!$A:$H,8,0)</f>
        <v>#N/A</v>
      </c>
      <c r="AL267" s="61"/>
      <c r="AM267" s="61"/>
      <c r="AN267" s="61"/>
      <c r="AO267" s="58">
        <v>44185</v>
      </c>
      <c r="AP267" s="29" t="e">
        <f>VLOOKUP(A267,'[2]External Scan 02_21'!$B:$J,9,0)</f>
        <v>#N/A</v>
      </c>
      <c r="AQ267" s="29" t="s">
        <v>28</v>
      </c>
      <c r="AR267" s="21"/>
      <c r="AS267" s="21" t="str">
        <f>VLOOKUP(AE267,'ref statu'!A:B,2,0)</f>
        <v>Fixed</v>
      </c>
      <c r="AT267" s="8" t="e">
        <f>VLOOKUP(A267,chk!A:B,2,0)</f>
        <v>#N/A</v>
      </c>
      <c r="AU267" s="29" t="e">
        <f>VLOOKUP(A267,checker!A:B,2,0)</f>
        <v>#N/A</v>
      </c>
      <c r="AV267" s="29" t="e">
        <f>VLOOKUP(A267,checker!B:C,2,0)</f>
        <v>#N/A</v>
      </c>
    </row>
    <row r="268" spans="1:48" x14ac:dyDescent="0.3">
      <c r="A268" s="29" t="str">
        <f t="shared" si="4"/>
        <v>96.692.66.646/0/oracle_linux-cve-2019-17053</v>
      </c>
      <c r="B268" s="61" t="s">
        <v>2997</v>
      </c>
      <c r="C268" s="61" t="s">
        <v>528</v>
      </c>
      <c r="D268" s="61" t="s">
        <v>2964</v>
      </c>
      <c r="E268" s="61" t="s">
        <v>28</v>
      </c>
      <c r="F268" s="61" t="s">
        <v>529</v>
      </c>
      <c r="G268" s="61" t="s">
        <v>530</v>
      </c>
      <c r="H268" s="61" t="s">
        <v>531</v>
      </c>
      <c r="I268" s="37" t="s">
        <v>532</v>
      </c>
      <c r="J268" s="37">
        <v>0</v>
      </c>
      <c r="K268" s="61" t="s">
        <v>258</v>
      </c>
      <c r="L268" s="61" t="s">
        <v>31</v>
      </c>
      <c r="M268" s="9">
        <v>2</v>
      </c>
      <c r="N268" s="9" t="s">
        <v>42</v>
      </c>
      <c r="O268" s="61" t="s">
        <v>1891</v>
      </c>
      <c r="P268" s="61" t="s">
        <v>1892</v>
      </c>
      <c r="Q268" s="61" t="s">
        <v>1893</v>
      </c>
      <c r="R268" s="61" t="s">
        <v>606</v>
      </c>
      <c r="S268" s="61" t="s">
        <v>1894</v>
      </c>
      <c r="T268" s="61" t="s">
        <v>31</v>
      </c>
      <c r="U268" s="61" t="s">
        <v>1895</v>
      </c>
      <c r="V268" s="61" t="s">
        <v>1896</v>
      </c>
      <c r="W268" s="62">
        <v>43739</v>
      </c>
      <c r="X268" s="37" t="s">
        <v>30</v>
      </c>
      <c r="Y268" s="37">
        <v>0</v>
      </c>
      <c r="Z268" s="37" t="s">
        <v>31</v>
      </c>
      <c r="AA268" s="37" t="s">
        <v>31</v>
      </c>
      <c r="AB268" s="37" t="s">
        <v>513</v>
      </c>
      <c r="AC268" s="61"/>
      <c r="AD268" s="34"/>
      <c r="AE268" s="98" t="s">
        <v>28</v>
      </c>
      <c r="AF268" s="36">
        <v>44191</v>
      </c>
      <c r="AG268" s="36">
        <v>44191</v>
      </c>
      <c r="AH268" s="37"/>
      <c r="AI268" s="72">
        <v>44185</v>
      </c>
      <c r="AJ268" s="38" t="s">
        <v>27</v>
      </c>
      <c r="AK268" s="39" t="e">
        <f>VLOOKUP(A268,'[1]Externe MAJ Nov'!$A:$H,8,0)</f>
        <v>#N/A</v>
      </c>
      <c r="AL268" s="61"/>
      <c r="AM268" s="61"/>
      <c r="AN268" s="61"/>
      <c r="AO268" s="58">
        <v>44185</v>
      </c>
      <c r="AP268" s="29" t="e">
        <f>VLOOKUP(A268,'[2]External Scan 02_21'!$B:$J,9,0)</f>
        <v>#N/A</v>
      </c>
      <c r="AQ268" s="29" t="s">
        <v>28</v>
      </c>
      <c r="AR268" s="21"/>
      <c r="AS268" s="21" t="str">
        <f>VLOOKUP(AE268,'ref statu'!A:B,2,0)</f>
        <v>Fixed</v>
      </c>
      <c r="AT268" s="8" t="e">
        <f>VLOOKUP(A268,chk!A:B,2,0)</f>
        <v>#N/A</v>
      </c>
      <c r="AU268" s="29" t="e">
        <f>VLOOKUP(A268,checker!A:B,2,0)</f>
        <v>#N/A</v>
      </c>
      <c r="AV268" s="29" t="e">
        <f>VLOOKUP(A268,checker!B:C,2,0)</f>
        <v>#N/A</v>
      </c>
    </row>
    <row r="269" spans="1:48" x14ac:dyDescent="0.3">
      <c r="A269" s="29" t="str">
        <f t="shared" si="4"/>
        <v>96.692.66.646/0/oracle_linux-cve-2019-17055</v>
      </c>
      <c r="B269" s="61" t="s">
        <v>2997</v>
      </c>
      <c r="C269" s="61" t="s">
        <v>528</v>
      </c>
      <c r="D269" s="61" t="s">
        <v>2964</v>
      </c>
      <c r="E269" s="61" t="s">
        <v>28</v>
      </c>
      <c r="F269" s="61" t="s">
        <v>529</v>
      </c>
      <c r="G269" s="61" t="s">
        <v>530</v>
      </c>
      <c r="H269" s="61" t="s">
        <v>531</v>
      </c>
      <c r="I269" s="37" t="s">
        <v>532</v>
      </c>
      <c r="J269" s="37">
        <v>0</v>
      </c>
      <c r="K269" s="61" t="s">
        <v>258</v>
      </c>
      <c r="L269" s="61" t="s">
        <v>31</v>
      </c>
      <c r="M269" s="9">
        <v>2</v>
      </c>
      <c r="N269" s="9" t="s">
        <v>42</v>
      </c>
      <c r="O269" s="61" t="s">
        <v>1897</v>
      </c>
      <c r="P269" s="61" t="s">
        <v>1898</v>
      </c>
      <c r="Q269" s="61" t="s">
        <v>1899</v>
      </c>
      <c r="R269" s="61" t="s">
        <v>606</v>
      </c>
      <c r="S269" s="61" t="s">
        <v>1900</v>
      </c>
      <c r="T269" s="61" t="s">
        <v>31</v>
      </c>
      <c r="U269" s="61" t="s">
        <v>1901</v>
      </c>
      <c r="V269" s="61" t="s">
        <v>1902</v>
      </c>
      <c r="W269" s="62">
        <v>43739</v>
      </c>
      <c r="X269" s="37" t="s">
        <v>30</v>
      </c>
      <c r="Y269" s="37">
        <v>0</v>
      </c>
      <c r="Z269" s="37" t="s">
        <v>31</v>
      </c>
      <c r="AA269" s="37" t="s">
        <v>31</v>
      </c>
      <c r="AB269" s="37" t="s">
        <v>513</v>
      </c>
      <c r="AC269" s="61"/>
      <c r="AD269" s="34"/>
      <c r="AE269" s="98" t="s">
        <v>28</v>
      </c>
      <c r="AF269" s="36">
        <v>44191</v>
      </c>
      <c r="AG269" s="36">
        <v>44191</v>
      </c>
      <c r="AH269" s="37"/>
      <c r="AI269" s="72">
        <v>44185</v>
      </c>
      <c r="AJ269" s="38" t="s">
        <v>27</v>
      </c>
      <c r="AK269" s="39" t="e">
        <f>VLOOKUP(A269,'[1]Externe MAJ Nov'!$A:$H,8,0)</f>
        <v>#N/A</v>
      </c>
      <c r="AL269" s="61"/>
      <c r="AM269" s="61"/>
      <c r="AN269" s="61"/>
      <c r="AO269" s="58">
        <v>44185</v>
      </c>
      <c r="AP269" s="29" t="e">
        <f>VLOOKUP(A269,'[2]External Scan 02_21'!$B:$J,9,0)</f>
        <v>#N/A</v>
      </c>
      <c r="AQ269" s="29" t="s">
        <v>28</v>
      </c>
      <c r="AR269" s="21"/>
      <c r="AS269" s="21" t="str">
        <f>VLOOKUP(AE269,'ref statu'!A:B,2,0)</f>
        <v>Fixed</v>
      </c>
      <c r="AT269" s="8" t="e">
        <f>VLOOKUP(A269,chk!A:B,2,0)</f>
        <v>#N/A</v>
      </c>
      <c r="AU269" s="29" t="e">
        <f>VLOOKUP(A269,checker!A:B,2,0)</f>
        <v>#N/A</v>
      </c>
      <c r="AV269" s="29" t="e">
        <f>VLOOKUP(A269,checker!B:C,2,0)</f>
        <v>#N/A</v>
      </c>
    </row>
    <row r="270" spans="1:48" x14ac:dyDescent="0.3">
      <c r="A270" s="29" t="str">
        <f t="shared" si="4"/>
        <v>96.692.66.646/0/oracle_linux-cve-2019-17075</v>
      </c>
      <c r="B270" s="61" t="s">
        <v>2997</v>
      </c>
      <c r="C270" s="61" t="s">
        <v>528</v>
      </c>
      <c r="D270" s="61" t="s">
        <v>2964</v>
      </c>
      <c r="E270" s="61" t="s">
        <v>28</v>
      </c>
      <c r="F270" s="61" t="s">
        <v>529</v>
      </c>
      <c r="G270" s="61" t="s">
        <v>530</v>
      </c>
      <c r="H270" s="61" t="s">
        <v>531</v>
      </c>
      <c r="I270" s="37" t="s">
        <v>532</v>
      </c>
      <c r="J270" s="37">
        <v>0</v>
      </c>
      <c r="K270" s="61" t="s">
        <v>258</v>
      </c>
      <c r="L270" s="61" t="s">
        <v>31</v>
      </c>
      <c r="M270" s="9">
        <v>7</v>
      </c>
      <c r="N270" s="10" t="s">
        <v>2540</v>
      </c>
      <c r="O270" s="61" t="s">
        <v>1903</v>
      </c>
      <c r="P270" s="61" t="s">
        <v>1904</v>
      </c>
      <c r="Q270" s="61" t="s">
        <v>1905</v>
      </c>
      <c r="R270" s="61" t="s">
        <v>1343</v>
      </c>
      <c r="S270" s="61" t="s">
        <v>1906</v>
      </c>
      <c r="T270" s="61" t="s">
        <v>31</v>
      </c>
      <c r="U270" s="61" t="s">
        <v>1907</v>
      </c>
      <c r="V270" s="61" t="s">
        <v>1908</v>
      </c>
      <c r="W270" s="62">
        <v>43739</v>
      </c>
      <c r="X270" s="37" t="s">
        <v>30</v>
      </c>
      <c r="Y270" s="37">
        <v>0</v>
      </c>
      <c r="Z270" s="37" t="s">
        <v>31</v>
      </c>
      <c r="AA270" s="37" t="s">
        <v>31</v>
      </c>
      <c r="AB270" s="37" t="s">
        <v>513</v>
      </c>
      <c r="AC270" s="61"/>
      <c r="AD270" s="33"/>
      <c r="AE270" s="98" t="s">
        <v>28</v>
      </c>
      <c r="AF270" s="36">
        <v>44191</v>
      </c>
      <c r="AG270" s="36">
        <v>44191</v>
      </c>
      <c r="AH270" s="37"/>
      <c r="AI270" s="72">
        <v>44185</v>
      </c>
      <c r="AJ270" s="38" t="s">
        <v>27</v>
      </c>
      <c r="AK270" s="39" t="e">
        <f>VLOOKUP(A270,'[1]Externe MAJ Nov'!$A:$H,8,0)</f>
        <v>#N/A</v>
      </c>
      <c r="AL270" s="61"/>
      <c r="AM270" s="61"/>
      <c r="AN270" s="61"/>
      <c r="AO270" s="58">
        <v>44185</v>
      </c>
      <c r="AP270" s="29" t="e">
        <f>VLOOKUP(A270,'[2]External Scan 02_21'!$B:$J,9,0)</f>
        <v>#N/A</v>
      </c>
      <c r="AQ270" s="29" t="s">
        <v>28</v>
      </c>
      <c r="AR270" s="21"/>
      <c r="AS270" s="21" t="str">
        <f>VLOOKUP(AE270,'ref statu'!A:B,2,0)</f>
        <v>Fixed</v>
      </c>
      <c r="AT270" s="8" t="e">
        <f>VLOOKUP(A270,chk!A:B,2,0)</f>
        <v>#N/A</v>
      </c>
      <c r="AU270" s="29" t="e">
        <f>VLOOKUP(A270,checker!A:B,2,0)</f>
        <v>#N/A</v>
      </c>
      <c r="AV270" s="29" t="e">
        <f>VLOOKUP(A270,checker!B:C,2,0)</f>
        <v>#N/A</v>
      </c>
    </row>
    <row r="271" spans="1:48" x14ac:dyDescent="0.3">
      <c r="A271" s="29" t="str">
        <f t="shared" si="4"/>
        <v>96.692.66.646/0/oracle_linux-cve-2019-17666</v>
      </c>
      <c r="B271" s="61" t="s">
        <v>2997</v>
      </c>
      <c r="C271" s="61" t="s">
        <v>528</v>
      </c>
      <c r="D271" s="61" t="s">
        <v>2964</v>
      </c>
      <c r="E271" s="61" t="s">
        <v>28</v>
      </c>
      <c r="F271" s="61" t="s">
        <v>529</v>
      </c>
      <c r="G271" s="61" t="s">
        <v>530</v>
      </c>
      <c r="H271" s="61" t="s">
        <v>531</v>
      </c>
      <c r="I271" s="37" t="s">
        <v>532</v>
      </c>
      <c r="J271" s="37">
        <v>0</v>
      </c>
      <c r="K271" s="61" t="s">
        <v>258</v>
      </c>
      <c r="L271" s="61" t="s">
        <v>31</v>
      </c>
      <c r="M271" s="9">
        <v>8</v>
      </c>
      <c r="N271" s="10" t="s">
        <v>2540</v>
      </c>
      <c r="O271" s="61" t="s">
        <v>1909</v>
      </c>
      <c r="P271" s="61" t="s">
        <v>1910</v>
      </c>
      <c r="Q271" s="61" t="s">
        <v>1911</v>
      </c>
      <c r="R271" s="61" t="s">
        <v>581</v>
      </c>
      <c r="S271" s="61" t="s">
        <v>1912</v>
      </c>
      <c r="T271" s="61" t="s">
        <v>31</v>
      </c>
      <c r="U271" s="61" t="s">
        <v>1913</v>
      </c>
      <c r="V271" s="61" t="s">
        <v>1914</v>
      </c>
      <c r="W271" s="62">
        <v>43755</v>
      </c>
      <c r="X271" s="37" t="s">
        <v>30</v>
      </c>
      <c r="Y271" s="37">
        <v>0</v>
      </c>
      <c r="Z271" s="37" t="s">
        <v>31</v>
      </c>
      <c r="AA271" s="37" t="s">
        <v>31</v>
      </c>
      <c r="AB271" s="37" t="s">
        <v>513</v>
      </c>
      <c r="AC271" s="61"/>
      <c r="AD271" s="34"/>
      <c r="AE271" s="98" t="s">
        <v>28</v>
      </c>
      <c r="AF271" s="36">
        <v>44191</v>
      </c>
      <c r="AG271" s="36">
        <v>44191</v>
      </c>
      <c r="AH271" s="37"/>
      <c r="AI271" s="72">
        <v>44185</v>
      </c>
      <c r="AJ271" s="38" t="s">
        <v>27</v>
      </c>
      <c r="AK271" s="39" t="e">
        <f>VLOOKUP(A271,'[1]Externe MAJ Nov'!$A:$H,8,0)</f>
        <v>#N/A</v>
      </c>
      <c r="AL271" s="61"/>
      <c r="AM271" s="61"/>
      <c r="AN271" s="61"/>
      <c r="AO271" s="58">
        <v>44185</v>
      </c>
      <c r="AP271" s="29" t="e">
        <f>VLOOKUP(A271,'[2]External Scan 02_21'!$B:$J,9,0)</f>
        <v>#N/A</v>
      </c>
      <c r="AQ271" s="29" t="s">
        <v>28</v>
      </c>
      <c r="AR271" s="21"/>
      <c r="AS271" s="21" t="str">
        <f>VLOOKUP(AE271,'ref statu'!A:B,2,0)</f>
        <v>Fixed</v>
      </c>
      <c r="AT271" s="8" t="e">
        <f>VLOOKUP(A271,chk!A:B,2,0)</f>
        <v>#N/A</v>
      </c>
      <c r="AU271" s="29" t="e">
        <f>VLOOKUP(A271,checker!A:B,2,0)</f>
        <v>#N/A</v>
      </c>
      <c r="AV271" s="29" t="e">
        <f>VLOOKUP(A271,checker!B:C,2,0)</f>
        <v>#N/A</v>
      </c>
    </row>
    <row r="272" spans="1:48" x14ac:dyDescent="0.3">
      <c r="A272" s="29" t="str">
        <f t="shared" si="4"/>
        <v>96.692.66.646/0/oracle_linux-cve-2019-18806</v>
      </c>
      <c r="B272" s="61" t="s">
        <v>2997</v>
      </c>
      <c r="C272" s="61" t="s">
        <v>528</v>
      </c>
      <c r="D272" s="61" t="s">
        <v>2964</v>
      </c>
      <c r="E272" s="61" t="s">
        <v>28</v>
      </c>
      <c r="F272" s="61" t="s">
        <v>529</v>
      </c>
      <c r="G272" s="61" t="s">
        <v>530</v>
      </c>
      <c r="H272" s="61" t="s">
        <v>531</v>
      </c>
      <c r="I272" s="37" t="s">
        <v>532</v>
      </c>
      <c r="J272" s="37">
        <v>0</v>
      </c>
      <c r="K272" s="61" t="s">
        <v>258</v>
      </c>
      <c r="L272" s="61" t="s">
        <v>31</v>
      </c>
      <c r="M272" s="9">
        <v>2</v>
      </c>
      <c r="N272" s="9" t="s">
        <v>42</v>
      </c>
      <c r="O272" s="61" t="s">
        <v>1915</v>
      </c>
      <c r="P272" s="61" t="s">
        <v>1916</v>
      </c>
      <c r="Q272" s="61" t="s">
        <v>1917</v>
      </c>
      <c r="R272" s="61" t="s">
        <v>556</v>
      </c>
      <c r="S272" s="61" t="s">
        <v>1918</v>
      </c>
      <c r="T272" s="61" t="s">
        <v>31</v>
      </c>
      <c r="U272" s="61" t="s">
        <v>1919</v>
      </c>
      <c r="V272" s="61" t="s">
        <v>1920</v>
      </c>
      <c r="W272" s="62">
        <v>43776</v>
      </c>
      <c r="X272" s="37" t="s">
        <v>30</v>
      </c>
      <c r="Y272" s="37">
        <v>0</v>
      </c>
      <c r="Z272" s="37" t="s">
        <v>31</v>
      </c>
      <c r="AA272" s="37" t="s">
        <v>31</v>
      </c>
      <c r="AB272" s="37" t="s">
        <v>513</v>
      </c>
      <c r="AC272" s="61"/>
      <c r="AD272" s="34"/>
      <c r="AE272" s="98" t="s">
        <v>28</v>
      </c>
      <c r="AF272" s="36">
        <v>44191</v>
      </c>
      <c r="AG272" s="36">
        <v>44191</v>
      </c>
      <c r="AH272" s="37"/>
      <c r="AI272" s="72">
        <v>44185</v>
      </c>
      <c r="AJ272" s="38" t="s">
        <v>27</v>
      </c>
      <c r="AK272" s="39" t="e">
        <f>VLOOKUP(A272,'[1]Externe MAJ Nov'!$A:$H,8,0)</f>
        <v>#N/A</v>
      </c>
      <c r="AL272" s="61"/>
      <c r="AM272" s="61"/>
      <c r="AN272" s="61"/>
      <c r="AO272" s="58">
        <v>44185</v>
      </c>
      <c r="AP272" s="29" t="e">
        <f>VLOOKUP(A272,'[2]External Scan 02_21'!$B:$J,9,0)</f>
        <v>#N/A</v>
      </c>
      <c r="AQ272" s="29" t="s">
        <v>28</v>
      </c>
      <c r="AR272" s="21"/>
      <c r="AS272" s="21" t="str">
        <f>VLOOKUP(AE272,'ref statu'!A:B,2,0)</f>
        <v>Fixed</v>
      </c>
      <c r="AT272" s="8" t="e">
        <f>VLOOKUP(A272,chk!A:B,2,0)</f>
        <v>#N/A</v>
      </c>
      <c r="AU272" s="29" t="e">
        <f>VLOOKUP(A272,checker!A:B,2,0)</f>
        <v>#N/A</v>
      </c>
      <c r="AV272" s="29" t="e">
        <f>VLOOKUP(A272,checker!B:C,2,0)</f>
        <v>#N/A</v>
      </c>
    </row>
    <row r="273" spans="1:48" x14ac:dyDescent="0.3">
      <c r="A273" s="29" t="str">
        <f t="shared" si="4"/>
        <v>96.692.66.646/0/oracle_linux-cve-2019-18885</v>
      </c>
      <c r="B273" s="61" t="s">
        <v>2997</v>
      </c>
      <c r="C273" s="61" t="s">
        <v>528</v>
      </c>
      <c r="D273" s="61" t="s">
        <v>2964</v>
      </c>
      <c r="E273" s="61" t="s">
        <v>28</v>
      </c>
      <c r="F273" s="61" t="s">
        <v>529</v>
      </c>
      <c r="G273" s="61" t="s">
        <v>530</v>
      </c>
      <c r="H273" s="61" t="s">
        <v>531</v>
      </c>
      <c r="I273" s="37" t="s">
        <v>532</v>
      </c>
      <c r="J273" s="37">
        <v>0</v>
      </c>
      <c r="K273" s="61" t="s">
        <v>258</v>
      </c>
      <c r="L273" s="61" t="s">
        <v>31</v>
      </c>
      <c r="M273" s="9">
        <v>2</v>
      </c>
      <c r="N273" s="9" t="s">
        <v>42</v>
      </c>
      <c r="O273" s="61" t="s">
        <v>1921</v>
      </c>
      <c r="P273" s="61" t="s">
        <v>1922</v>
      </c>
      <c r="Q273" s="61" t="s">
        <v>1923</v>
      </c>
      <c r="R273" s="61" t="s">
        <v>1343</v>
      </c>
      <c r="S273" s="61" t="s">
        <v>1924</v>
      </c>
      <c r="T273" s="61" t="s">
        <v>31</v>
      </c>
      <c r="U273" s="61" t="s">
        <v>1925</v>
      </c>
      <c r="V273" s="61" t="s">
        <v>1926</v>
      </c>
      <c r="W273" s="62">
        <v>43783</v>
      </c>
      <c r="X273" s="37" t="s">
        <v>30</v>
      </c>
      <c r="Y273" s="37">
        <v>0</v>
      </c>
      <c r="Z273" s="37" t="s">
        <v>31</v>
      </c>
      <c r="AA273" s="37" t="s">
        <v>31</v>
      </c>
      <c r="AB273" s="37" t="s">
        <v>513</v>
      </c>
      <c r="AC273" s="61"/>
      <c r="AD273" s="33"/>
      <c r="AE273" s="98" t="s">
        <v>28</v>
      </c>
      <c r="AF273" s="36">
        <v>44191</v>
      </c>
      <c r="AG273" s="36">
        <v>44191</v>
      </c>
      <c r="AH273" s="37"/>
      <c r="AI273" s="72">
        <v>44185</v>
      </c>
      <c r="AJ273" s="38" t="s">
        <v>27</v>
      </c>
      <c r="AK273" s="39" t="e">
        <f>VLOOKUP(A273,'[1]Externe MAJ Nov'!$A:$H,8,0)</f>
        <v>#N/A</v>
      </c>
      <c r="AL273" s="61"/>
      <c r="AM273" s="61"/>
      <c r="AN273" s="61"/>
      <c r="AO273" s="58">
        <v>44185</v>
      </c>
      <c r="AP273" s="29" t="e">
        <f>VLOOKUP(A273,'[2]External Scan 02_21'!$B:$J,9,0)</f>
        <v>#N/A</v>
      </c>
      <c r="AQ273" s="29" t="s">
        <v>28</v>
      </c>
      <c r="AR273" s="21"/>
      <c r="AS273" s="21" t="str">
        <f>VLOOKUP(AE273,'ref statu'!A:B,2,0)</f>
        <v>Fixed</v>
      </c>
      <c r="AT273" s="8" t="e">
        <f>VLOOKUP(A273,chk!A:B,2,0)</f>
        <v>#N/A</v>
      </c>
      <c r="AU273" s="29" t="e">
        <f>VLOOKUP(A273,checker!A:B,2,0)</f>
        <v>#N/A</v>
      </c>
      <c r="AV273" s="29" t="e">
        <f>VLOOKUP(A273,checker!B:C,2,0)</f>
        <v>#N/A</v>
      </c>
    </row>
    <row r="274" spans="1:48" x14ac:dyDescent="0.3">
      <c r="A274" s="29" t="str">
        <f t="shared" si="4"/>
        <v>96.692.66.646/0/oracle_linux-cve-2019-19049</v>
      </c>
      <c r="B274" s="61" t="s">
        <v>2997</v>
      </c>
      <c r="C274" s="61" t="s">
        <v>528</v>
      </c>
      <c r="D274" s="61" t="s">
        <v>2964</v>
      </c>
      <c r="E274" s="61" t="s">
        <v>28</v>
      </c>
      <c r="F274" s="61" t="s">
        <v>529</v>
      </c>
      <c r="G274" s="61" t="s">
        <v>530</v>
      </c>
      <c r="H274" s="61" t="s">
        <v>531</v>
      </c>
      <c r="I274" s="37" t="s">
        <v>532</v>
      </c>
      <c r="J274" s="37">
        <v>0</v>
      </c>
      <c r="K274" s="61" t="s">
        <v>258</v>
      </c>
      <c r="L274" s="61" t="s">
        <v>31</v>
      </c>
      <c r="M274" s="9">
        <v>8</v>
      </c>
      <c r="N274" s="10" t="s">
        <v>2540</v>
      </c>
      <c r="O274" s="61" t="s">
        <v>1927</v>
      </c>
      <c r="P274" s="61" t="s">
        <v>1928</v>
      </c>
      <c r="Q274" s="61" t="s">
        <v>1929</v>
      </c>
      <c r="R274" s="61" t="s">
        <v>1343</v>
      </c>
      <c r="S274" s="61" t="s">
        <v>1930</v>
      </c>
      <c r="T274" s="61" t="s">
        <v>31</v>
      </c>
      <c r="U274" s="61" t="s">
        <v>1931</v>
      </c>
      <c r="V274" s="61" t="s">
        <v>1932</v>
      </c>
      <c r="W274" s="62">
        <v>43787</v>
      </c>
      <c r="X274" s="37" t="s">
        <v>30</v>
      </c>
      <c r="Y274" s="37">
        <v>0</v>
      </c>
      <c r="Z274" s="37" t="s">
        <v>31</v>
      </c>
      <c r="AA274" s="37" t="s">
        <v>31</v>
      </c>
      <c r="AB274" s="37" t="s">
        <v>513</v>
      </c>
      <c r="AC274" s="61"/>
      <c r="AD274" s="34"/>
      <c r="AE274" s="98" t="s">
        <v>28</v>
      </c>
      <c r="AF274" s="36">
        <v>44191</v>
      </c>
      <c r="AG274" s="36">
        <v>44191</v>
      </c>
      <c r="AH274" s="37"/>
      <c r="AI274" s="72">
        <v>44185</v>
      </c>
      <c r="AJ274" s="38" t="s">
        <v>27</v>
      </c>
      <c r="AK274" s="39" t="e">
        <f>VLOOKUP(A274,'[1]Externe MAJ Nov'!$A:$H,8,0)</f>
        <v>#N/A</v>
      </c>
      <c r="AL274" s="61"/>
      <c r="AM274" s="61"/>
      <c r="AN274" s="61"/>
      <c r="AO274" s="58">
        <v>44185</v>
      </c>
      <c r="AP274" s="29" t="e">
        <f>VLOOKUP(A274,'[2]External Scan 02_21'!$B:$J,9,0)</f>
        <v>#N/A</v>
      </c>
      <c r="AQ274" s="29" t="s">
        <v>28</v>
      </c>
      <c r="AR274" s="21"/>
      <c r="AS274" s="21" t="str">
        <f>VLOOKUP(AE274,'ref statu'!A:B,2,0)</f>
        <v>Fixed</v>
      </c>
      <c r="AT274" s="8" t="e">
        <f>VLOOKUP(A274,chk!A:B,2,0)</f>
        <v>#N/A</v>
      </c>
      <c r="AU274" s="29" t="e">
        <f>VLOOKUP(A274,checker!A:B,2,0)</f>
        <v>#N/A</v>
      </c>
      <c r="AV274" s="29" t="e">
        <f>VLOOKUP(A274,checker!B:C,2,0)</f>
        <v>#N/A</v>
      </c>
    </row>
    <row r="275" spans="1:48" x14ac:dyDescent="0.3">
      <c r="A275" s="29" t="str">
        <f t="shared" si="4"/>
        <v>96.692.66.646/0/oracle_linux-cve-2019-19052</v>
      </c>
      <c r="B275" s="61" t="s">
        <v>2997</v>
      </c>
      <c r="C275" s="61" t="s">
        <v>528</v>
      </c>
      <c r="D275" s="61" t="s">
        <v>2964</v>
      </c>
      <c r="E275" s="61" t="s">
        <v>28</v>
      </c>
      <c r="F275" s="61" t="s">
        <v>529</v>
      </c>
      <c r="G275" s="61" t="s">
        <v>530</v>
      </c>
      <c r="H275" s="61" t="s">
        <v>531</v>
      </c>
      <c r="I275" s="37" t="s">
        <v>532</v>
      </c>
      <c r="J275" s="37">
        <v>0</v>
      </c>
      <c r="K275" s="61" t="s">
        <v>258</v>
      </c>
      <c r="L275" s="61" t="s">
        <v>31</v>
      </c>
      <c r="M275" s="9">
        <v>8</v>
      </c>
      <c r="N275" s="10" t="s">
        <v>2540</v>
      </c>
      <c r="O275" s="61" t="s">
        <v>1933</v>
      </c>
      <c r="P275" s="61" t="s">
        <v>1934</v>
      </c>
      <c r="Q275" s="61" t="s">
        <v>1935</v>
      </c>
      <c r="R275" s="61" t="s">
        <v>1343</v>
      </c>
      <c r="S275" s="61" t="s">
        <v>1936</v>
      </c>
      <c r="T275" s="61" t="s">
        <v>31</v>
      </c>
      <c r="U275" s="61" t="s">
        <v>1937</v>
      </c>
      <c r="V275" s="61" t="s">
        <v>1938</v>
      </c>
      <c r="W275" s="62">
        <v>43787</v>
      </c>
      <c r="X275" s="37" t="s">
        <v>30</v>
      </c>
      <c r="Y275" s="37">
        <v>0</v>
      </c>
      <c r="Z275" s="37" t="s">
        <v>31</v>
      </c>
      <c r="AA275" s="37" t="s">
        <v>31</v>
      </c>
      <c r="AB275" s="37" t="s">
        <v>513</v>
      </c>
      <c r="AC275" s="61"/>
      <c r="AD275" s="34"/>
      <c r="AE275" s="98" t="s">
        <v>28</v>
      </c>
      <c r="AF275" s="36">
        <v>44191</v>
      </c>
      <c r="AG275" s="36">
        <v>44191</v>
      </c>
      <c r="AH275" s="37"/>
      <c r="AI275" s="72">
        <v>44185</v>
      </c>
      <c r="AJ275" s="38" t="s">
        <v>27</v>
      </c>
      <c r="AK275" s="39" t="e">
        <f>VLOOKUP(A275,'[1]Externe MAJ Nov'!$A:$H,8,0)</f>
        <v>#N/A</v>
      </c>
      <c r="AL275" s="61"/>
      <c r="AM275" s="61"/>
      <c r="AN275" s="61"/>
      <c r="AO275" s="58">
        <v>44185</v>
      </c>
      <c r="AP275" s="29" t="e">
        <f>VLOOKUP(A275,'[2]External Scan 02_21'!$B:$J,9,0)</f>
        <v>#N/A</v>
      </c>
      <c r="AQ275" s="29" t="s">
        <v>28</v>
      </c>
      <c r="AR275" s="21"/>
      <c r="AS275" s="21" t="str">
        <f>VLOOKUP(AE275,'ref statu'!A:B,2,0)</f>
        <v>Fixed</v>
      </c>
      <c r="AT275" s="8" t="e">
        <f>VLOOKUP(A275,chk!A:B,2,0)</f>
        <v>#N/A</v>
      </c>
      <c r="AU275" s="29" t="e">
        <f>VLOOKUP(A275,checker!A:B,2,0)</f>
        <v>#N/A</v>
      </c>
      <c r="AV275" s="29" t="e">
        <f>VLOOKUP(A275,checker!B:C,2,0)</f>
        <v>#N/A</v>
      </c>
    </row>
    <row r="276" spans="1:48" x14ac:dyDescent="0.3">
      <c r="A276" s="29" t="str">
        <f t="shared" si="4"/>
        <v>96.692.66.646/0/oracle_linux-cve-2019-19054</v>
      </c>
      <c r="B276" s="61" t="s">
        <v>2997</v>
      </c>
      <c r="C276" s="61" t="s">
        <v>528</v>
      </c>
      <c r="D276" s="61" t="s">
        <v>2964</v>
      </c>
      <c r="E276" s="61" t="s">
        <v>28</v>
      </c>
      <c r="F276" s="61" t="s">
        <v>529</v>
      </c>
      <c r="G276" s="61" t="s">
        <v>530</v>
      </c>
      <c r="H276" s="61" t="s">
        <v>531</v>
      </c>
      <c r="I276" s="37" t="s">
        <v>532</v>
      </c>
      <c r="J276" s="37">
        <v>0</v>
      </c>
      <c r="K276" s="61" t="s">
        <v>258</v>
      </c>
      <c r="L276" s="61" t="s">
        <v>31</v>
      </c>
      <c r="M276" s="9">
        <v>5</v>
      </c>
      <c r="N276" s="9" t="s">
        <v>29</v>
      </c>
      <c r="O276" s="61" t="s">
        <v>1939</v>
      </c>
      <c r="P276" s="61" t="s">
        <v>1940</v>
      </c>
      <c r="Q276" s="61" t="s">
        <v>1941</v>
      </c>
      <c r="R276" s="61" t="s">
        <v>723</v>
      </c>
      <c r="S276" s="61" t="s">
        <v>1942</v>
      </c>
      <c r="T276" s="61" t="s">
        <v>31</v>
      </c>
      <c r="U276" s="61" t="s">
        <v>1943</v>
      </c>
      <c r="V276" s="61" t="s">
        <v>1944</v>
      </c>
      <c r="W276" s="62">
        <v>43787</v>
      </c>
      <c r="X276" s="37" t="s">
        <v>30</v>
      </c>
      <c r="Y276" s="37">
        <v>0</v>
      </c>
      <c r="Z276" s="37" t="s">
        <v>31</v>
      </c>
      <c r="AA276" s="37" t="s">
        <v>31</v>
      </c>
      <c r="AB276" s="37" t="s">
        <v>513</v>
      </c>
      <c r="AC276" s="61"/>
      <c r="AD276" s="33"/>
      <c r="AE276" s="98" t="s">
        <v>28</v>
      </c>
      <c r="AF276" s="36">
        <v>44191</v>
      </c>
      <c r="AG276" s="36">
        <v>44191</v>
      </c>
      <c r="AH276" s="37"/>
      <c r="AI276" s="72">
        <v>44185</v>
      </c>
      <c r="AJ276" s="38" t="s">
        <v>27</v>
      </c>
      <c r="AK276" s="39" t="e">
        <f>VLOOKUP(A276,'[1]Externe MAJ Nov'!$A:$H,8,0)</f>
        <v>#N/A</v>
      </c>
      <c r="AL276" s="61"/>
      <c r="AM276" s="61"/>
      <c r="AN276" s="61"/>
      <c r="AO276" s="58">
        <v>44185</v>
      </c>
      <c r="AP276" s="29" t="e">
        <f>VLOOKUP(A276,'[2]External Scan 02_21'!$B:$J,9,0)</f>
        <v>#N/A</v>
      </c>
      <c r="AQ276" s="29" t="s">
        <v>28</v>
      </c>
      <c r="AR276" s="21"/>
      <c r="AS276" s="21" t="str">
        <f>VLOOKUP(AE276,'ref statu'!A:B,2,0)</f>
        <v>Fixed</v>
      </c>
      <c r="AT276" s="8" t="e">
        <f>VLOOKUP(A276,chk!A:B,2,0)</f>
        <v>#N/A</v>
      </c>
      <c r="AU276" s="29" t="e">
        <f>VLOOKUP(A276,checker!A:B,2,0)</f>
        <v>#N/A</v>
      </c>
      <c r="AV276" s="29" t="e">
        <f>VLOOKUP(A276,checker!B:C,2,0)</f>
        <v>#N/A</v>
      </c>
    </row>
    <row r="277" spans="1:48" x14ac:dyDescent="0.3">
      <c r="A277" s="29" t="str">
        <f t="shared" si="4"/>
        <v>96.692.66.646/0/oracle_linux-cve-2019-19056</v>
      </c>
      <c r="B277" s="61" t="s">
        <v>2997</v>
      </c>
      <c r="C277" s="61" t="s">
        <v>528</v>
      </c>
      <c r="D277" s="61" t="s">
        <v>2964</v>
      </c>
      <c r="E277" s="61" t="s">
        <v>28</v>
      </c>
      <c r="F277" s="61" t="s">
        <v>529</v>
      </c>
      <c r="G277" s="61" t="s">
        <v>530</v>
      </c>
      <c r="H277" s="61" t="s">
        <v>531</v>
      </c>
      <c r="I277" s="37" t="s">
        <v>532</v>
      </c>
      <c r="J277" s="37">
        <v>0</v>
      </c>
      <c r="K277" s="61" t="s">
        <v>258</v>
      </c>
      <c r="L277" s="61" t="s">
        <v>31</v>
      </c>
      <c r="M277" s="9">
        <v>5</v>
      </c>
      <c r="N277" s="9" t="s">
        <v>29</v>
      </c>
      <c r="O277" s="61" t="s">
        <v>1945</v>
      </c>
      <c r="P277" s="61" t="s">
        <v>1946</v>
      </c>
      <c r="Q277" s="61" t="s">
        <v>1947</v>
      </c>
      <c r="R277" s="61" t="s">
        <v>536</v>
      </c>
      <c r="S277" s="61" t="s">
        <v>1948</v>
      </c>
      <c r="T277" s="61" t="s">
        <v>31</v>
      </c>
      <c r="U277" s="61" t="s">
        <v>1949</v>
      </c>
      <c r="V277" s="61" t="s">
        <v>1950</v>
      </c>
      <c r="W277" s="62">
        <v>43787</v>
      </c>
      <c r="X277" s="37" t="s">
        <v>30</v>
      </c>
      <c r="Y277" s="37">
        <v>0</v>
      </c>
      <c r="Z277" s="37" t="s">
        <v>31</v>
      </c>
      <c r="AA277" s="37" t="s">
        <v>31</v>
      </c>
      <c r="AB277" s="37" t="s">
        <v>513</v>
      </c>
      <c r="AC277" s="61"/>
      <c r="AD277" s="34"/>
      <c r="AE277" s="98" t="s">
        <v>28</v>
      </c>
      <c r="AF277" s="36">
        <v>44191</v>
      </c>
      <c r="AG277" s="36">
        <v>44191</v>
      </c>
      <c r="AH277" s="37"/>
      <c r="AI277" s="72">
        <v>44185</v>
      </c>
      <c r="AJ277" s="38" t="s">
        <v>27</v>
      </c>
      <c r="AK277" s="39" t="e">
        <f>VLOOKUP(A277,'[1]Externe MAJ Nov'!$A:$H,8,0)</f>
        <v>#N/A</v>
      </c>
      <c r="AL277" s="61"/>
      <c r="AM277" s="61"/>
      <c r="AN277" s="61"/>
      <c r="AO277" s="58">
        <v>44185</v>
      </c>
      <c r="AP277" s="29" t="e">
        <f>VLOOKUP(A277,'[2]External Scan 02_21'!$B:$J,9,0)</f>
        <v>#N/A</v>
      </c>
      <c r="AQ277" s="29" t="s">
        <v>28</v>
      </c>
      <c r="AR277" s="21"/>
      <c r="AS277" s="21" t="str">
        <f>VLOOKUP(AE277,'ref statu'!A:B,2,0)</f>
        <v>Fixed</v>
      </c>
      <c r="AT277" s="8" t="e">
        <f>VLOOKUP(A277,chk!A:B,2,0)</f>
        <v>#N/A</v>
      </c>
      <c r="AU277" s="29" t="e">
        <f>VLOOKUP(A277,checker!A:B,2,0)</f>
        <v>#N/A</v>
      </c>
      <c r="AV277" s="29" t="e">
        <f>VLOOKUP(A277,checker!B:C,2,0)</f>
        <v>#N/A</v>
      </c>
    </row>
    <row r="278" spans="1:48" x14ac:dyDescent="0.3">
      <c r="A278" s="29" t="str">
        <f t="shared" si="4"/>
        <v>96.692.66.646/0/oracle_linux-cve-2019-19057</v>
      </c>
      <c r="B278" s="61" t="s">
        <v>2997</v>
      </c>
      <c r="C278" s="61" t="s">
        <v>528</v>
      </c>
      <c r="D278" s="61" t="s">
        <v>2964</v>
      </c>
      <c r="E278" s="61" t="s">
        <v>28</v>
      </c>
      <c r="F278" s="61" t="s">
        <v>529</v>
      </c>
      <c r="G278" s="61" t="s">
        <v>530</v>
      </c>
      <c r="H278" s="61" t="s">
        <v>531</v>
      </c>
      <c r="I278" s="37" t="s">
        <v>532</v>
      </c>
      <c r="J278" s="37">
        <v>0</v>
      </c>
      <c r="K278" s="61" t="s">
        <v>258</v>
      </c>
      <c r="L278" s="61" t="s">
        <v>31</v>
      </c>
      <c r="M278" s="9">
        <v>2</v>
      </c>
      <c r="N278" s="9" t="s">
        <v>42</v>
      </c>
      <c r="O278" s="61" t="s">
        <v>1951</v>
      </c>
      <c r="P278" s="61" t="s">
        <v>1952</v>
      </c>
      <c r="Q278" s="61" t="s">
        <v>1953</v>
      </c>
      <c r="R278" s="61" t="s">
        <v>536</v>
      </c>
      <c r="S278" s="61" t="s">
        <v>1954</v>
      </c>
      <c r="T278" s="61" t="s">
        <v>31</v>
      </c>
      <c r="U278" s="61" t="s">
        <v>1955</v>
      </c>
      <c r="V278" s="61" t="s">
        <v>1956</v>
      </c>
      <c r="W278" s="62">
        <v>43787</v>
      </c>
      <c r="X278" s="37" t="s">
        <v>30</v>
      </c>
      <c r="Y278" s="37">
        <v>0</v>
      </c>
      <c r="Z278" s="37" t="s">
        <v>31</v>
      </c>
      <c r="AA278" s="37" t="s">
        <v>31</v>
      </c>
      <c r="AB278" s="37" t="s">
        <v>513</v>
      </c>
      <c r="AC278" s="61"/>
      <c r="AD278" s="34"/>
      <c r="AE278" s="98" t="s">
        <v>28</v>
      </c>
      <c r="AF278" s="36">
        <v>44191</v>
      </c>
      <c r="AG278" s="36">
        <v>44191</v>
      </c>
      <c r="AH278" s="37"/>
      <c r="AI278" s="72">
        <v>44185</v>
      </c>
      <c r="AJ278" s="38" t="s">
        <v>27</v>
      </c>
      <c r="AK278" s="39" t="e">
        <f>VLOOKUP(A278,'[1]Externe MAJ Nov'!$A:$H,8,0)</f>
        <v>#N/A</v>
      </c>
      <c r="AL278" s="61"/>
      <c r="AM278" s="61"/>
      <c r="AN278" s="61"/>
      <c r="AO278" s="58">
        <v>44185</v>
      </c>
      <c r="AP278" s="29" t="e">
        <f>VLOOKUP(A278,'[2]External Scan 02_21'!$B:$J,9,0)</f>
        <v>#N/A</v>
      </c>
      <c r="AQ278" s="29" t="s">
        <v>28</v>
      </c>
      <c r="AR278" s="21"/>
      <c r="AS278" s="21" t="str">
        <f>VLOOKUP(AE278,'ref statu'!A:B,2,0)</f>
        <v>Fixed</v>
      </c>
      <c r="AT278" s="8" t="e">
        <f>VLOOKUP(A278,chk!A:B,2,0)</f>
        <v>#N/A</v>
      </c>
      <c r="AU278" s="29" t="e">
        <f>VLOOKUP(A278,checker!A:B,2,0)</f>
        <v>#N/A</v>
      </c>
      <c r="AV278" s="29" t="e">
        <f>VLOOKUP(A278,checker!B:C,2,0)</f>
        <v>#N/A</v>
      </c>
    </row>
    <row r="279" spans="1:48" x14ac:dyDescent="0.3">
      <c r="A279" s="29" t="str">
        <f t="shared" si="4"/>
        <v>96.692.66.646/0/oracle_linux-cve-2019-19062</v>
      </c>
      <c r="B279" s="61" t="s">
        <v>2997</v>
      </c>
      <c r="C279" s="61" t="s">
        <v>528</v>
      </c>
      <c r="D279" s="61" t="s">
        <v>2964</v>
      </c>
      <c r="E279" s="61" t="s">
        <v>28</v>
      </c>
      <c r="F279" s="61" t="s">
        <v>529</v>
      </c>
      <c r="G279" s="61" t="s">
        <v>530</v>
      </c>
      <c r="H279" s="61" t="s">
        <v>531</v>
      </c>
      <c r="I279" s="37" t="s">
        <v>532</v>
      </c>
      <c r="J279" s="37">
        <v>0</v>
      </c>
      <c r="K279" s="61" t="s">
        <v>258</v>
      </c>
      <c r="L279" s="61" t="s">
        <v>31</v>
      </c>
      <c r="M279" s="9">
        <v>5</v>
      </c>
      <c r="N279" s="9" t="s">
        <v>29</v>
      </c>
      <c r="O279" s="61" t="s">
        <v>1957</v>
      </c>
      <c r="P279" s="61" t="s">
        <v>1958</v>
      </c>
      <c r="Q279" s="61" t="s">
        <v>1959</v>
      </c>
      <c r="R279" s="61" t="s">
        <v>1369</v>
      </c>
      <c r="S279" s="61" t="s">
        <v>1960</v>
      </c>
      <c r="T279" s="61" t="s">
        <v>31</v>
      </c>
      <c r="U279" s="61" t="s">
        <v>1961</v>
      </c>
      <c r="V279" s="61" t="s">
        <v>1962</v>
      </c>
      <c r="W279" s="62">
        <v>43787</v>
      </c>
      <c r="X279" s="37" t="s">
        <v>30</v>
      </c>
      <c r="Y279" s="37">
        <v>0</v>
      </c>
      <c r="Z279" s="37" t="s">
        <v>31</v>
      </c>
      <c r="AA279" s="37" t="s">
        <v>31</v>
      </c>
      <c r="AB279" s="37" t="s">
        <v>513</v>
      </c>
      <c r="AC279" s="61"/>
      <c r="AD279" s="33"/>
      <c r="AE279" s="98" t="s">
        <v>28</v>
      </c>
      <c r="AF279" s="36">
        <v>44191</v>
      </c>
      <c r="AG279" s="36">
        <v>44191</v>
      </c>
      <c r="AH279" s="37"/>
      <c r="AI279" s="72">
        <v>44185</v>
      </c>
      <c r="AJ279" s="38" t="s">
        <v>27</v>
      </c>
      <c r="AK279" s="39" t="e">
        <f>VLOOKUP(A279,'[1]Externe MAJ Nov'!$A:$H,8,0)</f>
        <v>#N/A</v>
      </c>
      <c r="AL279" s="61"/>
      <c r="AM279" s="61"/>
      <c r="AN279" s="61"/>
      <c r="AO279" s="58">
        <v>44185</v>
      </c>
      <c r="AP279" s="29" t="e">
        <f>VLOOKUP(A279,'[2]External Scan 02_21'!$B:$J,9,0)</f>
        <v>#N/A</v>
      </c>
      <c r="AQ279" s="29" t="s">
        <v>28</v>
      </c>
      <c r="AR279" s="21"/>
      <c r="AS279" s="21" t="str">
        <f>VLOOKUP(AE279,'ref statu'!A:B,2,0)</f>
        <v>Fixed</v>
      </c>
      <c r="AT279" s="8" t="e">
        <f>VLOOKUP(A279,chk!A:B,2,0)</f>
        <v>#N/A</v>
      </c>
      <c r="AU279" s="29" t="e">
        <f>VLOOKUP(A279,checker!A:B,2,0)</f>
        <v>#N/A</v>
      </c>
      <c r="AV279" s="29" t="e">
        <f>VLOOKUP(A279,checker!B:C,2,0)</f>
        <v>#N/A</v>
      </c>
    </row>
    <row r="280" spans="1:48" x14ac:dyDescent="0.3">
      <c r="A280" s="29" t="str">
        <f t="shared" si="4"/>
        <v>96.692.66.646/0/oracle_linux-cve-2019-19073</v>
      </c>
      <c r="B280" s="61" t="s">
        <v>2997</v>
      </c>
      <c r="C280" s="61" t="s">
        <v>528</v>
      </c>
      <c r="D280" s="61" t="s">
        <v>2964</v>
      </c>
      <c r="E280" s="61" t="s">
        <v>28</v>
      </c>
      <c r="F280" s="61" t="s">
        <v>529</v>
      </c>
      <c r="G280" s="61" t="s">
        <v>530</v>
      </c>
      <c r="H280" s="61" t="s">
        <v>531</v>
      </c>
      <c r="I280" s="37" t="s">
        <v>532</v>
      </c>
      <c r="J280" s="37">
        <v>0</v>
      </c>
      <c r="K280" s="61" t="s">
        <v>258</v>
      </c>
      <c r="L280" s="61" t="s">
        <v>31</v>
      </c>
      <c r="M280" s="9">
        <v>2</v>
      </c>
      <c r="N280" s="9" t="s">
        <v>42</v>
      </c>
      <c r="O280" s="61" t="s">
        <v>1963</v>
      </c>
      <c r="P280" s="61" t="s">
        <v>1964</v>
      </c>
      <c r="Q280" s="61" t="s">
        <v>1965</v>
      </c>
      <c r="R280" s="61" t="s">
        <v>723</v>
      </c>
      <c r="S280" s="61" t="s">
        <v>1966</v>
      </c>
      <c r="T280" s="61" t="s">
        <v>31</v>
      </c>
      <c r="U280" s="61" t="s">
        <v>1967</v>
      </c>
      <c r="V280" s="61" t="s">
        <v>1968</v>
      </c>
      <c r="W280" s="62">
        <v>43787</v>
      </c>
      <c r="X280" s="37" t="s">
        <v>30</v>
      </c>
      <c r="Y280" s="37">
        <v>0</v>
      </c>
      <c r="Z280" s="37" t="s">
        <v>31</v>
      </c>
      <c r="AA280" s="37" t="s">
        <v>31</v>
      </c>
      <c r="AB280" s="37" t="s">
        <v>513</v>
      </c>
      <c r="AC280" s="61"/>
      <c r="AD280" s="34"/>
      <c r="AE280" s="98" t="s">
        <v>28</v>
      </c>
      <c r="AF280" s="36">
        <v>44191</v>
      </c>
      <c r="AG280" s="36">
        <v>44191</v>
      </c>
      <c r="AH280" s="37"/>
      <c r="AI280" s="72">
        <v>44185</v>
      </c>
      <c r="AJ280" s="38" t="s">
        <v>27</v>
      </c>
      <c r="AK280" s="39" t="e">
        <f>VLOOKUP(A280,'[1]Externe MAJ Nov'!$A:$H,8,0)</f>
        <v>#N/A</v>
      </c>
      <c r="AL280" s="61"/>
      <c r="AM280" s="61"/>
      <c r="AN280" s="61"/>
      <c r="AO280" s="58">
        <v>44185</v>
      </c>
      <c r="AP280" s="29" t="e">
        <f>VLOOKUP(A280,'[2]External Scan 02_21'!$B:$J,9,0)</f>
        <v>#N/A</v>
      </c>
      <c r="AQ280" s="29" t="s">
        <v>28</v>
      </c>
      <c r="AR280" s="21"/>
      <c r="AS280" s="21" t="str">
        <f>VLOOKUP(AE280,'ref statu'!A:B,2,0)</f>
        <v>Fixed</v>
      </c>
      <c r="AT280" s="8" t="e">
        <f>VLOOKUP(A280,chk!A:B,2,0)</f>
        <v>#N/A</v>
      </c>
      <c r="AU280" s="29" t="e">
        <f>VLOOKUP(A280,checker!A:B,2,0)</f>
        <v>#N/A</v>
      </c>
      <c r="AV280" s="29" t="e">
        <f>VLOOKUP(A280,checker!B:C,2,0)</f>
        <v>#N/A</v>
      </c>
    </row>
    <row r="281" spans="1:48" x14ac:dyDescent="0.3">
      <c r="A281" s="29" t="str">
        <f t="shared" si="4"/>
        <v>96.692.66.646/0/oracle_linux-cve-2019-19332</v>
      </c>
      <c r="B281" s="61" t="s">
        <v>2997</v>
      </c>
      <c r="C281" s="61" t="s">
        <v>528</v>
      </c>
      <c r="D281" s="61" t="s">
        <v>2964</v>
      </c>
      <c r="E281" s="61" t="s">
        <v>28</v>
      </c>
      <c r="F281" s="61" t="s">
        <v>529</v>
      </c>
      <c r="G281" s="61" t="s">
        <v>530</v>
      </c>
      <c r="H281" s="61" t="s">
        <v>531</v>
      </c>
      <c r="I281" s="37" t="s">
        <v>532</v>
      </c>
      <c r="J281" s="37">
        <v>0</v>
      </c>
      <c r="K281" s="61" t="s">
        <v>258</v>
      </c>
      <c r="L281" s="61" t="s">
        <v>31</v>
      </c>
      <c r="M281" s="9">
        <v>6</v>
      </c>
      <c r="N281" s="9" t="s">
        <v>29</v>
      </c>
      <c r="O281" s="61" t="s">
        <v>1969</v>
      </c>
      <c r="P281" s="61" t="s">
        <v>1970</v>
      </c>
      <c r="Q281" s="61" t="s">
        <v>1971</v>
      </c>
      <c r="R281" s="61" t="s">
        <v>581</v>
      </c>
      <c r="S281" s="61" t="s">
        <v>1972</v>
      </c>
      <c r="T281" s="61" t="s">
        <v>31</v>
      </c>
      <c r="U281" s="61" t="s">
        <v>1973</v>
      </c>
      <c r="V281" s="61" t="s">
        <v>1974</v>
      </c>
      <c r="W281" s="62">
        <v>43816</v>
      </c>
      <c r="X281" s="37" t="s">
        <v>30</v>
      </c>
      <c r="Y281" s="37">
        <v>0</v>
      </c>
      <c r="Z281" s="37" t="s">
        <v>31</v>
      </c>
      <c r="AA281" s="37" t="s">
        <v>31</v>
      </c>
      <c r="AB281" s="37" t="s">
        <v>513</v>
      </c>
      <c r="AC281" s="61"/>
      <c r="AD281" s="34"/>
      <c r="AE281" s="98" t="s">
        <v>28</v>
      </c>
      <c r="AF281" s="36">
        <v>44191</v>
      </c>
      <c r="AG281" s="36">
        <v>44191</v>
      </c>
      <c r="AH281" s="37"/>
      <c r="AI281" s="72">
        <v>44185</v>
      </c>
      <c r="AJ281" s="38" t="s">
        <v>27</v>
      </c>
      <c r="AK281" s="39" t="e">
        <f>VLOOKUP(A281,'[1]Externe MAJ Nov'!$A:$H,8,0)</f>
        <v>#N/A</v>
      </c>
      <c r="AL281" s="61"/>
      <c r="AM281" s="61"/>
      <c r="AN281" s="61"/>
      <c r="AO281" s="58">
        <v>44185</v>
      </c>
      <c r="AP281" s="29" t="e">
        <f>VLOOKUP(A281,'[2]External Scan 02_21'!$B:$J,9,0)</f>
        <v>#N/A</v>
      </c>
      <c r="AQ281" s="29" t="s">
        <v>28</v>
      </c>
      <c r="AR281" s="21"/>
      <c r="AS281" s="21" t="str">
        <f>VLOOKUP(AE281,'ref statu'!A:B,2,0)</f>
        <v>Fixed</v>
      </c>
      <c r="AT281" s="8" t="e">
        <f>VLOOKUP(A281,chk!A:B,2,0)</f>
        <v>#N/A</v>
      </c>
      <c r="AU281" s="29" t="e">
        <f>VLOOKUP(A281,checker!A:B,2,0)</f>
        <v>#N/A</v>
      </c>
      <c r="AV281" s="29" t="e">
        <f>VLOOKUP(A281,checker!B:C,2,0)</f>
        <v>#N/A</v>
      </c>
    </row>
    <row r="282" spans="1:48" x14ac:dyDescent="0.3">
      <c r="A282" s="29" t="str">
        <f t="shared" si="4"/>
        <v>96.692.66.646/0/oracle_linux-cve-2019-19523</v>
      </c>
      <c r="B282" s="61" t="s">
        <v>2997</v>
      </c>
      <c r="C282" s="61" t="s">
        <v>528</v>
      </c>
      <c r="D282" s="61" t="s">
        <v>2964</v>
      </c>
      <c r="E282" s="61" t="s">
        <v>28</v>
      </c>
      <c r="F282" s="61" t="s">
        <v>529</v>
      </c>
      <c r="G282" s="61" t="s">
        <v>530</v>
      </c>
      <c r="H282" s="61" t="s">
        <v>531</v>
      </c>
      <c r="I282" s="37" t="s">
        <v>532</v>
      </c>
      <c r="J282" s="37">
        <v>0</v>
      </c>
      <c r="K282" s="61" t="s">
        <v>258</v>
      </c>
      <c r="L282" s="61" t="s">
        <v>31</v>
      </c>
      <c r="M282" s="9">
        <v>5</v>
      </c>
      <c r="N282" s="9" t="s">
        <v>29</v>
      </c>
      <c r="O282" s="61" t="s">
        <v>1975</v>
      </c>
      <c r="P282" s="61" t="s">
        <v>1976</v>
      </c>
      <c r="Q282" s="61" t="s">
        <v>1977</v>
      </c>
      <c r="R282" s="61" t="s">
        <v>606</v>
      </c>
      <c r="S282" s="61" t="s">
        <v>1978</v>
      </c>
      <c r="T282" s="61" t="s">
        <v>31</v>
      </c>
      <c r="U282" s="61" t="s">
        <v>1979</v>
      </c>
      <c r="V282" s="61" t="s">
        <v>1980</v>
      </c>
      <c r="W282" s="62">
        <v>43802</v>
      </c>
      <c r="X282" s="37" t="s">
        <v>30</v>
      </c>
      <c r="Y282" s="37">
        <v>0</v>
      </c>
      <c r="Z282" s="37" t="s">
        <v>31</v>
      </c>
      <c r="AA282" s="37" t="s">
        <v>31</v>
      </c>
      <c r="AB282" s="37" t="s">
        <v>513</v>
      </c>
      <c r="AC282" s="61"/>
      <c r="AD282" s="33"/>
      <c r="AE282" s="98" t="s">
        <v>28</v>
      </c>
      <c r="AF282" s="36">
        <v>44191</v>
      </c>
      <c r="AG282" s="36">
        <v>44191</v>
      </c>
      <c r="AH282" s="37"/>
      <c r="AI282" s="72">
        <v>44185</v>
      </c>
      <c r="AJ282" s="38" t="s">
        <v>27</v>
      </c>
      <c r="AK282" s="39" t="e">
        <f>VLOOKUP(A282,'[1]Externe MAJ Nov'!$A:$H,8,0)</f>
        <v>#N/A</v>
      </c>
      <c r="AL282" s="61"/>
      <c r="AM282" s="61"/>
      <c r="AN282" s="61"/>
      <c r="AO282" s="58">
        <v>44185</v>
      </c>
      <c r="AP282" s="29" t="e">
        <f>VLOOKUP(A282,'[2]External Scan 02_21'!$B:$J,9,0)</f>
        <v>#N/A</v>
      </c>
      <c r="AQ282" s="29" t="s">
        <v>28</v>
      </c>
      <c r="AR282" s="21"/>
      <c r="AS282" s="21" t="str">
        <f>VLOOKUP(AE282,'ref statu'!A:B,2,0)</f>
        <v>Fixed</v>
      </c>
      <c r="AT282" s="8" t="e">
        <f>VLOOKUP(A282,chk!A:B,2,0)</f>
        <v>#N/A</v>
      </c>
      <c r="AU282" s="29" t="e">
        <f>VLOOKUP(A282,checker!A:B,2,0)</f>
        <v>#N/A</v>
      </c>
      <c r="AV282" s="29" t="e">
        <f>VLOOKUP(A282,checker!B:C,2,0)</f>
        <v>#N/A</v>
      </c>
    </row>
    <row r="283" spans="1:48" x14ac:dyDescent="0.3">
      <c r="A283" s="29" t="str">
        <f t="shared" si="4"/>
        <v>96.692.66.646/0/oracle_linux-cve-2019-19524</v>
      </c>
      <c r="B283" s="61" t="s">
        <v>2997</v>
      </c>
      <c r="C283" s="61" t="s">
        <v>528</v>
      </c>
      <c r="D283" s="61" t="s">
        <v>2964</v>
      </c>
      <c r="E283" s="61" t="s">
        <v>28</v>
      </c>
      <c r="F283" s="61" t="s">
        <v>529</v>
      </c>
      <c r="G283" s="61" t="s">
        <v>530</v>
      </c>
      <c r="H283" s="61" t="s">
        <v>531</v>
      </c>
      <c r="I283" s="37" t="s">
        <v>532</v>
      </c>
      <c r="J283" s="37">
        <v>0</v>
      </c>
      <c r="K283" s="61" t="s">
        <v>258</v>
      </c>
      <c r="L283" s="61" t="s">
        <v>31</v>
      </c>
      <c r="M283" s="9">
        <v>5</v>
      </c>
      <c r="N283" s="9" t="s">
        <v>29</v>
      </c>
      <c r="O283" s="61" t="s">
        <v>1981</v>
      </c>
      <c r="P283" s="61" t="s">
        <v>1982</v>
      </c>
      <c r="Q283" s="61" t="s">
        <v>1983</v>
      </c>
      <c r="R283" s="61" t="s">
        <v>581</v>
      </c>
      <c r="S283" s="61" t="s">
        <v>1984</v>
      </c>
      <c r="T283" s="61" t="s">
        <v>31</v>
      </c>
      <c r="U283" s="61" t="s">
        <v>1985</v>
      </c>
      <c r="V283" s="61" t="s">
        <v>1986</v>
      </c>
      <c r="W283" s="62">
        <v>43802</v>
      </c>
      <c r="X283" s="37" t="s">
        <v>30</v>
      </c>
      <c r="Y283" s="37">
        <v>0</v>
      </c>
      <c r="Z283" s="37" t="s">
        <v>31</v>
      </c>
      <c r="AA283" s="37" t="s">
        <v>31</v>
      </c>
      <c r="AB283" s="37" t="s">
        <v>513</v>
      </c>
      <c r="AC283" s="61"/>
      <c r="AD283" s="34"/>
      <c r="AE283" s="98" t="s">
        <v>28</v>
      </c>
      <c r="AF283" s="36">
        <v>44191</v>
      </c>
      <c r="AG283" s="36">
        <v>44191</v>
      </c>
      <c r="AH283" s="37"/>
      <c r="AI283" s="72">
        <v>44185</v>
      </c>
      <c r="AJ283" s="38" t="s">
        <v>27</v>
      </c>
      <c r="AK283" s="39" t="e">
        <f>VLOOKUP(A283,'[1]Externe MAJ Nov'!$A:$H,8,0)</f>
        <v>#N/A</v>
      </c>
      <c r="AL283" s="61"/>
      <c r="AM283" s="61"/>
      <c r="AN283" s="61"/>
      <c r="AO283" s="58">
        <v>44185</v>
      </c>
      <c r="AP283" s="29" t="e">
        <f>VLOOKUP(A283,'[2]External Scan 02_21'!$B:$J,9,0)</f>
        <v>#N/A</v>
      </c>
      <c r="AQ283" s="29" t="s">
        <v>28</v>
      </c>
      <c r="AR283" s="21"/>
      <c r="AS283" s="21" t="str">
        <f>VLOOKUP(AE283,'ref statu'!A:B,2,0)</f>
        <v>Fixed</v>
      </c>
      <c r="AT283" s="8" t="e">
        <f>VLOOKUP(A283,chk!A:B,2,0)</f>
        <v>#N/A</v>
      </c>
      <c r="AU283" s="29" t="e">
        <f>VLOOKUP(A283,checker!A:B,2,0)</f>
        <v>#N/A</v>
      </c>
      <c r="AV283" s="29" t="e">
        <f>VLOOKUP(A283,checker!B:C,2,0)</f>
        <v>#N/A</v>
      </c>
    </row>
    <row r="284" spans="1:48" x14ac:dyDescent="0.3">
      <c r="A284" s="29" t="str">
        <f t="shared" si="4"/>
        <v>96.692.66.646/0/oracle_linux-cve-2019-19527</v>
      </c>
      <c r="B284" s="61" t="s">
        <v>2997</v>
      </c>
      <c r="C284" s="61" t="s">
        <v>528</v>
      </c>
      <c r="D284" s="61" t="s">
        <v>2964</v>
      </c>
      <c r="E284" s="61" t="s">
        <v>28</v>
      </c>
      <c r="F284" s="61" t="s">
        <v>529</v>
      </c>
      <c r="G284" s="61" t="s">
        <v>530</v>
      </c>
      <c r="H284" s="61" t="s">
        <v>531</v>
      </c>
      <c r="I284" s="37" t="s">
        <v>532</v>
      </c>
      <c r="J284" s="37">
        <v>0</v>
      </c>
      <c r="K284" s="61" t="s">
        <v>258</v>
      </c>
      <c r="L284" s="61" t="s">
        <v>31</v>
      </c>
      <c r="M284" s="9">
        <v>7</v>
      </c>
      <c r="N284" s="10" t="s">
        <v>2540</v>
      </c>
      <c r="O284" s="61" t="s">
        <v>1987</v>
      </c>
      <c r="P284" s="61" t="s">
        <v>1988</v>
      </c>
      <c r="Q284" s="61" t="s">
        <v>1989</v>
      </c>
      <c r="R284" s="61" t="s">
        <v>606</v>
      </c>
      <c r="S284" s="61" t="s">
        <v>1990</v>
      </c>
      <c r="T284" s="61" t="s">
        <v>31</v>
      </c>
      <c r="U284" s="61" t="s">
        <v>1991</v>
      </c>
      <c r="V284" s="61" t="s">
        <v>1992</v>
      </c>
      <c r="W284" s="62">
        <v>43802</v>
      </c>
      <c r="X284" s="37" t="s">
        <v>30</v>
      </c>
      <c r="Y284" s="37">
        <v>0</v>
      </c>
      <c r="Z284" s="37" t="s">
        <v>31</v>
      </c>
      <c r="AA284" s="37" t="s">
        <v>31</v>
      </c>
      <c r="AB284" s="37" t="s">
        <v>513</v>
      </c>
      <c r="AC284" s="61"/>
      <c r="AD284" s="34"/>
      <c r="AE284" s="98" t="s">
        <v>28</v>
      </c>
      <c r="AF284" s="36">
        <v>44191</v>
      </c>
      <c r="AG284" s="36">
        <v>44191</v>
      </c>
      <c r="AH284" s="37"/>
      <c r="AI284" s="72">
        <v>44185</v>
      </c>
      <c r="AJ284" s="38" t="s">
        <v>27</v>
      </c>
      <c r="AK284" s="39" t="e">
        <f>VLOOKUP(A284,'[1]Externe MAJ Nov'!$A:$H,8,0)</f>
        <v>#N/A</v>
      </c>
      <c r="AL284" s="61"/>
      <c r="AM284" s="61"/>
      <c r="AN284" s="61"/>
      <c r="AO284" s="58">
        <v>44185</v>
      </c>
      <c r="AP284" s="29" t="e">
        <f>VLOOKUP(A284,'[2]External Scan 02_21'!$B:$J,9,0)</f>
        <v>#N/A</v>
      </c>
      <c r="AQ284" s="29" t="s">
        <v>28</v>
      </c>
      <c r="AR284" s="21"/>
      <c r="AS284" s="21" t="str">
        <f>VLOOKUP(AE284,'ref statu'!A:B,2,0)</f>
        <v>Fixed</v>
      </c>
      <c r="AT284" s="8" t="e">
        <f>VLOOKUP(A284,chk!A:B,2,0)</f>
        <v>#N/A</v>
      </c>
      <c r="AU284" s="29" t="e">
        <f>VLOOKUP(A284,checker!A:B,2,0)</f>
        <v>#N/A</v>
      </c>
      <c r="AV284" s="29" t="e">
        <f>VLOOKUP(A284,checker!B:C,2,0)</f>
        <v>#N/A</v>
      </c>
    </row>
    <row r="285" spans="1:48" x14ac:dyDescent="0.3">
      <c r="A285" s="29" t="str">
        <f t="shared" si="4"/>
        <v>96.692.66.646/0/oracle_linux-cve-2019-19528</v>
      </c>
      <c r="B285" s="61" t="s">
        <v>2997</v>
      </c>
      <c r="C285" s="61" t="s">
        <v>528</v>
      </c>
      <c r="D285" s="61" t="s">
        <v>2964</v>
      </c>
      <c r="E285" s="61" t="s">
        <v>28</v>
      </c>
      <c r="F285" s="61" t="s">
        <v>529</v>
      </c>
      <c r="G285" s="61" t="s">
        <v>530</v>
      </c>
      <c r="H285" s="61" t="s">
        <v>531</v>
      </c>
      <c r="I285" s="37" t="s">
        <v>532</v>
      </c>
      <c r="J285" s="37">
        <v>0</v>
      </c>
      <c r="K285" s="61" t="s">
        <v>258</v>
      </c>
      <c r="L285" s="61" t="s">
        <v>31</v>
      </c>
      <c r="M285" s="9">
        <v>6</v>
      </c>
      <c r="N285" s="9" t="s">
        <v>29</v>
      </c>
      <c r="O285" s="61" t="s">
        <v>1993</v>
      </c>
      <c r="P285" s="61" t="s">
        <v>1994</v>
      </c>
      <c r="Q285" s="61" t="s">
        <v>1995</v>
      </c>
      <c r="R285" s="61" t="s">
        <v>556</v>
      </c>
      <c r="S285" s="61" t="s">
        <v>1996</v>
      </c>
      <c r="T285" s="61" t="s">
        <v>31</v>
      </c>
      <c r="U285" s="61" t="s">
        <v>1997</v>
      </c>
      <c r="V285" s="61" t="s">
        <v>1998</v>
      </c>
      <c r="W285" s="62">
        <v>43802</v>
      </c>
      <c r="X285" s="37" t="s">
        <v>30</v>
      </c>
      <c r="Y285" s="37">
        <v>0</v>
      </c>
      <c r="Z285" s="37" t="s">
        <v>31</v>
      </c>
      <c r="AA285" s="37" t="s">
        <v>31</v>
      </c>
      <c r="AB285" s="37" t="s">
        <v>513</v>
      </c>
      <c r="AC285" s="61"/>
      <c r="AD285" s="33"/>
      <c r="AE285" s="98" t="s">
        <v>28</v>
      </c>
      <c r="AF285" s="36">
        <v>44191</v>
      </c>
      <c r="AG285" s="36">
        <v>44191</v>
      </c>
      <c r="AH285" s="37"/>
      <c r="AI285" s="72">
        <v>44185</v>
      </c>
      <c r="AJ285" s="38" t="s">
        <v>27</v>
      </c>
      <c r="AK285" s="39" t="e">
        <f>VLOOKUP(A285,'[1]Externe MAJ Nov'!$A:$H,8,0)</f>
        <v>#N/A</v>
      </c>
      <c r="AL285" s="61"/>
      <c r="AM285" s="61"/>
      <c r="AN285" s="61"/>
      <c r="AO285" s="58">
        <v>44185</v>
      </c>
      <c r="AP285" s="29" t="e">
        <f>VLOOKUP(A285,'[2]External Scan 02_21'!$B:$J,9,0)</f>
        <v>#N/A</v>
      </c>
      <c r="AQ285" s="29" t="s">
        <v>28</v>
      </c>
      <c r="AR285" s="21"/>
      <c r="AS285" s="21" t="str">
        <f>VLOOKUP(AE285,'ref statu'!A:B,2,0)</f>
        <v>Fixed</v>
      </c>
      <c r="AT285" s="8" t="e">
        <f>VLOOKUP(A285,chk!A:B,2,0)</f>
        <v>#N/A</v>
      </c>
      <c r="AU285" s="29" t="e">
        <f>VLOOKUP(A285,checker!A:B,2,0)</f>
        <v>#N/A</v>
      </c>
      <c r="AV285" s="29" t="e">
        <f>VLOOKUP(A285,checker!B:C,2,0)</f>
        <v>#N/A</v>
      </c>
    </row>
    <row r="286" spans="1:48" x14ac:dyDescent="0.3">
      <c r="A286" s="29" t="str">
        <f t="shared" si="4"/>
        <v>96.692.66.646/0/oracle_linux-cve-2019-19530</v>
      </c>
      <c r="B286" s="61" t="s">
        <v>2997</v>
      </c>
      <c r="C286" s="61" t="s">
        <v>528</v>
      </c>
      <c r="D286" s="61" t="s">
        <v>2964</v>
      </c>
      <c r="E286" s="61" t="s">
        <v>28</v>
      </c>
      <c r="F286" s="61" t="s">
        <v>529</v>
      </c>
      <c r="G286" s="61" t="s">
        <v>530</v>
      </c>
      <c r="H286" s="61" t="s">
        <v>531</v>
      </c>
      <c r="I286" s="37" t="s">
        <v>532</v>
      </c>
      <c r="J286" s="37">
        <v>0</v>
      </c>
      <c r="K286" s="61" t="s">
        <v>258</v>
      </c>
      <c r="L286" s="61" t="s">
        <v>31</v>
      </c>
      <c r="M286" s="9">
        <v>5</v>
      </c>
      <c r="N286" s="9" t="s">
        <v>29</v>
      </c>
      <c r="O286" s="61" t="s">
        <v>1999</v>
      </c>
      <c r="P286" s="61" t="s">
        <v>2000</v>
      </c>
      <c r="Q286" s="61" t="s">
        <v>2001</v>
      </c>
      <c r="R286" s="61" t="s">
        <v>606</v>
      </c>
      <c r="S286" s="61" t="s">
        <v>2002</v>
      </c>
      <c r="T286" s="61" t="s">
        <v>31</v>
      </c>
      <c r="U286" s="61" t="s">
        <v>2003</v>
      </c>
      <c r="V286" s="61" t="s">
        <v>2004</v>
      </c>
      <c r="W286" s="62">
        <v>43802</v>
      </c>
      <c r="X286" s="37" t="s">
        <v>30</v>
      </c>
      <c r="Y286" s="37">
        <v>0</v>
      </c>
      <c r="Z286" s="37" t="s">
        <v>31</v>
      </c>
      <c r="AA286" s="37" t="s">
        <v>31</v>
      </c>
      <c r="AB286" s="37" t="s">
        <v>513</v>
      </c>
      <c r="AC286" s="61"/>
      <c r="AD286" s="34"/>
      <c r="AE286" s="98" t="s">
        <v>28</v>
      </c>
      <c r="AF286" s="36">
        <v>44191</v>
      </c>
      <c r="AG286" s="36">
        <v>44191</v>
      </c>
      <c r="AH286" s="37"/>
      <c r="AI286" s="72">
        <v>44185</v>
      </c>
      <c r="AJ286" s="38" t="s">
        <v>27</v>
      </c>
      <c r="AK286" s="39" t="e">
        <f>VLOOKUP(A286,'[1]Externe MAJ Nov'!$A:$H,8,0)</f>
        <v>#N/A</v>
      </c>
      <c r="AL286" s="61"/>
      <c r="AM286" s="61"/>
      <c r="AN286" s="61"/>
      <c r="AO286" s="58">
        <v>44185</v>
      </c>
      <c r="AP286" s="29" t="e">
        <f>VLOOKUP(A286,'[2]External Scan 02_21'!$B:$J,9,0)</f>
        <v>#N/A</v>
      </c>
      <c r="AQ286" s="29" t="s">
        <v>28</v>
      </c>
      <c r="AR286" s="21"/>
      <c r="AS286" s="21" t="str">
        <f>VLOOKUP(AE286,'ref statu'!A:B,2,0)</f>
        <v>Fixed</v>
      </c>
      <c r="AT286" s="8" t="e">
        <f>VLOOKUP(A286,chk!A:B,2,0)</f>
        <v>#N/A</v>
      </c>
      <c r="AU286" s="29" t="e">
        <f>VLOOKUP(A286,checker!A:B,2,0)</f>
        <v>#N/A</v>
      </c>
      <c r="AV286" s="29" t="e">
        <f>VLOOKUP(A286,checker!B:C,2,0)</f>
        <v>#N/A</v>
      </c>
    </row>
    <row r="287" spans="1:48" x14ac:dyDescent="0.3">
      <c r="A287" s="29" t="str">
        <f t="shared" si="4"/>
        <v>96.692.66.646/0/oracle_linux-cve-2019-19532</v>
      </c>
      <c r="B287" s="61" t="s">
        <v>2997</v>
      </c>
      <c r="C287" s="61" t="s">
        <v>528</v>
      </c>
      <c r="D287" s="61" t="s">
        <v>2964</v>
      </c>
      <c r="E287" s="61" t="s">
        <v>28</v>
      </c>
      <c r="F287" s="61" t="s">
        <v>529</v>
      </c>
      <c r="G287" s="61" t="s">
        <v>530</v>
      </c>
      <c r="H287" s="61" t="s">
        <v>531</v>
      </c>
      <c r="I287" s="37" t="s">
        <v>532</v>
      </c>
      <c r="J287" s="37">
        <v>0</v>
      </c>
      <c r="K287" s="61" t="s">
        <v>258</v>
      </c>
      <c r="L287" s="61" t="s">
        <v>31</v>
      </c>
      <c r="M287" s="9">
        <v>5</v>
      </c>
      <c r="N287" s="9" t="s">
        <v>29</v>
      </c>
      <c r="O287" s="61" t="s">
        <v>2005</v>
      </c>
      <c r="P287" s="61" t="s">
        <v>2006</v>
      </c>
      <c r="Q287" s="61" t="s">
        <v>2007</v>
      </c>
      <c r="R287" s="61" t="s">
        <v>556</v>
      </c>
      <c r="S287" s="61" t="s">
        <v>2008</v>
      </c>
      <c r="T287" s="61" t="s">
        <v>31</v>
      </c>
      <c r="U287" s="61" t="s">
        <v>2009</v>
      </c>
      <c r="V287" s="61" t="s">
        <v>2010</v>
      </c>
      <c r="W287" s="62">
        <v>43802</v>
      </c>
      <c r="X287" s="37" t="s">
        <v>30</v>
      </c>
      <c r="Y287" s="37">
        <v>0</v>
      </c>
      <c r="Z287" s="37" t="s">
        <v>31</v>
      </c>
      <c r="AA287" s="37" t="s">
        <v>31</v>
      </c>
      <c r="AB287" s="37" t="s">
        <v>513</v>
      </c>
      <c r="AC287" s="61"/>
      <c r="AD287" s="34"/>
      <c r="AE287" s="98" t="s">
        <v>28</v>
      </c>
      <c r="AF287" s="36">
        <v>44191</v>
      </c>
      <c r="AG287" s="36">
        <v>44191</v>
      </c>
      <c r="AH287" s="37"/>
      <c r="AI287" s="72">
        <v>44185</v>
      </c>
      <c r="AJ287" s="38" t="s">
        <v>27</v>
      </c>
      <c r="AK287" s="39" t="e">
        <f>VLOOKUP(A287,'[1]Externe MAJ Nov'!$A:$H,8,0)</f>
        <v>#N/A</v>
      </c>
      <c r="AL287" s="61"/>
      <c r="AM287" s="61"/>
      <c r="AN287" s="61"/>
      <c r="AO287" s="58">
        <v>44185</v>
      </c>
      <c r="AP287" s="29" t="e">
        <f>VLOOKUP(A287,'[2]External Scan 02_21'!$B:$J,9,0)</f>
        <v>#N/A</v>
      </c>
      <c r="AQ287" s="29" t="s">
        <v>28</v>
      </c>
      <c r="AR287" s="21"/>
      <c r="AS287" s="21" t="str">
        <f>VLOOKUP(AE287,'ref statu'!A:B,2,0)</f>
        <v>Fixed</v>
      </c>
      <c r="AT287" s="8" t="e">
        <f>VLOOKUP(A287,chk!A:B,2,0)</f>
        <v>#N/A</v>
      </c>
      <c r="AU287" s="29" t="e">
        <f>VLOOKUP(A287,checker!A:B,2,0)</f>
        <v>#N/A</v>
      </c>
      <c r="AV287" s="29" t="e">
        <f>VLOOKUP(A287,checker!B:C,2,0)</f>
        <v>#N/A</v>
      </c>
    </row>
    <row r="288" spans="1:48" x14ac:dyDescent="0.3">
      <c r="A288" s="29" t="str">
        <f t="shared" si="4"/>
        <v>96.692.66.646/0/oracle_linux-cve-2019-19533</v>
      </c>
      <c r="B288" s="61" t="s">
        <v>2997</v>
      </c>
      <c r="C288" s="61" t="s">
        <v>528</v>
      </c>
      <c r="D288" s="61" t="s">
        <v>2964</v>
      </c>
      <c r="E288" s="61" t="s">
        <v>28</v>
      </c>
      <c r="F288" s="61" t="s">
        <v>529</v>
      </c>
      <c r="G288" s="61" t="s">
        <v>530</v>
      </c>
      <c r="H288" s="61" t="s">
        <v>531</v>
      </c>
      <c r="I288" s="37" t="s">
        <v>532</v>
      </c>
      <c r="J288" s="37">
        <v>0</v>
      </c>
      <c r="K288" s="61" t="s">
        <v>258</v>
      </c>
      <c r="L288" s="61" t="s">
        <v>31</v>
      </c>
      <c r="M288" s="9">
        <v>2</v>
      </c>
      <c r="N288" s="9" t="s">
        <v>42</v>
      </c>
      <c r="O288" s="61" t="s">
        <v>2011</v>
      </c>
      <c r="P288" s="61" t="s">
        <v>2012</v>
      </c>
      <c r="Q288" s="61" t="s">
        <v>2013</v>
      </c>
      <c r="R288" s="61" t="s">
        <v>723</v>
      </c>
      <c r="S288" s="61" t="s">
        <v>2014</v>
      </c>
      <c r="T288" s="61" t="s">
        <v>31</v>
      </c>
      <c r="U288" s="61" t="s">
        <v>2015</v>
      </c>
      <c r="V288" s="61" t="s">
        <v>2016</v>
      </c>
      <c r="W288" s="62">
        <v>43802</v>
      </c>
      <c r="X288" s="37" t="s">
        <v>30</v>
      </c>
      <c r="Y288" s="37">
        <v>0</v>
      </c>
      <c r="Z288" s="37" t="s">
        <v>31</v>
      </c>
      <c r="AA288" s="37" t="s">
        <v>31</v>
      </c>
      <c r="AB288" s="37" t="s">
        <v>513</v>
      </c>
      <c r="AC288" s="61"/>
      <c r="AD288" s="33"/>
      <c r="AE288" s="98" t="s">
        <v>28</v>
      </c>
      <c r="AF288" s="36">
        <v>44191</v>
      </c>
      <c r="AG288" s="36">
        <v>44191</v>
      </c>
      <c r="AH288" s="37"/>
      <c r="AI288" s="72">
        <v>44185</v>
      </c>
      <c r="AJ288" s="38" t="s">
        <v>27</v>
      </c>
      <c r="AK288" s="39" t="e">
        <f>VLOOKUP(A288,'[1]Externe MAJ Nov'!$A:$H,8,0)</f>
        <v>#N/A</v>
      </c>
      <c r="AL288" s="61"/>
      <c r="AM288" s="61"/>
      <c r="AN288" s="61"/>
      <c r="AO288" s="58">
        <v>44185</v>
      </c>
      <c r="AP288" s="29" t="e">
        <f>VLOOKUP(A288,'[2]External Scan 02_21'!$B:$J,9,0)</f>
        <v>#N/A</v>
      </c>
      <c r="AQ288" s="29" t="s">
        <v>28</v>
      </c>
      <c r="AR288" s="21"/>
      <c r="AS288" s="21" t="str">
        <f>VLOOKUP(AE288,'ref statu'!A:B,2,0)</f>
        <v>Fixed</v>
      </c>
      <c r="AT288" s="8" t="e">
        <f>VLOOKUP(A288,chk!A:B,2,0)</f>
        <v>#N/A</v>
      </c>
      <c r="AU288" s="29" t="e">
        <f>VLOOKUP(A288,checker!A:B,2,0)</f>
        <v>#N/A</v>
      </c>
      <c r="AV288" s="29" t="e">
        <f>VLOOKUP(A288,checker!B:C,2,0)</f>
        <v>#N/A</v>
      </c>
    </row>
    <row r="289" spans="1:48" x14ac:dyDescent="0.3">
      <c r="A289" s="29" t="str">
        <f t="shared" si="4"/>
        <v>96.692.66.646/0/oracle_linux-cve-2019-19534</v>
      </c>
      <c r="B289" s="61" t="s">
        <v>2997</v>
      </c>
      <c r="C289" s="61" t="s">
        <v>528</v>
      </c>
      <c r="D289" s="61" t="s">
        <v>2964</v>
      </c>
      <c r="E289" s="61" t="s">
        <v>28</v>
      </c>
      <c r="F289" s="61" t="s">
        <v>529</v>
      </c>
      <c r="G289" s="61" t="s">
        <v>530</v>
      </c>
      <c r="H289" s="61" t="s">
        <v>531</v>
      </c>
      <c r="I289" s="37" t="s">
        <v>532</v>
      </c>
      <c r="J289" s="37">
        <v>0</v>
      </c>
      <c r="K289" s="61" t="s">
        <v>258</v>
      </c>
      <c r="L289" s="61" t="s">
        <v>31</v>
      </c>
      <c r="M289" s="9">
        <v>2</v>
      </c>
      <c r="N289" s="9" t="s">
        <v>42</v>
      </c>
      <c r="O289" s="61" t="s">
        <v>2017</v>
      </c>
      <c r="P289" s="61" t="s">
        <v>2018</v>
      </c>
      <c r="Q289" s="61" t="s">
        <v>2019</v>
      </c>
      <c r="R289" s="61" t="s">
        <v>1369</v>
      </c>
      <c r="S289" s="61" t="s">
        <v>2020</v>
      </c>
      <c r="T289" s="61" t="s">
        <v>31</v>
      </c>
      <c r="U289" s="61" t="s">
        <v>2021</v>
      </c>
      <c r="V289" s="61" t="s">
        <v>2022</v>
      </c>
      <c r="W289" s="62">
        <v>43802</v>
      </c>
      <c r="X289" s="37" t="s">
        <v>30</v>
      </c>
      <c r="Y289" s="37">
        <v>0</v>
      </c>
      <c r="Z289" s="37" t="s">
        <v>31</v>
      </c>
      <c r="AA289" s="37" t="s">
        <v>31</v>
      </c>
      <c r="AB289" s="37" t="s">
        <v>513</v>
      </c>
      <c r="AC289" s="61"/>
      <c r="AD289" s="34"/>
      <c r="AE289" s="98" t="s">
        <v>28</v>
      </c>
      <c r="AF289" s="36">
        <v>44191</v>
      </c>
      <c r="AG289" s="36">
        <v>44191</v>
      </c>
      <c r="AH289" s="37"/>
      <c r="AI289" s="72">
        <v>44185</v>
      </c>
      <c r="AJ289" s="38" t="s">
        <v>27</v>
      </c>
      <c r="AK289" s="39" t="e">
        <f>VLOOKUP(A289,'[1]Externe MAJ Nov'!$A:$H,8,0)</f>
        <v>#N/A</v>
      </c>
      <c r="AL289" s="61"/>
      <c r="AM289" s="61"/>
      <c r="AN289" s="61"/>
      <c r="AO289" s="58">
        <v>44185</v>
      </c>
      <c r="AP289" s="29" t="e">
        <f>VLOOKUP(A289,'[2]External Scan 02_21'!$B:$J,9,0)</f>
        <v>#N/A</v>
      </c>
      <c r="AQ289" s="29" t="s">
        <v>28</v>
      </c>
      <c r="AR289" s="21"/>
      <c r="AS289" s="21" t="str">
        <f>VLOOKUP(AE289,'ref statu'!A:B,2,0)</f>
        <v>Fixed</v>
      </c>
      <c r="AT289" s="8" t="e">
        <f>VLOOKUP(A289,chk!A:B,2,0)</f>
        <v>#N/A</v>
      </c>
      <c r="AU289" s="29" t="e">
        <f>VLOOKUP(A289,checker!A:B,2,0)</f>
        <v>#N/A</v>
      </c>
      <c r="AV289" s="29" t="e">
        <f>VLOOKUP(A289,checker!B:C,2,0)</f>
        <v>#N/A</v>
      </c>
    </row>
    <row r="290" spans="1:48" x14ac:dyDescent="0.3">
      <c r="A290" s="29" t="str">
        <f t="shared" si="4"/>
        <v>96.692.66.646/0/oracle_linux-cve-2019-19535</v>
      </c>
      <c r="B290" s="61" t="s">
        <v>2997</v>
      </c>
      <c r="C290" s="61" t="s">
        <v>528</v>
      </c>
      <c r="D290" s="61" t="s">
        <v>2964</v>
      </c>
      <c r="E290" s="61" t="s">
        <v>28</v>
      </c>
      <c r="F290" s="61" t="s">
        <v>529</v>
      </c>
      <c r="G290" s="61" t="s">
        <v>530</v>
      </c>
      <c r="H290" s="61" t="s">
        <v>531</v>
      </c>
      <c r="I290" s="37" t="s">
        <v>532</v>
      </c>
      <c r="J290" s="37">
        <v>0</v>
      </c>
      <c r="K290" s="61" t="s">
        <v>258</v>
      </c>
      <c r="L290" s="61" t="s">
        <v>31</v>
      </c>
      <c r="M290" s="9">
        <v>2</v>
      </c>
      <c r="N290" s="9" t="s">
        <v>42</v>
      </c>
      <c r="O290" s="61" t="s">
        <v>2023</v>
      </c>
      <c r="P290" s="61" t="s">
        <v>2024</v>
      </c>
      <c r="Q290" s="61" t="s">
        <v>2025</v>
      </c>
      <c r="R290" s="61" t="s">
        <v>1343</v>
      </c>
      <c r="S290" s="61" t="s">
        <v>2026</v>
      </c>
      <c r="T290" s="61" t="s">
        <v>31</v>
      </c>
      <c r="U290" s="61" t="s">
        <v>2027</v>
      </c>
      <c r="V290" s="61" t="s">
        <v>2028</v>
      </c>
      <c r="W290" s="62">
        <v>43802</v>
      </c>
      <c r="X290" s="37" t="s">
        <v>30</v>
      </c>
      <c r="Y290" s="37">
        <v>0</v>
      </c>
      <c r="Z290" s="37" t="s">
        <v>31</v>
      </c>
      <c r="AA290" s="37" t="s">
        <v>31</v>
      </c>
      <c r="AB290" s="37" t="s">
        <v>513</v>
      </c>
      <c r="AC290" s="61"/>
      <c r="AD290" s="34"/>
      <c r="AE290" s="98" t="s">
        <v>28</v>
      </c>
      <c r="AF290" s="36">
        <v>44191</v>
      </c>
      <c r="AG290" s="36">
        <v>44191</v>
      </c>
      <c r="AH290" s="37"/>
      <c r="AI290" s="72">
        <v>44185</v>
      </c>
      <c r="AJ290" s="38" t="s">
        <v>27</v>
      </c>
      <c r="AK290" s="39" t="e">
        <f>VLOOKUP(A290,'[1]Externe MAJ Nov'!$A:$H,8,0)</f>
        <v>#N/A</v>
      </c>
      <c r="AL290" s="61"/>
      <c r="AM290" s="61"/>
      <c r="AN290" s="61"/>
      <c r="AO290" s="58">
        <v>44185</v>
      </c>
      <c r="AP290" s="29" t="e">
        <f>VLOOKUP(A290,'[2]External Scan 02_21'!$B:$J,9,0)</f>
        <v>#N/A</v>
      </c>
      <c r="AQ290" s="29" t="s">
        <v>28</v>
      </c>
      <c r="AR290" s="21"/>
      <c r="AS290" s="21" t="str">
        <f>VLOOKUP(AE290,'ref statu'!A:B,2,0)</f>
        <v>Fixed</v>
      </c>
      <c r="AT290" s="8" t="e">
        <f>VLOOKUP(A290,chk!A:B,2,0)</f>
        <v>#N/A</v>
      </c>
      <c r="AU290" s="29" t="e">
        <f>VLOOKUP(A290,checker!A:B,2,0)</f>
        <v>#N/A</v>
      </c>
      <c r="AV290" s="29" t="e">
        <f>VLOOKUP(A290,checker!B:C,2,0)</f>
        <v>#N/A</v>
      </c>
    </row>
    <row r="291" spans="1:48" x14ac:dyDescent="0.3">
      <c r="A291" s="29" t="str">
        <f t="shared" si="4"/>
        <v>96.692.66.646/0/oracle_linux-cve-2019-19536</v>
      </c>
      <c r="B291" s="61" t="s">
        <v>2997</v>
      </c>
      <c r="C291" s="61" t="s">
        <v>528</v>
      </c>
      <c r="D291" s="61" t="s">
        <v>2964</v>
      </c>
      <c r="E291" s="61" t="s">
        <v>28</v>
      </c>
      <c r="F291" s="61" t="s">
        <v>529</v>
      </c>
      <c r="G291" s="61" t="s">
        <v>530</v>
      </c>
      <c r="H291" s="61" t="s">
        <v>531</v>
      </c>
      <c r="I291" s="37" t="s">
        <v>532</v>
      </c>
      <c r="J291" s="37">
        <v>0</v>
      </c>
      <c r="K291" s="61" t="s">
        <v>258</v>
      </c>
      <c r="L291" s="61" t="s">
        <v>31</v>
      </c>
      <c r="M291" s="9">
        <v>2</v>
      </c>
      <c r="N291" s="9" t="s">
        <v>42</v>
      </c>
      <c r="O291" s="61" t="s">
        <v>2029</v>
      </c>
      <c r="P291" s="61" t="s">
        <v>2030</v>
      </c>
      <c r="Q291" s="61" t="s">
        <v>2031</v>
      </c>
      <c r="R291" s="61" t="s">
        <v>1343</v>
      </c>
      <c r="S291" s="61" t="s">
        <v>2032</v>
      </c>
      <c r="T291" s="61" t="s">
        <v>31</v>
      </c>
      <c r="U291" s="61" t="s">
        <v>2033</v>
      </c>
      <c r="V291" s="61" t="s">
        <v>2034</v>
      </c>
      <c r="W291" s="62">
        <v>43802</v>
      </c>
      <c r="X291" s="37" t="s">
        <v>30</v>
      </c>
      <c r="Y291" s="37">
        <v>0</v>
      </c>
      <c r="Z291" s="37" t="s">
        <v>31</v>
      </c>
      <c r="AA291" s="37" t="s">
        <v>31</v>
      </c>
      <c r="AB291" s="37" t="s">
        <v>513</v>
      </c>
      <c r="AC291" s="61"/>
      <c r="AD291" s="33"/>
      <c r="AE291" s="98" t="s">
        <v>28</v>
      </c>
      <c r="AF291" s="36">
        <v>44191</v>
      </c>
      <c r="AG291" s="36">
        <v>44191</v>
      </c>
      <c r="AH291" s="37"/>
      <c r="AI291" s="72">
        <v>44185</v>
      </c>
      <c r="AJ291" s="38" t="s">
        <v>27</v>
      </c>
      <c r="AK291" s="39" t="e">
        <f>VLOOKUP(A291,'[1]Externe MAJ Nov'!$A:$H,8,0)</f>
        <v>#N/A</v>
      </c>
      <c r="AL291" s="61"/>
      <c r="AM291" s="61"/>
      <c r="AN291" s="61"/>
      <c r="AO291" s="58">
        <v>44185</v>
      </c>
      <c r="AP291" s="29" t="e">
        <f>VLOOKUP(A291,'[2]External Scan 02_21'!$B:$J,9,0)</f>
        <v>#N/A</v>
      </c>
      <c r="AQ291" s="29" t="s">
        <v>28</v>
      </c>
      <c r="AR291" s="21"/>
      <c r="AS291" s="21" t="str">
        <f>VLOOKUP(AE291,'ref statu'!A:B,2,0)</f>
        <v>Fixed</v>
      </c>
      <c r="AT291" s="8" t="e">
        <f>VLOOKUP(A291,chk!A:B,2,0)</f>
        <v>#N/A</v>
      </c>
      <c r="AU291" s="29" t="e">
        <f>VLOOKUP(A291,checker!A:B,2,0)</f>
        <v>#N/A</v>
      </c>
      <c r="AV291" s="29" t="e">
        <f>VLOOKUP(A291,checker!B:C,2,0)</f>
        <v>#N/A</v>
      </c>
    </row>
    <row r="292" spans="1:48" x14ac:dyDescent="0.3">
      <c r="A292" s="29" t="str">
        <f t="shared" si="4"/>
        <v>96.692.66.646/0/oracle_linux-cve-2019-19537</v>
      </c>
      <c r="B292" s="61" t="s">
        <v>2997</v>
      </c>
      <c r="C292" s="61" t="s">
        <v>528</v>
      </c>
      <c r="D292" s="61" t="s">
        <v>2964</v>
      </c>
      <c r="E292" s="61" t="s">
        <v>28</v>
      </c>
      <c r="F292" s="61" t="s">
        <v>529</v>
      </c>
      <c r="G292" s="61" t="s">
        <v>530</v>
      </c>
      <c r="H292" s="61" t="s">
        <v>531</v>
      </c>
      <c r="I292" s="37" t="s">
        <v>532</v>
      </c>
      <c r="J292" s="37">
        <v>0</v>
      </c>
      <c r="K292" s="61" t="s">
        <v>258</v>
      </c>
      <c r="L292" s="61" t="s">
        <v>31</v>
      </c>
      <c r="M292" s="9">
        <v>5</v>
      </c>
      <c r="N292" s="9" t="s">
        <v>29</v>
      </c>
      <c r="O292" s="61" t="s">
        <v>2035</v>
      </c>
      <c r="P292" s="61" t="s">
        <v>2036</v>
      </c>
      <c r="Q292" s="61" t="s">
        <v>2037</v>
      </c>
      <c r="R292" s="61" t="s">
        <v>606</v>
      </c>
      <c r="S292" s="61" t="s">
        <v>2038</v>
      </c>
      <c r="T292" s="61" t="s">
        <v>31</v>
      </c>
      <c r="U292" s="61" t="s">
        <v>2039</v>
      </c>
      <c r="V292" s="61" t="s">
        <v>2040</v>
      </c>
      <c r="W292" s="62">
        <v>43802</v>
      </c>
      <c r="X292" s="37" t="s">
        <v>30</v>
      </c>
      <c r="Y292" s="37">
        <v>0</v>
      </c>
      <c r="Z292" s="37" t="s">
        <v>31</v>
      </c>
      <c r="AA292" s="37" t="s">
        <v>31</v>
      </c>
      <c r="AB292" s="37" t="s">
        <v>513</v>
      </c>
      <c r="AC292" s="61"/>
      <c r="AD292" s="34"/>
      <c r="AE292" s="98" t="s">
        <v>28</v>
      </c>
      <c r="AF292" s="36">
        <v>44191</v>
      </c>
      <c r="AG292" s="36">
        <v>44191</v>
      </c>
      <c r="AH292" s="37"/>
      <c r="AI292" s="72">
        <v>44185</v>
      </c>
      <c r="AJ292" s="38" t="s">
        <v>27</v>
      </c>
      <c r="AK292" s="39" t="e">
        <f>VLOOKUP(A292,'[1]Externe MAJ Nov'!$A:$H,8,0)</f>
        <v>#N/A</v>
      </c>
      <c r="AL292" s="61"/>
      <c r="AM292" s="61"/>
      <c r="AN292" s="61"/>
      <c r="AO292" s="58">
        <v>44185</v>
      </c>
      <c r="AP292" s="29" t="e">
        <f>VLOOKUP(A292,'[2]External Scan 02_21'!$B:$J,9,0)</f>
        <v>#N/A</v>
      </c>
      <c r="AQ292" s="29" t="s">
        <v>28</v>
      </c>
      <c r="AR292" s="21"/>
      <c r="AS292" s="21" t="str">
        <f>VLOOKUP(AE292,'ref statu'!A:B,2,0)</f>
        <v>Fixed</v>
      </c>
      <c r="AT292" s="8" t="e">
        <f>VLOOKUP(A292,chk!A:B,2,0)</f>
        <v>#N/A</v>
      </c>
      <c r="AU292" s="29" t="e">
        <f>VLOOKUP(A292,checker!A:B,2,0)</f>
        <v>#N/A</v>
      </c>
      <c r="AV292" s="29" t="e">
        <f>VLOOKUP(A292,checker!B:C,2,0)</f>
        <v>#N/A</v>
      </c>
    </row>
    <row r="293" spans="1:48" x14ac:dyDescent="0.3">
      <c r="A293" s="29" t="str">
        <f t="shared" si="4"/>
        <v>96.692.66.646/0/oracle_linux-cve-2019-19768</v>
      </c>
      <c r="B293" s="61" t="s">
        <v>2997</v>
      </c>
      <c r="C293" s="61" t="s">
        <v>528</v>
      </c>
      <c r="D293" s="61" t="s">
        <v>2964</v>
      </c>
      <c r="E293" s="61" t="s">
        <v>28</v>
      </c>
      <c r="F293" s="61" t="s">
        <v>529</v>
      </c>
      <c r="G293" s="61" t="s">
        <v>530</v>
      </c>
      <c r="H293" s="61" t="s">
        <v>531</v>
      </c>
      <c r="I293" s="37" t="s">
        <v>532</v>
      </c>
      <c r="J293" s="37">
        <v>0</v>
      </c>
      <c r="K293" s="61" t="s">
        <v>258</v>
      </c>
      <c r="L293" s="61" t="s">
        <v>31</v>
      </c>
      <c r="M293" s="9">
        <v>5</v>
      </c>
      <c r="N293" s="9" t="s">
        <v>29</v>
      </c>
      <c r="O293" s="61" t="s">
        <v>2041</v>
      </c>
      <c r="P293" s="61" t="s">
        <v>2042</v>
      </c>
      <c r="Q293" s="61" t="s">
        <v>2043</v>
      </c>
      <c r="R293" s="61" t="s">
        <v>581</v>
      </c>
      <c r="S293" s="61" t="s">
        <v>2044</v>
      </c>
      <c r="T293" s="61" t="s">
        <v>31</v>
      </c>
      <c r="U293" s="61" t="s">
        <v>2045</v>
      </c>
      <c r="V293" s="61" t="s">
        <v>2046</v>
      </c>
      <c r="W293" s="62">
        <v>43811</v>
      </c>
      <c r="X293" s="37" t="s">
        <v>30</v>
      </c>
      <c r="Y293" s="37">
        <v>0</v>
      </c>
      <c r="Z293" s="37" t="s">
        <v>31</v>
      </c>
      <c r="AA293" s="37" t="s">
        <v>31</v>
      </c>
      <c r="AB293" s="37" t="s">
        <v>513</v>
      </c>
      <c r="AC293" s="61"/>
      <c r="AD293" s="34"/>
      <c r="AE293" s="98" t="s">
        <v>28</v>
      </c>
      <c r="AF293" s="36">
        <v>44191</v>
      </c>
      <c r="AG293" s="36">
        <v>44191</v>
      </c>
      <c r="AH293" s="37"/>
      <c r="AI293" s="72">
        <v>44185</v>
      </c>
      <c r="AJ293" s="38" t="s">
        <v>27</v>
      </c>
      <c r="AK293" s="39" t="e">
        <f>VLOOKUP(A293,'[1]Externe MAJ Nov'!$A:$H,8,0)</f>
        <v>#N/A</v>
      </c>
      <c r="AL293" s="61"/>
      <c r="AM293" s="61"/>
      <c r="AN293" s="61"/>
      <c r="AO293" s="58">
        <v>44185</v>
      </c>
      <c r="AP293" s="29" t="e">
        <f>VLOOKUP(A293,'[2]External Scan 02_21'!$B:$J,9,0)</f>
        <v>#N/A</v>
      </c>
      <c r="AQ293" s="29" t="s">
        <v>28</v>
      </c>
      <c r="AR293" s="21"/>
      <c r="AS293" s="21" t="str">
        <f>VLOOKUP(AE293,'ref statu'!A:B,2,0)</f>
        <v>Fixed</v>
      </c>
      <c r="AT293" s="8" t="e">
        <f>VLOOKUP(A293,chk!A:B,2,0)</f>
        <v>#N/A</v>
      </c>
      <c r="AU293" s="29" t="e">
        <f>VLOOKUP(A293,checker!A:B,2,0)</f>
        <v>#N/A</v>
      </c>
      <c r="AV293" s="29" t="e">
        <f>VLOOKUP(A293,checker!B:C,2,0)</f>
        <v>#N/A</v>
      </c>
    </row>
    <row r="294" spans="1:48" x14ac:dyDescent="0.3">
      <c r="A294" s="29" t="str">
        <f t="shared" si="4"/>
        <v>96.692.66.646/0/oracle_linux-cve-2019-19965</v>
      </c>
      <c r="B294" s="61" t="s">
        <v>2997</v>
      </c>
      <c r="C294" s="61" t="s">
        <v>528</v>
      </c>
      <c r="D294" s="61" t="s">
        <v>2964</v>
      </c>
      <c r="E294" s="61" t="s">
        <v>28</v>
      </c>
      <c r="F294" s="61" t="s">
        <v>529</v>
      </c>
      <c r="G294" s="61" t="s">
        <v>530</v>
      </c>
      <c r="H294" s="61" t="s">
        <v>531</v>
      </c>
      <c r="I294" s="37" t="s">
        <v>532</v>
      </c>
      <c r="J294" s="37">
        <v>0</v>
      </c>
      <c r="K294" s="61" t="s">
        <v>258</v>
      </c>
      <c r="L294" s="61" t="s">
        <v>31</v>
      </c>
      <c r="M294" s="9">
        <v>2</v>
      </c>
      <c r="N294" s="9" t="s">
        <v>42</v>
      </c>
      <c r="O294" s="61" t="s">
        <v>2047</v>
      </c>
      <c r="P294" s="61" t="s">
        <v>2048</v>
      </c>
      <c r="Q294" s="61" t="s">
        <v>2049</v>
      </c>
      <c r="R294" s="61" t="s">
        <v>556</v>
      </c>
      <c r="S294" s="61" t="s">
        <v>2050</v>
      </c>
      <c r="T294" s="61" t="s">
        <v>31</v>
      </c>
      <c r="U294" s="61" t="s">
        <v>2051</v>
      </c>
      <c r="V294" s="61" t="s">
        <v>2052</v>
      </c>
      <c r="W294" s="62">
        <v>43824</v>
      </c>
      <c r="X294" s="37" t="s">
        <v>30</v>
      </c>
      <c r="Y294" s="37">
        <v>0</v>
      </c>
      <c r="Z294" s="37" t="s">
        <v>31</v>
      </c>
      <c r="AA294" s="37" t="s">
        <v>31</v>
      </c>
      <c r="AB294" s="37" t="s">
        <v>513</v>
      </c>
      <c r="AC294" s="61"/>
      <c r="AD294" s="33"/>
      <c r="AE294" s="98" t="s">
        <v>28</v>
      </c>
      <c r="AF294" s="36">
        <v>44191</v>
      </c>
      <c r="AG294" s="36">
        <v>44191</v>
      </c>
      <c r="AH294" s="37"/>
      <c r="AI294" s="72">
        <v>44185</v>
      </c>
      <c r="AJ294" s="38" t="s">
        <v>27</v>
      </c>
      <c r="AK294" s="39" t="e">
        <f>VLOOKUP(A294,'[1]Externe MAJ Nov'!$A:$H,8,0)</f>
        <v>#N/A</v>
      </c>
      <c r="AL294" s="61"/>
      <c r="AM294" s="61"/>
      <c r="AN294" s="61"/>
      <c r="AO294" s="58">
        <v>44185</v>
      </c>
      <c r="AP294" s="29" t="e">
        <f>VLOOKUP(A294,'[2]External Scan 02_21'!$B:$J,9,0)</f>
        <v>#N/A</v>
      </c>
      <c r="AQ294" s="29" t="s">
        <v>28</v>
      </c>
      <c r="AR294" s="21"/>
      <c r="AS294" s="21" t="str">
        <f>VLOOKUP(AE294,'ref statu'!A:B,2,0)</f>
        <v>Fixed</v>
      </c>
      <c r="AT294" s="8" t="e">
        <f>VLOOKUP(A294,chk!A:B,2,0)</f>
        <v>#N/A</v>
      </c>
      <c r="AU294" s="29" t="e">
        <f>VLOOKUP(A294,checker!A:B,2,0)</f>
        <v>#N/A</v>
      </c>
      <c r="AV294" s="29" t="e">
        <f>VLOOKUP(A294,checker!B:C,2,0)</f>
        <v>#N/A</v>
      </c>
    </row>
    <row r="295" spans="1:48" x14ac:dyDescent="0.3">
      <c r="A295" s="29" t="str">
        <f t="shared" si="4"/>
        <v>96.692.66.646/0/oracle_linux-cve-2019-20054</v>
      </c>
      <c r="B295" s="61" t="s">
        <v>2997</v>
      </c>
      <c r="C295" s="61" t="s">
        <v>528</v>
      </c>
      <c r="D295" s="61" t="s">
        <v>2964</v>
      </c>
      <c r="E295" s="61" t="s">
        <v>28</v>
      </c>
      <c r="F295" s="61" t="s">
        <v>529</v>
      </c>
      <c r="G295" s="61" t="s">
        <v>530</v>
      </c>
      <c r="H295" s="61" t="s">
        <v>531</v>
      </c>
      <c r="I295" s="37" t="s">
        <v>532</v>
      </c>
      <c r="J295" s="37">
        <v>0</v>
      </c>
      <c r="K295" s="61" t="s">
        <v>258</v>
      </c>
      <c r="L295" s="61" t="s">
        <v>31</v>
      </c>
      <c r="M295" s="9">
        <v>5</v>
      </c>
      <c r="N295" s="9" t="s">
        <v>29</v>
      </c>
      <c r="O295" s="61" t="s">
        <v>2053</v>
      </c>
      <c r="P295" s="61" t="s">
        <v>2054</v>
      </c>
      <c r="Q295" s="61" t="s">
        <v>2055</v>
      </c>
      <c r="R295" s="61" t="s">
        <v>606</v>
      </c>
      <c r="S295" s="61" t="s">
        <v>2056</v>
      </c>
      <c r="T295" s="61" t="s">
        <v>31</v>
      </c>
      <c r="U295" s="61" t="s">
        <v>2057</v>
      </c>
      <c r="V295" s="61" t="s">
        <v>2058</v>
      </c>
      <c r="W295" s="62">
        <v>43827</v>
      </c>
      <c r="X295" s="37" t="s">
        <v>30</v>
      </c>
      <c r="Y295" s="37">
        <v>0</v>
      </c>
      <c r="Z295" s="37" t="s">
        <v>31</v>
      </c>
      <c r="AA295" s="37" t="s">
        <v>31</v>
      </c>
      <c r="AB295" s="37" t="s">
        <v>513</v>
      </c>
      <c r="AC295" s="61"/>
      <c r="AD295" s="34"/>
      <c r="AE295" s="98" t="s">
        <v>28</v>
      </c>
      <c r="AF295" s="36">
        <v>44191</v>
      </c>
      <c r="AG295" s="36">
        <v>44191</v>
      </c>
      <c r="AH295" s="37"/>
      <c r="AI295" s="72">
        <v>44185</v>
      </c>
      <c r="AJ295" s="38" t="s">
        <v>27</v>
      </c>
      <c r="AK295" s="39" t="e">
        <f>VLOOKUP(A295,'[1]Externe MAJ Nov'!$A:$H,8,0)</f>
        <v>#N/A</v>
      </c>
      <c r="AL295" s="61"/>
      <c r="AM295" s="61"/>
      <c r="AN295" s="61"/>
      <c r="AO295" s="58">
        <v>44185</v>
      </c>
      <c r="AP295" s="29" t="e">
        <f>VLOOKUP(A295,'[2]External Scan 02_21'!$B:$J,9,0)</f>
        <v>#N/A</v>
      </c>
      <c r="AQ295" s="29" t="s">
        <v>28</v>
      </c>
      <c r="AR295" s="21"/>
      <c r="AS295" s="21" t="str">
        <f>VLOOKUP(AE295,'ref statu'!A:B,2,0)</f>
        <v>Fixed</v>
      </c>
      <c r="AT295" s="8" t="e">
        <f>VLOOKUP(A295,chk!A:B,2,0)</f>
        <v>#N/A</v>
      </c>
      <c r="AU295" s="29" t="e">
        <f>VLOOKUP(A295,checker!A:B,2,0)</f>
        <v>#N/A</v>
      </c>
      <c r="AV295" s="29" t="e">
        <f>VLOOKUP(A295,checker!B:C,2,0)</f>
        <v>#N/A</v>
      </c>
    </row>
    <row r="296" spans="1:48" x14ac:dyDescent="0.3">
      <c r="A296" s="29" t="str">
        <f t="shared" si="4"/>
        <v>96.692.66.646/0/oracle_linux-cve-2019-20096</v>
      </c>
      <c r="B296" s="61" t="s">
        <v>2997</v>
      </c>
      <c r="C296" s="61" t="s">
        <v>528</v>
      </c>
      <c r="D296" s="61" t="s">
        <v>2964</v>
      </c>
      <c r="E296" s="61" t="s">
        <v>28</v>
      </c>
      <c r="F296" s="61" t="s">
        <v>529</v>
      </c>
      <c r="G296" s="61" t="s">
        <v>530</v>
      </c>
      <c r="H296" s="61" t="s">
        <v>531</v>
      </c>
      <c r="I296" s="37" t="s">
        <v>532</v>
      </c>
      <c r="J296" s="37">
        <v>0</v>
      </c>
      <c r="K296" s="61" t="s">
        <v>258</v>
      </c>
      <c r="L296" s="61" t="s">
        <v>31</v>
      </c>
      <c r="M296" s="9">
        <v>5</v>
      </c>
      <c r="N296" s="9" t="s">
        <v>29</v>
      </c>
      <c r="O296" s="61" t="s">
        <v>2059</v>
      </c>
      <c r="P296" s="61" t="s">
        <v>2060</v>
      </c>
      <c r="Q296" s="61" t="s">
        <v>2061</v>
      </c>
      <c r="R296" s="61" t="s">
        <v>536</v>
      </c>
      <c r="S296" s="61" t="s">
        <v>2062</v>
      </c>
      <c r="T296" s="61" t="s">
        <v>31</v>
      </c>
      <c r="U296" s="61" t="s">
        <v>2063</v>
      </c>
      <c r="V296" s="61" t="s">
        <v>2064</v>
      </c>
      <c r="W296" s="62">
        <v>43829</v>
      </c>
      <c r="X296" s="37" t="s">
        <v>30</v>
      </c>
      <c r="Y296" s="37">
        <v>0</v>
      </c>
      <c r="Z296" s="37" t="s">
        <v>31</v>
      </c>
      <c r="AA296" s="37" t="s">
        <v>31</v>
      </c>
      <c r="AB296" s="37" t="s">
        <v>513</v>
      </c>
      <c r="AC296" s="61"/>
      <c r="AD296" s="34"/>
      <c r="AE296" s="98" t="s">
        <v>28</v>
      </c>
      <c r="AF296" s="36">
        <v>44191</v>
      </c>
      <c r="AG296" s="36">
        <v>44191</v>
      </c>
      <c r="AH296" s="37"/>
      <c r="AI296" s="72">
        <v>44185</v>
      </c>
      <c r="AJ296" s="38" t="s">
        <v>27</v>
      </c>
      <c r="AK296" s="39" t="e">
        <f>VLOOKUP(A296,'[1]Externe MAJ Nov'!$A:$H,8,0)</f>
        <v>#N/A</v>
      </c>
      <c r="AL296" s="61"/>
      <c r="AM296" s="61"/>
      <c r="AN296" s="61"/>
      <c r="AO296" s="58">
        <v>44185</v>
      </c>
      <c r="AP296" s="29" t="e">
        <f>VLOOKUP(A296,'[2]External Scan 02_21'!$B:$J,9,0)</f>
        <v>#N/A</v>
      </c>
      <c r="AQ296" s="29" t="s">
        <v>28</v>
      </c>
      <c r="AR296" s="21"/>
      <c r="AS296" s="21" t="str">
        <f>VLOOKUP(AE296,'ref statu'!A:B,2,0)</f>
        <v>Fixed</v>
      </c>
      <c r="AT296" s="8" t="e">
        <f>VLOOKUP(A296,chk!A:B,2,0)</f>
        <v>#N/A</v>
      </c>
      <c r="AU296" s="29" t="e">
        <f>VLOOKUP(A296,checker!A:B,2,0)</f>
        <v>#N/A</v>
      </c>
      <c r="AV296" s="29" t="e">
        <f>VLOOKUP(A296,checker!B:C,2,0)</f>
        <v>#N/A</v>
      </c>
    </row>
    <row r="297" spans="1:48" x14ac:dyDescent="0.3">
      <c r="A297" s="29" t="str">
        <f t="shared" si="4"/>
        <v>96.692.66.646/0/oracle_linux-cve-2019-20636</v>
      </c>
      <c r="B297" s="61" t="s">
        <v>2997</v>
      </c>
      <c r="C297" s="61" t="s">
        <v>528</v>
      </c>
      <c r="D297" s="61" t="s">
        <v>2964</v>
      </c>
      <c r="E297" s="61" t="s">
        <v>28</v>
      </c>
      <c r="F297" s="61" t="s">
        <v>529</v>
      </c>
      <c r="G297" s="61" t="s">
        <v>530</v>
      </c>
      <c r="H297" s="61" t="s">
        <v>531</v>
      </c>
      <c r="I297" s="37" t="s">
        <v>532</v>
      </c>
      <c r="J297" s="37">
        <v>0</v>
      </c>
      <c r="K297" s="61" t="s">
        <v>258</v>
      </c>
      <c r="L297" s="61" t="s">
        <v>31</v>
      </c>
      <c r="M297" s="9">
        <v>7</v>
      </c>
      <c r="N297" s="10" t="s">
        <v>2540</v>
      </c>
      <c r="O297" s="61" t="s">
        <v>2065</v>
      </c>
      <c r="P297" s="61" t="s">
        <v>2066</v>
      </c>
      <c r="Q297" s="61" t="s">
        <v>2067</v>
      </c>
      <c r="R297" s="61" t="s">
        <v>581</v>
      </c>
      <c r="S297" s="61" t="s">
        <v>2068</v>
      </c>
      <c r="T297" s="61" t="s">
        <v>31</v>
      </c>
      <c r="U297" s="61" t="s">
        <v>2069</v>
      </c>
      <c r="V297" s="61" t="s">
        <v>2070</v>
      </c>
      <c r="W297" s="62">
        <v>43929</v>
      </c>
      <c r="X297" s="37" t="s">
        <v>30</v>
      </c>
      <c r="Y297" s="37">
        <v>0</v>
      </c>
      <c r="Z297" s="37" t="s">
        <v>31</v>
      </c>
      <c r="AA297" s="37" t="s">
        <v>31</v>
      </c>
      <c r="AB297" s="37" t="s">
        <v>513</v>
      </c>
      <c r="AC297" s="61"/>
      <c r="AD297" s="33"/>
      <c r="AE297" s="98" t="s">
        <v>28</v>
      </c>
      <c r="AF297" s="36">
        <v>44191</v>
      </c>
      <c r="AG297" s="36">
        <v>44191</v>
      </c>
      <c r="AH297" s="37"/>
      <c r="AI297" s="72">
        <v>44185</v>
      </c>
      <c r="AJ297" s="38" t="s">
        <v>27</v>
      </c>
      <c r="AK297" s="39" t="e">
        <f>VLOOKUP(A297,'[1]Externe MAJ Nov'!$A:$H,8,0)</f>
        <v>#N/A</v>
      </c>
      <c r="AL297" s="61"/>
      <c r="AM297" s="61"/>
      <c r="AN297" s="61"/>
      <c r="AO297" s="58">
        <v>44185</v>
      </c>
      <c r="AP297" s="29" t="e">
        <f>VLOOKUP(A297,'[2]External Scan 02_21'!$B:$J,9,0)</f>
        <v>#N/A</v>
      </c>
      <c r="AQ297" s="29" t="s">
        <v>28</v>
      </c>
      <c r="AR297" s="21"/>
      <c r="AS297" s="21" t="str">
        <f>VLOOKUP(AE297,'ref statu'!A:B,2,0)</f>
        <v>Fixed</v>
      </c>
      <c r="AT297" s="8" t="e">
        <f>VLOOKUP(A297,chk!A:B,2,0)</f>
        <v>#N/A</v>
      </c>
      <c r="AU297" s="29" t="e">
        <f>VLOOKUP(A297,checker!A:B,2,0)</f>
        <v>#N/A</v>
      </c>
      <c r="AV297" s="29" t="e">
        <f>VLOOKUP(A297,checker!B:C,2,0)</f>
        <v>#N/A</v>
      </c>
    </row>
    <row r="298" spans="1:48" x14ac:dyDescent="0.3">
      <c r="A298" s="29" t="str">
        <f t="shared" si="4"/>
        <v>96.692.66.646/0/oracle_linux-cve-2019-20811</v>
      </c>
      <c r="B298" s="61" t="s">
        <v>2997</v>
      </c>
      <c r="C298" s="61" t="s">
        <v>528</v>
      </c>
      <c r="D298" s="61" t="s">
        <v>2964</v>
      </c>
      <c r="E298" s="61" t="s">
        <v>28</v>
      </c>
      <c r="F298" s="61" t="s">
        <v>529</v>
      </c>
      <c r="G298" s="61" t="s">
        <v>530</v>
      </c>
      <c r="H298" s="61" t="s">
        <v>531</v>
      </c>
      <c r="I298" s="37" t="s">
        <v>532</v>
      </c>
      <c r="J298" s="37">
        <v>0</v>
      </c>
      <c r="K298" s="61" t="s">
        <v>258</v>
      </c>
      <c r="L298" s="61" t="s">
        <v>31</v>
      </c>
      <c r="M298" s="9">
        <v>2</v>
      </c>
      <c r="N298" s="9" t="s">
        <v>42</v>
      </c>
      <c r="O298" s="61" t="s">
        <v>2071</v>
      </c>
      <c r="P298" s="61" t="s">
        <v>2072</v>
      </c>
      <c r="Q298" s="61" t="s">
        <v>2073</v>
      </c>
      <c r="R298" s="61" t="s">
        <v>1350</v>
      </c>
      <c r="S298" s="61" t="s">
        <v>2074</v>
      </c>
      <c r="T298" s="61" t="s">
        <v>31</v>
      </c>
      <c r="U298" s="61" t="s">
        <v>2075</v>
      </c>
      <c r="V298" s="61" t="s">
        <v>2076</v>
      </c>
      <c r="W298" s="62">
        <v>43985</v>
      </c>
      <c r="X298" s="37" t="s">
        <v>30</v>
      </c>
      <c r="Y298" s="37">
        <v>0</v>
      </c>
      <c r="Z298" s="37" t="s">
        <v>31</v>
      </c>
      <c r="AA298" s="37" t="s">
        <v>31</v>
      </c>
      <c r="AB298" s="37" t="s">
        <v>513</v>
      </c>
      <c r="AC298" s="61"/>
      <c r="AD298" s="34"/>
      <c r="AE298" s="98" t="s">
        <v>28</v>
      </c>
      <c r="AF298" s="36">
        <v>44191</v>
      </c>
      <c r="AG298" s="36">
        <v>44191</v>
      </c>
      <c r="AH298" s="37"/>
      <c r="AI298" s="72">
        <v>44185</v>
      </c>
      <c r="AJ298" s="38" t="s">
        <v>27</v>
      </c>
      <c r="AK298" s="39" t="e">
        <f>VLOOKUP(A298,'[1]Externe MAJ Nov'!$A:$H,8,0)</f>
        <v>#N/A</v>
      </c>
      <c r="AL298" s="61"/>
      <c r="AM298" s="61"/>
      <c r="AN298" s="61"/>
      <c r="AO298" s="58">
        <v>44185</v>
      </c>
      <c r="AP298" s="29" t="e">
        <f>VLOOKUP(A298,'[2]External Scan 02_21'!$B:$J,9,0)</f>
        <v>#N/A</v>
      </c>
      <c r="AQ298" s="29" t="s">
        <v>28</v>
      </c>
      <c r="AR298" s="21"/>
      <c r="AS298" s="21" t="str">
        <f>VLOOKUP(AE298,'ref statu'!A:B,2,0)</f>
        <v>Fixed</v>
      </c>
      <c r="AT298" s="8" t="e">
        <f>VLOOKUP(A298,chk!A:B,2,0)</f>
        <v>#N/A</v>
      </c>
      <c r="AU298" s="29" t="e">
        <f>VLOOKUP(A298,checker!A:B,2,0)</f>
        <v>#N/A</v>
      </c>
      <c r="AV298" s="29" t="e">
        <f>VLOOKUP(A298,checker!B:C,2,0)</f>
        <v>#N/A</v>
      </c>
    </row>
    <row r="299" spans="1:48" x14ac:dyDescent="0.3">
      <c r="A299" s="29" t="str">
        <f t="shared" si="4"/>
        <v>96.692.66.646/0/oracle_linux-cve-2019-20812</v>
      </c>
      <c r="B299" s="61" t="s">
        <v>2997</v>
      </c>
      <c r="C299" s="61" t="s">
        <v>528</v>
      </c>
      <c r="D299" s="61" t="s">
        <v>2964</v>
      </c>
      <c r="E299" s="61" t="s">
        <v>28</v>
      </c>
      <c r="F299" s="61" t="s">
        <v>529</v>
      </c>
      <c r="G299" s="61" t="s">
        <v>530</v>
      </c>
      <c r="H299" s="61" t="s">
        <v>531</v>
      </c>
      <c r="I299" s="37" t="s">
        <v>532</v>
      </c>
      <c r="J299" s="37">
        <v>0</v>
      </c>
      <c r="K299" s="61" t="s">
        <v>258</v>
      </c>
      <c r="L299" s="61" t="s">
        <v>31</v>
      </c>
      <c r="M299" s="9">
        <v>5</v>
      </c>
      <c r="N299" s="9" t="s">
        <v>29</v>
      </c>
      <c r="O299" s="61" t="s">
        <v>2077</v>
      </c>
      <c r="P299" s="61" t="s">
        <v>2078</v>
      </c>
      <c r="Q299" s="61" t="s">
        <v>2079</v>
      </c>
      <c r="R299" s="61" t="s">
        <v>723</v>
      </c>
      <c r="S299" s="61" t="s">
        <v>2080</v>
      </c>
      <c r="T299" s="61" t="s">
        <v>31</v>
      </c>
      <c r="U299" s="61" t="s">
        <v>2081</v>
      </c>
      <c r="V299" s="61" t="s">
        <v>2082</v>
      </c>
      <c r="W299" s="62">
        <v>43985</v>
      </c>
      <c r="X299" s="37" t="s">
        <v>30</v>
      </c>
      <c r="Y299" s="37">
        <v>0</v>
      </c>
      <c r="Z299" s="37" t="s">
        <v>31</v>
      </c>
      <c r="AA299" s="37" t="s">
        <v>31</v>
      </c>
      <c r="AB299" s="37" t="s">
        <v>513</v>
      </c>
      <c r="AC299" s="61"/>
      <c r="AD299" s="34"/>
      <c r="AE299" s="98" t="s">
        <v>28</v>
      </c>
      <c r="AF299" s="36">
        <v>44191</v>
      </c>
      <c r="AG299" s="36">
        <v>44191</v>
      </c>
      <c r="AH299" s="37"/>
      <c r="AI299" s="72">
        <v>44185</v>
      </c>
      <c r="AJ299" s="38" t="s">
        <v>27</v>
      </c>
      <c r="AK299" s="39" t="e">
        <f>VLOOKUP(A299,'[1]Externe MAJ Nov'!$A:$H,8,0)</f>
        <v>#N/A</v>
      </c>
      <c r="AL299" s="61"/>
      <c r="AM299" s="61"/>
      <c r="AN299" s="61"/>
      <c r="AO299" s="58">
        <v>44185</v>
      </c>
      <c r="AP299" s="29" t="e">
        <f>VLOOKUP(A299,'[2]External Scan 02_21'!$B:$J,9,0)</f>
        <v>#N/A</v>
      </c>
      <c r="AQ299" s="29" t="s">
        <v>28</v>
      </c>
      <c r="AR299" s="21"/>
      <c r="AS299" s="21" t="str">
        <f>VLOOKUP(AE299,'ref statu'!A:B,2,0)</f>
        <v>Fixed</v>
      </c>
      <c r="AT299" s="8" t="e">
        <f>VLOOKUP(A299,chk!A:B,2,0)</f>
        <v>#N/A</v>
      </c>
      <c r="AU299" s="29" t="e">
        <f>VLOOKUP(A299,checker!A:B,2,0)</f>
        <v>#N/A</v>
      </c>
      <c r="AV299" s="29" t="e">
        <f>VLOOKUP(A299,checker!B:C,2,0)</f>
        <v>#N/A</v>
      </c>
    </row>
    <row r="300" spans="1:48" x14ac:dyDescent="0.3">
      <c r="A300" s="29" t="str">
        <f t="shared" si="4"/>
        <v>96.692.66.646/0/oracle_linux-cve-2019-20907</v>
      </c>
      <c r="B300" s="61" t="s">
        <v>2997</v>
      </c>
      <c r="C300" s="61" t="s">
        <v>528</v>
      </c>
      <c r="D300" s="61" t="s">
        <v>2964</v>
      </c>
      <c r="E300" s="61" t="s">
        <v>28</v>
      </c>
      <c r="F300" s="61" t="s">
        <v>529</v>
      </c>
      <c r="G300" s="61" t="s">
        <v>530</v>
      </c>
      <c r="H300" s="61" t="s">
        <v>531</v>
      </c>
      <c r="I300" s="37" t="s">
        <v>532</v>
      </c>
      <c r="J300" s="37">
        <v>0</v>
      </c>
      <c r="K300" s="61" t="s">
        <v>258</v>
      </c>
      <c r="L300" s="61" t="s">
        <v>31</v>
      </c>
      <c r="M300" s="9">
        <v>5</v>
      </c>
      <c r="N300" s="9" t="s">
        <v>29</v>
      </c>
      <c r="O300" s="61" t="s">
        <v>2083</v>
      </c>
      <c r="P300" s="61" t="s">
        <v>2084</v>
      </c>
      <c r="Q300" s="61" t="s">
        <v>2085</v>
      </c>
      <c r="R300" s="61" t="s">
        <v>2086</v>
      </c>
      <c r="S300" s="61" t="s">
        <v>2087</v>
      </c>
      <c r="T300" s="61" t="s">
        <v>31</v>
      </c>
      <c r="U300" s="61" t="s">
        <v>2088</v>
      </c>
      <c r="V300" s="61" t="s">
        <v>2089</v>
      </c>
      <c r="W300" s="62">
        <v>44025</v>
      </c>
      <c r="X300" s="37" t="s">
        <v>30</v>
      </c>
      <c r="Y300" s="37">
        <v>0</v>
      </c>
      <c r="Z300" s="37" t="s">
        <v>31</v>
      </c>
      <c r="AA300" s="37" t="s">
        <v>31</v>
      </c>
      <c r="AB300" s="37" t="s">
        <v>513</v>
      </c>
      <c r="AC300" s="61"/>
      <c r="AD300" s="33"/>
      <c r="AE300" s="98" t="s">
        <v>28</v>
      </c>
      <c r="AF300" s="36">
        <v>44191</v>
      </c>
      <c r="AG300" s="36">
        <v>44191</v>
      </c>
      <c r="AH300" s="37"/>
      <c r="AI300" s="72">
        <v>44185</v>
      </c>
      <c r="AJ300" s="38" t="s">
        <v>27</v>
      </c>
      <c r="AK300" s="39" t="e">
        <f>VLOOKUP(A300,'[1]Externe MAJ Nov'!$A:$H,8,0)</f>
        <v>#N/A</v>
      </c>
      <c r="AL300" s="61"/>
      <c r="AM300" s="61"/>
      <c r="AN300" s="61"/>
      <c r="AO300" s="58">
        <v>44185</v>
      </c>
      <c r="AP300" s="29" t="e">
        <f>VLOOKUP(A300,'[2]External Scan 02_21'!$B:$J,9,0)</f>
        <v>#N/A</v>
      </c>
      <c r="AQ300" s="29" t="s">
        <v>28</v>
      </c>
      <c r="AR300" s="21"/>
      <c r="AS300" s="21" t="str">
        <f>VLOOKUP(AE300,'ref statu'!A:B,2,0)</f>
        <v>Fixed</v>
      </c>
      <c r="AT300" s="8" t="e">
        <f>VLOOKUP(A300,chk!A:B,2,0)</f>
        <v>#N/A</v>
      </c>
      <c r="AU300" s="29" t="e">
        <f>VLOOKUP(A300,checker!A:B,2,0)</f>
        <v>#N/A</v>
      </c>
      <c r="AV300" s="29" t="e">
        <f>VLOOKUP(A300,checker!B:C,2,0)</f>
        <v>#N/A</v>
      </c>
    </row>
    <row r="301" spans="1:48" x14ac:dyDescent="0.3">
      <c r="A301" s="29" t="str">
        <f t="shared" si="4"/>
        <v>96.692.66.646/0/oracle_linux-cve-2019-3459</v>
      </c>
      <c r="B301" s="61" t="s">
        <v>2997</v>
      </c>
      <c r="C301" s="61" t="s">
        <v>528</v>
      </c>
      <c r="D301" s="61" t="s">
        <v>2964</v>
      </c>
      <c r="E301" s="61" t="s">
        <v>28</v>
      </c>
      <c r="F301" s="61" t="s">
        <v>529</v>
      </c>
      <c r="G301" s="61" t="s">
        <v>530</v>
      </c>
      <c r="H301" s="61" t="s">
        <v>531</v>
      </c>
      <c r="I301" s="37" t="s">
        <v>532</v>
      </c>
      <c r="J301" s="37">
        <v>0</v>
      </c>
      <c r="K301" s="61" t="s">
        <v>258</v>
      </c>
      <c r="L301" s="61" t="s">
        <v>31</v>
      </c>
      <c r="M301" s="9">
        <v>3</v>
      </c>
      <c r="N301" s="9" t="s">
        <v>42</v>
      </c>
      <c r="O301" s="61" t="s">
        <v>2090</v>
      </c>
      <c r="P301" s="61" t="s">
        <v>2091</v>
      </c>
      <c r="Q301" s="61" t="s">
        <v>2092</v>
      </c>
      <c r="R301" s="61" t="s">
        <v>581</v>
      </c>
      <c r="S301" s="61" t="s">
        <v>2093</v>
      </c>
      <c r="T301" s="61" t="s">
        <v>31</v>
      </c>
      <c r="U301" s="61" t="s">
        <v>2094</v>
      </c>
      <c r="V301" s="61" t="s">
        <v>2095</v>
      </c>
      <c r="W301" s="62">
        <v>43503</v>
      </c>
      <c r="X301" s="37" t="s">
        <v>30</v>
      </c>
      <c r="Y301" s="37">
        <v>0</v>
      </c>
      <c r="Z301" s="37" t="s">
        <v>31</v>
      </c>
      <c r="AA301" s="37" t="s">
        <v>31</v>
      </c>
      <c r="AB301" s="37" t="s">
        <v>513</v>
      </c>
      <c r="AC301" s="61"/>
      <c r="AD301" s="34"/>
      <c r="AE301" s="98" t="s">
        <v>28</v>
      </c>
      <c r="AF301" s="36">
        <v>44191</v>
      </c>
      <c r="AG301" s="36">
        <v>44191</v>
      </c>
      <c r="AH301" s="37"/>
      <c r="AI301" s="72">
        <v>44185</v>
      </c>
      <c r="AJ301" s="38" t="s">
        <v>27</v>
      </c>
      <c r="AK301" s="39" t="e">
        <f>VLOOKUP(A301,'[1]Externe MAJ Nov'!$A:$H,8,0)</f>
        <v>#N/A</v>
      </c>
      <c r="AL301" s="61"/>
      <c r="AM301" s="61"/>
      <c r="AN301" s="61"/>
      <c r="AO301" s="58">
        <v>44185</v>
      </c>
      <c r="AP301" s="29" t="e">
        <f>VLOOKUP(A301,'[2]External Scan 02_21'!$B:$J,9,0)</f>
        <v>#N/A</v>
      </c>
      <c r="AQ301" s="29" t="s">
        <v>28</v>
      </c>
      <c r="AR301" s="21"/>
      <c r="AS301" s="21" t="str">
        <f>VLOOKUP(AE301,'ref statu'!A:B,2,0)</f>
        <v>Fixed</v>
      </c>
      <c r="AT301" s="8" t="e">
        <f>VLOOKUP(A301,chk!A:B,2,0)</f>
        <v>#N/A</v>
      </c>
      <c r="AU301" s="29" t="e">
        <f>VLOOKUP(A301,checker!A:B,2,0)</f>
        <v>#N/A</v>
      </c>
      <c r="AV301" s="29" t="e">
        <f>VLOOKUP(A301,checker!B:C,2,0)</f>
        <v>#N/A</v>
      </c>
    </row>
    <row r="302" spans="1:48" x14ac:dyDescent="0.3">
      <c r="A302" s="29" t="str">
        <f t="shared" si="4"/>
        <v>96.692.66.646/0/oracle_linux-cve-2019-3701</v>
      </c>
      <c r="B302" s="61" t="s">
        <v>2997</v>
      </c>
      <c r="C302" s="61" t="s">
        <v>528</v>
      </c>
      <c r="D302" s="61" t="s">
        <v>2964</v>
      </c>
      <c r="E302" s="61" t="s">
        <v>28</v>
      </c>
      <c r="F302" s="61" t="s">
        <v>529</v>
      </c>
      <c r="G302" s="61" t="s">
        <v>530</v>
      </c>
      <c r="H302" s="61" t="s">
        <v>531</v>
      </c>
      <c r="I302" s="37" t="s">
        <v>532</v>
      </c>
      <c r="J302" s="37">
        <v>0</v>
      </c>
      <c r="K302" s="61" t="s">
        <v>258</v>
      </c>
      <c r="L302" s="61" t="s">
        <v>31</v>
      </c>
      <c r="M302" s="9">
        <v>5</v>
      </c>
      <c r="N302" s="9" t="s">
        <v>29</v>
      </c>
      <c r="O302" s="61" t="s">
        <v>2096</v>
      </c>
      <c r="P302" s="61" t="s">
        <v>2097</v>
      </c>
      <c r="Q302" s="61" t="s">
        <v>2098</v>
      </c>
      <c r="R302" s="61" t="s">
        <v>723</v>
      </c>
      <c r="S302" s="61" t="s">
        <v>2099</v>
      </c>
      <c r="T302" s="61" t="s">
        <v>31</v>
      </c>
      <c r="U302" s="61" t="s">
        <v>2100</v>
      </c>
      <c r="V302" s="61" t="s">
        <v>2101</v>
      </c>
      <c r="W302" s="62">
        <v>43468</v>
      </c>
      <c r="X302" s="37" t="s">
        <v>30</v>
      </c>
      <c r="Y302" s="37">
        <v>0</v>
      </c>
      <c r="Z302" s="37" t="s">
        <v>31</v>
      </c>
      <c r="AA302" s="37" t="s">
        <v>31</v>
      </c>
      <c r="AB302" s="37" t="s">
        <v>513</v>
      </c>
      <c r="AC302" s="61"/>
      <c r="AD302" s="34"/>
      <c r="AE302" s="98" t="s">
        <v>28</v>
      </c>
      <c r="AF302" s="36">
        <v>44191</v>
      </c>
      <c r="AG302" s="36">
        <v>44191</v>
      </c>
      <c r="AH302" s="37"/>
      <c r="AI302" s="72">
        <v>44185</v>
      </c>
      <c r="AJ302" s="38" t="s">
        <v>27</v>
      </c>
      <c r="AK302" s="39" t="e">
        <f>VLOOKUP(A302,'[1]Externe MAJ Nov'!$A:$H,8,0)</f>
        <v>#N/A</v>
      </c>
      <c r="AL302" s="61"/>
      <c r="AM302" s="61"/>
      <c r="AN302" s="61"/>
      <c r="AO302" s="58">
        <v>44185</v>
      </c>
      <c r="AP302" s="29" t="e">
        <f>VLOOKUP(A302,'[2]External Scan 02_21'!$B:$J,9,0)</f>
        <v>#N/A</v>
      </c>
      <c r="AQ302" s="29" t="s">
        <v>28</v>
      </c>
      <c r="AR302" s="21"/>
      <c r="AS302" s="21" t="str">
        <f>VLOOKUP(AE302,'ref statu'!A:B,2,0)</f>
        <v>Fixed</v>
      </c>
      <c r="AT302" s="8" t="e">
        <f>VLOOKUP(A302,chk!A:B,2,0)</f>
        <v>#N/A</v>
      </c>
      <c r="AU302" s="29" t="e">
        <f>VLOOKUP(A302,checker!A:B,2,0)</f>
        <v>#N/A</v>
      </c>
      <c r="AV302" s="29" t="e">
        <f>VLOOKUP(A302,checker!B:C,2,0)</f>
        <v>#N/A</v>
      </c>
    </row>
    <row r="303" spans="1:48" x14ac:dyDescent="0.3">
      <c r="A303" s="29" t="str">
        <f t="shared" si="4"/>
        <v>96.692.66.646/0/oracle_linux-cve-2019-3819</v>
      </c>
      <c r="B303" s="61" t="s">
        <v>2997</v>
      </c>
      <c r="C303" s="61" t="s">
        <v>528</v>
      </c>
      <c r="D303" s="61" t="s">
        <v>2964</v>
      </c>
      <c r="E303" s="61" t="s">
        <v>28</v>
      </c>
      <c r="F303" s="61" t="s">
        <v>529</v>
      </c>
      <c r="G303" s="61" t="s">
        <v>530</v>
      </c>
      <c r="H303" s="61" t="s">
        <v>531</v>
      </c>
      <c r="I303" s="37" t="s">
        <v>532</v>
      </c>
      <c r="J303" s="37">
        <v>0</v>
      </c>
      <c r="K303" s="61" t="s">
        <v>258</v>
      </c>
      <c r="L303" s="61" t="s">
        <v>31</v>
      </c>
      <c r="M303" s="9">
        <v>5</v>
      </c>
      <c r="N303" s="9" t="s">
        <v>29</v>
      </c>
      <c r="O303" s="61" t="s">
        <v>2102</v>
      </c>
      <c r="P303" s="61" t="s">
        <v>2103</v>
      </c>
      <c r="Q303" s="61" t="s">
        <v>2104</v>
      </c>
      <c r="R303" s="61" t="s">
        <v>536</v>
      </c>
      <c r="S303" s="61" t="s">
        <v>2105</v>
      </c>
      <c r="T303" s="61" t="s">
        <v>31</v>
      </c>
      <c r="U303" s="61" t="s">
        <v>2106</v>
      </c>
      <c r="V303" s="61" t="s">
        <v>2107</v>
      </c>
      <c r="W303" s="62">
        <v>43490</v>
      </c>
      <c r="X303" s="37" t="s">
        <v>30</v>
      </c>
      <c r="Y303" s="37">
        <v>0</v>
      </c>
      <c r="Z303" s="37" t="s">
        <v>31</v>
      </c>
      <c r="AA303" s="37" t="s">
        <v>31</v>
      </c>
      <c r="AB303" s="37" t="s">
        <v>513</v>
      </c>
      <c r="AC303" s="61"/>
      <c r="AD303" s="33"/>
      <c r="AE303" s="98" t="s">
        <v>28</v>
      </c>
      <c r="AF303" s="36">
        <v>44191</v>
      </c>
      <c r="AG303" s="36">
        <v>44191</v>
      </c>
      <c r="AH303" s="37"/>
      <c r="AI303" s="72">
        <v>44185</v>
      </c>
      <c r="AJ303" s="38" t="s">
        <v>27</v>
      </c>
      <c r="AK303" s="39" t="e">
        <f>VLOOKUP(A303,'[1]Externe MAJ Nov'!$A:$H,8,0)</f>
        <v>#N/A</v>
      </c>
      <c r="AL303" s="61"/>
      <c r="AM303" s="61"/>
      <c r="AN303" s="61"/>
      <c r="AO303" s="58">
        <v>44185</v>
      </c>
      <c r="AP303" s="29" t="e">
        <f>VLOOKUP(A303,'[2]External Scan 02_21'!$B:$J,9,0)</f>
        <v>#N/A</v>
      </c>
      <c r="AQ303" s="29" t="s">
        <v>28</v>
      </c>
      <c r="AR303" s="21"/>
      <c r="AS303" s="21" t="str">
        <f>VLOOKUP(AE303,'ref statu'!A:B,2,0)</f>
        <v>Fixed</v>
      </c>
      <c r="AT303" s="8" t="e">
        <f>VLOOKUP(A303,chk!A:B,2,0)</f>
        <v>#N/A</v>
      </c>
      <c r="AU303" s="29" t="e">
        <f>VLOOKUP(A303,checker!A:B,2,0)</f>
        <v>#N/A</v>
      </c>
      <c r="AV303" s="29" t="e">
        <f>VLOOKUP(A303,checker!B:C,2,0)</f>
        <v>#N/A</v>
      </c>
    </row>
    <row r="304" spans="1:48" x14ac:dyDescent="0.3">
      <c r="A304" s="29" t="str">
        <f t="shared" si="4"/>
        <v>96.692.66.646/0/oracle_linux-cve-2019-3846</v>
      </c>
      <c r="B304" s="61" t="s">
        <v>2997</v>
      </c>
      <c r="C304" s="61" t="s">
        <v>528</v>
      </c>
      <c r="D304" s="61" t="s">
        <v>2964</v>
      </c>
      <c r="E304" s="61" t="s">
        <v>28</v>
      </c>
      <c r="F304" s="61" t="s">
        <v>529</v>
      </c>
      <c r="G304" s="61" t="s">
        <v>530</v>
      </c>
      <c r="H304" s="61" t="s">
        <v>531</v>
      </c>
      <c r="I304" s="37" t="s">
        <v>532</v>
      </c>
      <c r="J304" s="37">
        <v>0</v>
      </c>
      <c r="K304" s="61" t="s">
        <v>258</v>
      </c>
      <c r="L304" s="61" t="s">
        <v>31</v>
      </c>
      <c r="M304" s="9">
        <v>8</v>
      </c>
      <c r="N304" s="10" t="s">
        <v>2540</v>
      </c>
      <c r="O304" s="61" t="s">
        <v>2108</v>
      </c>
      <c r="P304" s="61" t="s">
        <v>2109</v>
      </c>
      <c r="Q304" s="61" t="s">
        <v>2110</v>
      </c>
      <c r="R304" s="61" t="s">
        <v>1350</v>
      </c>
      <c r="S304" s="61" t="s">
        <v>2111</v>
      </c>
      <c r="T304" s="61" t="s">
        <v>31</v>
      </c>
      <c r="U304" s="61" t="s">
        <v>2112</v>
      </c>
      <c r="V304" s="61" t="s">
        <v>2113</v>
      </c>
      <c r="W304" s="62">
        <v>43619</v>
      </c>
      <c r="X304" s="37" t="s">
        <v>30</v>
      </c>
      <c r="Y304" s="37">
        <v>0</v>
      </c>
      <c r="Z304" s="37" t="s">
        <v>31</v>
      </c>
      <c r="AA304" s="37" t="s">
        <v>31</v>
      </c>
      <c r="AB304" s="37" t="s">
        <v>513</v>
      </c>
      <c r="AC304" s="61"/>
      <c r="AD304" s="34"/>
      <c r="AE304" s="98" t="s">
        <v>28</v>
      </c>
      <c r="AF304" s="36">
        <v>44191</v>
      </c>
      <c r="AG304" s="36">
        <v>44191</v>
      </c>
      <c r="AH304" s="37"/>
      <c r="AI304" s="72">
        <v>44185</v>
      </c>
      <c r="AJ304" s="38" t="s">
        <v>27</v>
      </c>
      <c r="AK304" s="39" t="e">
        <f>VLOOKUP(A304,'[1]Externe MAJ Nov'!$A:$H,8,0)</f>
        <v>#N/A</v>
      </c>
      <c r="AL304" s="61"/>
      <c r="AM304" s="61"/>
      <c r="AN304" s="61"/>
      <c r="AO304" s="58">
        <v>44185</v>
      </c>
      <c r="AP304" s="29" t="e">
        <f>VLOOKUP(A304,'[2]External Scan 02_21'!$B:$J,9,0)</f>
        <v>#N/A</v>
      </c>
      <c r="AQ304" s="29" t="s">
        <v>28</v>
      </c>
      <c r="AR304" s="21"/>
      <c r="AS304" s="21" t="str">
        <f>VLOOKUP(AE304,'ref statu'!A:B,2,0)</f>
        <v>Fixed</v>
      </c>
      <c r="AT304" s="8" t="e">
        <f>VLOOKUP(A304,chk!A:B,2,0)</f>
        <v>#N/A</v>
      </c>
      <c r="AU304" s="29" t="e">
        <f>VLOOKUP(A304,checker!A:B,2,0)</f>
        <v>#N/A</v>
      </c>
      <c r="AV304" s="29" t="e">
        <f>VLOOKUP(A304,checker!B:C,2,0)</f>
        <v>#N/A</v>
      </c>
    </row>
    <row r="305" spans="1:48" x14ac:dyDescent="0.3">
      <c r="A305" s="29" t="str">
        <f t="shared" si="4"/>
        <v>96.692.66.646/0/oracle_linux-cve-2019-3874</v>
      </c>
      <c r="B305" s="61" t="s">
        <v>2997</v>
      </c>
      <c r="C305" s="61" t="s">
        <v>528</v>
      </c>
      <c r="D305" s="61" t="s">
        <v>2964</v>
      </c>
      <c r="E305" s="61" t="s">
        <v>28</v>
      </c>
      <c r="F305" s="61" t="s">
        <v>529</v>
      </c>
      <c r="G305" s="61" t="s">
        <v>530</v>
      </c>
      <c r="H305" s="61" t="s">
        <v>531</v>
      </c>
      <c r="I305" s="37" t="s">
        <v>532</v>
      </c>
      <c r="J305" s="37">
        <v>0</v>
      </c>
      <c r="K305" s="61" t="s">
        <v>258</v>
      </c>
      <c r="L305" s="61" t="s">
        <v>31</v>
      </c>
      <c r="M305" s="9">
        <v>3</v>
      </c>
      <c r="N305" s="9" t="s">
        <v>42</v>
      </c>
      <c r="O305" s="61" t="s">
        <v>2114</v>
      </c>
      <c r="P305" s="61" t="s">
        <v>2115</v>
      </c>
      <c r="Q305" s="61" t="s">
        <v>2116</v>
      </c>
      <c r="R305" s="61" t="s">
        <v>1343</v>
      </c>
      <c r="S305" s="61" t="s">
        <v>2117</v>
      </c>
      <c r="T305" s="61" t="s">
        <v>31</v>
      </c>
      <c r="U305" s="61" t="s">
        <v>2118</v>
      </c>
      <c r="V305" s="61" t="s">
        <v>2119</v>
      </c>
      <c r="W305" s="62">
        <v>43549</v>
      </c>
      <c r="X305" s="37" t="s">
        <v>30</v>
      </c>
      <c r="Y305" s="37">
        <v>0</v>
      </c>
      <c r="Z305" s="37" t="s">
        <v>31</v>
      </c>
      <c r="AA305" s="37" t="s">
        <v>31</v>
      </c>
      <c r="AB305" s="37" t="s">
        <v>513</v>
      </c>
      <c r="AC305" s="61"/>
      <c r="AD305" s="34"/>
      <c r="AE305" s="98" t="s">
        <v>28</v>
      </c>
      <c r="AF305" s="36">
        <v>44191</v>
      </c>
      <c r="AG305" s="36">
        <v>44191</v>
      </c>
      <c r="AH305" s="37"/>
      <c r="AI305" s="72">
        <v>44185</v>
      </c>
      <c r="AJ305" s="38" t="s">
        <v>27</v>
      </c>
      <c r="AK305" s="39" t="e">
        <f>VLOOKUP(A305,'[1]Externe MAJ Nov'!$A:$H,8,0)</f>
        <v>#N/A</v>
      </c>
      <c r="AL305" s="61"/>
      <c r="AM305" s="61"/>
      <c r="AN305" s="61"/>
      <c r="AO305" s="58">
        <v>44185</v>
      </c>
      <c r="AP305" s="29" t="e">
        <f>VLOOKUP(A305,'[2]External Scan 02_21'!$B:$J,9,0)</f>
        <v>#N/A</v>
      </c>
      <c r="AQ305" s="29" t="s">
        <v>28</v>
      </c>
      <c r="AR305" s="21"/>
      <c r="AS305" s="21" t="str">
        <f>VLOOKUP(AE305,'ref statu'!A:B,2,0)</f>
        <v>Fixed</v>
      </c>
      <c r="AT305" s="8" t="e">
        <f>VLOOKUP(A305,chk!A:B,2,0)</f>
        <v>#N/A</v>
      </c>
      <c r="AU305" s="29" t="e">
        <f>VLOOKUP(A305,checker!A:B,2,0)</f>
        <v>#N/A</v>
      </c>
      <c r="AV305" s="29" t="e">
        <f>VLOOKUP(A305,checker!B:C,2,0)</f>
        <v>#N/A</v>
      </c>
    </row>
    <row r="306" spans="1:48" x14ac:dyDescent="0.3">
      <c r="A306" s="29" t="str">
        <f t="shared" si="4"/>
        <v>96.692.66.646/0/oracle_linux-cve-2019-5108</v>
      </c>
      <c r="B306" s="61" t="s">
        <v>2997</v>
      </c>
      <c r="C306" s="61" t="s">
        <v>528</v>
      </c>
      <c r="D306" s="61" t="s">
        <v>2964</v>
      </c>
      <c r="E306" s="61" t="s">
        <v>28</v>
      </c>
      <c r="F306" s="61" t="s">
        <v>529</v>
      </c>
      <c r="G306" s="61" t="s">
        <v>530</v>
      </c>
      <c r="H306" s="61" t="s">
        <v>531</v>
      </c>
      <c r="I306" s="37" t="s">
        <v>532</v>
      </c>
      <c r="J306" s="37">
        <v>0</v>
      </c>
      <c r="K306" s="61" t="s">
        <v>258</v>
      </c>
      <c r="L306" s="61" t="s">
        <v>31</v>
      </c>
      <c r="M306" s="9">
        <v>3</v>
      </c>
      <c r="N306" s="9" t="s">
        <v>42</v>
      </c>
      <c r="O306" s="61" t="s">
        <v>2120</v>
      </c>
      <c r="P306" s="61" t="s">
        <v>2121</v>
      </c>
      <c r="Q306" s="61" t="s">
        <v>2122</v>
      </c>
      <c r="R306" s="61" t="s">
        <v>1343</v>
      </c>
      <c r="S306" s="61" t="s">
        <v>2123</v>
      </c>
      <c r="T306" s="61" t="s">
        <v>31</v>
      </c>
      <c r="U306" s="61" t="s">
        <v>2124</v>
      </c>
      <c r="V306" s="61" t="s">
        <v>2125</v>
      </c>
      <c r="W306" s="62">
        <v>43822</v>
      </c>
      <c r="X306" s="37" t="s">
        <v>30</v>
      </c>
      <c r="Y306" s="37">
        <v>0</v>
      </c>
      <c r="Z306" s="37" t="s">
        <v>31</v>
      </c>
      <c r="AA306" s="37" t="s">
        <v>31</v>
      </c>
      <c r="AB306" s="37" t="s">
        <v>513</v>
      </c>
      <c r="AC306" s="61"/>
      <c r="AD306" s="33"/>
      <c r="AE306" s="98" t="s">
        <v>28</v>
      </c>
      <c r="AF306" s="36">
        <v>44191</v>
      </c>
      <c r="AG306" s="36">
        <v>44191</v>
      </c>
      <c r="AH306" s="37"/>
      <c r="AI306" s="72">
        <v>44185</v>
      </c>
      <c r="AJ306" s="38" t="s">
        <v>27</v>
      </c>
      <c r="AK306" s="39" t="e">
        <f>VLOOKUP(A306,'[1]Externe MAJ Nov'!$A:$H,8,0)</f>
        <v>#N/A</v>
      </c>
      <c r="AL306" s="61"/>
      <c r="AM306" s="61"/>
      <c r="AN306" s="61"/>
      <c r="AO306" s="58">
        <v>44185</v>
      </c>
      <c r="AP306" s="29" t="e">
        <f>VLOOKUP(A306,'[2]External Scan 02_21'!$B:$J,9,0)</f>
        <v>#N/A</v>
      </c>
      <c r="AQ306" s="29" t="s">
        <v>28</v>
      </c>
      <c r="AR306" s="21"/>
      <c r="AS306" s="21" t="str">
        <f>VLOOKUP(AE306,'ref statu'!A:B,2,0)</f>
        <v>Fixed</v>
      </c>
      <c r="AT306" s="8" t="e">
        <f>VLOOKUP(A306,chk!A:B,2,0)</f>
        <v>#N/A</v>
      </c>
      <c r="AU306" s="29" t="e">
        <f>VLOOKUP(A306,checker!A:B,2,0)</f>
        <v>#N/A</v>
      </c>
      <c r="AV306" s="29" t="e">
        <f>VLOOKUP(A306,checker!B:C,2,0)</f>
        <v>#N/A</v>
      </c>
    </row>
    <row r="307" spans="1:48" x14ac:dyDescent="0.3">
      <c r="A307" s="29" t="str">
        <f t="shared" si="4"/>
        <v>96.692.66.646/0/oracle_linux-cve-2019-5489</v>
      </c>
      <c r="B307" s="61" t="s">
        <v>2997</v>
      </c>
      <c r="C307" s="61" t="s">
        <v>528</v>
      </c>
      <c r="D307" s="61" t="s">
        <v>2964</v>
      </c>
      <c r="E307" s="61" t="s">
        <v>28</v>
      </c>
      <c r="F307" s="61" t="s">
        <v>529</v>
      </c>
      <c r="G307" s="61" t="s">
        <v>530</v>
      </c>
      <c r="H307" s="61" t="s">
        <v>531</v>
      </c>
      <c r="I307" s="37" t="s">
        <v>532</v>
      </c>
      <c r="J307" s="37">
        <v>0</v>
      </c>
      <c r="K307" s="61" t="s">
        <v>258</v>
      </c>
      <c r="L307" s="61" t="s">
        <v>31</v>
      </c>
      <c r="M307" s="9">
        <v>2</v>
      </c>
      <c r="N307" s="9" t="s">
        <v>42</v>
      </c>
      <c r="O307" s="61" t="s">
        <v>2126</v>
      </c>
      <c r="P307" s="61" t="s">
        <v>2127</v>
      </c>
      <c r="Q307" s="61" t="s">
        <v>2128</v>
      </c>
      <c r="R307" s="61" t="s">
        <v>1350</v>
      </c>
      <c r="S307" s="61" t="s">
        <v>2129</v>
      </c>
      <c r="T307" s="61" t="s">
        <v>31</v>
      </c>
      <c r="U307" s="61" t="s">
        <v>2130</v>
      </c>
      <c r="V307" s="61" t="s">
        <v>2131</v>
      </c>
      <c r="W307" s="62">
        <v>43472</v>
      </c>
      <c r="X307" s="37" t="s">
        <v>30</v>
      </c>
      <c r="Y307" s="37">
        <v>0</v>
      </c>
      <c r="Z307" s="37" t="s">
        <v>31</v>
      </c>
      <c r="AA307" s="37" t="s">
        <v>31</v>
      </c>
      <c r="AB307" s="37" t="s">
        <v>513</v>
      </c>
      <c r="AC307" s="61"/>
      <c r="AD307" s="34"/>
      <c r="AE307" s="98" t="s">
        <v>28</v>
      </c>
      <c r="AF307" s="36">
        <v>44191</v>
      </c>
      <c r="AG307" s="36">
        <v>44191</v>
      </c>
      <c r="AH307" s="37"/>
      <c r="AI307" s="72">
        <v>44185</v>
      </c>
      <c r="AJ307" s="38" t="s">
        <v>27</v>
      </c>
      <c r="AK307" s="39" t="e">
        <f>VLOOKUP(A307,'[1]Externe MAJ Nov'!$A:$H,8,0)</f>
        <v>#N/A</v>
      </c>
      <c r="AL307" s="61"/>
      <c r="AM307" s="61"/>
      <c r="AN307" s="61"/>
      <c r="AO307" s="58">
        <v>44185</v>
      </c>
      <c r="AP307" s="29" t="e">
        <f>VLOOKUP(A307,'[2]External Scan 02_21'!$B:$J,9,0)</f>
        <v>#N/A</v>
      </c>
      <c r="AQ307" s="29" t="s">
        <v>28</v>
      </c>
      <c r="AR307" s="21"/>
      <c r="AS307" s="21" t="str">
        <f>VLOOKUP(AE307,'ref statu'!A:B,2,0)</f>
        <v>Fixed</v>
      </c>
      <c r="AT307" s="8" t="e">
        <f>VLOOKUP(A307,chk!A:B,2,0)</f>
        <v>#N/A</v>
      </c>
      <c r="AU307" s="29" t="e">
        <f>VLOOKUP(A307,checker!A:B,2,0)</f>
        <v>#N/A</v>
      </c>
      <c r="AV307" s="29" t="e">
        <f>VLOOKUP(A307,checker!B:C,2,0)</f>
        <v>#N/A</v>
      </c>
    </row>
    <row r="308" spans="1:48" x14ac:dyDescent="0.3">
      <c r="A308" s="29" t="str">
        <f t="shared" si="4"/>
        <v>96.692.66.646/0/oracle_linux-cve-2019-6133</v>
      </c>
      <c r="B308" s="61" t="s">
        <v>2997</v>
      </c>
      <c r="C308" s="61" t="s">
        <v>528</v>
      </c>
      <c r="D308" s="61" t="s">
        <v>2964</v>
      </c>
      <c r="E308" s="61" t="s">
        <v>28</v>
      </c>
      <c r="F308" s="61" t="s">
        <v>529</v>
      </c>
      <c r="G308" s="61" t="s">
        <v>530</v>
      </c>
      <c r="H308" s="61" t="s">
        <v>531</v>
      </c>
      <c r="I308" s="37" t="s">
        <v>532</v>
      </c>
      <c r="J308" s="37">
        <v>0</v>
      </c>
      <c r="K308" s="61" t="s">
        <v>258</v>
      </c>
      <c r="L308" s="61" t="s">
        <v>31</v>
      </c>
      <c r="M308" s="9">
        <v>4</v>
      </c>
      <c r="N308" s="9" t="s">
        <v>29</v>
      </c>
      <c r="O308" s="61" t="s">
        <v>2132</v>
      </c>
      <c r="P308" s="61" t="s">
        <v>2133</v>
      </c>
      <c r="Q308" s="61" t="s">
        <v>2134</v>
      </c>
      <c r="R308" s="61" t="s">
        <v>2135</v>
      </c>
      <c r="S308" s="61" t="s">
        <v>2136</v>
      </c>
      <c r="T308" s="61" t="s">
        <v>31</v>
      </c>
      <c r="U308" s="61" t="s">
        <v>2137</v>
      </c>
      <c r="V308" s="61" t="s">
        <v>2138</v>
      </c>
      <c r="W308" s="62">
        <v>43476</v>
      </c>
      <c r="X308" s="37" t="s">
        <v>30</v>
      </c>
      <c r="Y308" s="37">
        <v>0</v>
      </c>
      <c r="Z308" s="37" t="s">
        <v>31</v>
      </c>
      <c r="AA308" s="37" t="s">
        <v>31</v>
      </c>
      <c r="AB308" s="37" t="s">
        <v>513</v>
      </c>
      <c r="AC308" s="61"/>
      <c r="AD308" s="34"/>
      <c r="AE308" s="98" t="s">
        <v>28</v>
      </c>
      <c r="AF308" s="36">
        <v>44191</v>
      </c>
      <c r="AG308" s="36">
        <v>44191</v>
      </c>
      <c r="AH308" s="37"/>
      <c r="AI308" s="72">
        <v>44185</v>
      </c>
      <c r="AJ308" s="38" t="s">
        <v>27</v>
      </c>
      <c r="AK308" s="39" t="e">
        <f>VLOOKUP(A308,'[1]Externe MAJ Nov'!$A:$H,8,0)</f>
        <v>#N/A</v>
      </c>
      <c r="AL308" s="61"/>
      <c r="AM308" s="61"/>
      <c r="AN308" s="61"/>
      <c r="AO308" s="58">
        <v>44185</v>
      </c>
      <c r="AP308" s="29" t="e">
        <f>VLOOKUP(A308,'[2]External Scan 02_21'!$B:$J,9,0)</f>
        <v>#N/A</v>
      </c>
      <c r="AQ308" s="29" t="s">
        <v>28</v>
      </c>
      <c r="AR308" s="21"/>
      <c r="AS308" s="21" t="str">
        <f>VLOOKUP(AE308,'ref statu'!A:B,2,0)</f>
        <v>Fixed</v>
      </c>
      <c r="AT308" s="8" t="e">
        <f>VLOOKUP(A308,chk!A:B,2,0)</f>
        <v>#N/A</v>
      </c>
      <c r="AU308" s="29" t="e">
        <f>VLOOKUP(A308,checker!A:B,2,0)</f>
        <v>#N/A</v>
      </c>
      <c r="AV308" s="29" t="e">
        <f>VLOOKUP(A308,checker!B:C,2,0)</f>
        <v>#N/A</v>
      </c>
    </row>
    <row r="309" spans="1:48" x14ac:dyDescent="0.3">
      <c r="A309" s="29" t="str">
        <f t="shared" si="4"/>
        <v>96.692.66.646/0/oracle_linux-cve-2019-6974</v>
      </c>
      <c r="B309" s="61" t="s">
        <v>2997</v>
      </c>
      <c r="C309" s="61" t="s">
        <v>528</v>
      </c>
      <c r="D309" s="61" t="s">
        <v>2964</v>
      </c>
      <c r="E309" s="61" t="s">
        <v>28</v>
      </c>
      <c r="F309" s="61" t="s">
        <v>529</v>
      </c>
      <c r="G309" s="61" t="s">
        <v>530</v>
      </c>
      <c r="H309" s="61" t="s">
        <v>531</v>
      </c>
      <c r="I309" s="37" t="s">
        <v>532</v>
      </c>
      <c r="J309" s="37">
        <v>0</v>
      </c>
      <c r="K309" s="61" t="s">
        <v>258</v>
      </c>
      <c r="L309" s="61" t="s">
        <v>31</v>
      </c>
      <c r="M309" s="9">
        <v>7</v>
      </c>
      <c r="N309" s="10" t="s">
        <v>2540</v>
      </c>
      <c r="O309" s="61" t="s">
        <v>2139</v>
      </c>
      <c r="P309" s="61" t="s">
        <v>2140</v>
      </c>
      <c r="Q309" s="61" t="s">
        <v>2141</v>
      </c>
      <c r="R309" s="61" t="s">
        <v>1350</v>
      </c>
      <c r="S309" s="61" t="s">
        <v>2142</v>
      </c>
      <c r="T309" s="61" t="s">
        <v>31</v>
      </c>
      <c r="U309" s="61" t="s">
        <v>2143</v>
      </c>
      <c r="V309" s="61" t="s">
        <v>2144</v>
      </c>
      <c r="W309" s="62">
        <v>43511</v>
      </c>
      <c r="X309" s="37" t="s">
        <v>30</v>
      </c>
      <c r="Y309" s="37">
        <v>1</v>
      </c>
      <c r="Z309" s="37" t="s">
        <v>279</v>
      </c>
      <c r="AA309" s="37" t="s">
        <v>2145</v>
      </c>
      <c r="AB309" s="37" t="s">
        <v>513</v>
      </c>
      <c r="AC309" s="61"/>
      <c r="AD309" s="33"/>
      <c r="AE309" s="98" t="s">
        <v>28</v>
      </c>
      <c r="AF309" s="36">
        <v>44191</v>
      </c>
      <c r="AG309" s="36">
        <v>44191</v>
      </c>
      <c r="AH309" s="37"/>
      <c r="AI309" s="72">
        <v>44185</v>
      </c>
      <c r="AJ309" s="38" t="s">
        <v>27</v>
      </c>
      <c r="AK309" s="39" t="e">
        <f>VLOOKUP(A309,'[1]Externe MAJ Nov'!$A:$H,8,0)</f>
        <v>#N/A</v>
      </c>
      <c r="AL309" s="61"/>
      <c r="AM309" s="61"/>
      <c r="AN309" s="61"/>
      <c r="AO309" s="58">
        <v>44185</v>
      </c>
      <c r="AP309" s="29" t="e">
        <f>VLOOKUP(A309,'[2]External Scan 02_21'!$B:$J,9,0)</f>
        <v>#N/A</v>
      </c>
      <c r="AQ309" s="29" t="s">
        <v>28</v>
      </c>
      <c r="AR309" s="21"/>
      <c r="AS309" s="21" t="str">
        <f>VLOOKUP(AE309,'ref statu'!A:B,2,0)</f>
        <v>Fixed</v>
      </c>
      <c r="AT309" s="8" t="e">
        <f>VLOOKUP(A309,chk!A:B,2,0)</f>
        <v>#N/A</v>
      </c>
      <c r="AU309" s="29" t="e">
        <f>VLOOKUP(A309,checker!A:B,2,0)</f>
        <v>#N/A</v>
      </c>
      <c r="AV309" s="29" t="e">
        <f>VLOOKUP(A309,checker!B:C,2,0)</f>
        <v>#N/A</v>
      </c>
    </row>
    <row r="310" spans="1:48" x14ac:dyDescent="0.3">
      <c r="A310" s="29" t="str">
        <f t="shared" si="4"/>
        <v>96.692.66.646/0/oracle_linux-cve-2019-7221</v>
      </c>
      <c r="B310" s="61" t="s">
        <v>2997</v>
      </c>
      <c r="C310" s="61" t="s">
        <v>528</v>
      </c>
      <c r="D310" s="61" t="s">
        <v>2964</v>
      </c>
      <c r="E310" s="61" t="s">
        <v>28</v>
      </c>
      <c r="F310" s="61" t="s">
        <v>529</v>
      </c>
      <c r="G310" s="61" t="s">
        <v>530</v>
      </c>
      <c r="H310" s="61" t="s">
        <v>531</v>
      </c>
      <c r="I310" s="37" t="s">
        <v>532</v>
      </c>
      <c r="J310" s="37">
        <v>0</v>
      </c>
      <c r="K310" s="61" t="s">
        <v>258</v>
      </c>
      <c r="L310" s="61" t="s">
        <v>31</v>
      </c>
      <c r="M310" s="9">
        <v>5</v>
      </c>
      <c r="N310" s="9" t="s">
        <v>29</v>
      </c>
      <c r="O310" s="61" t="s">
        <v>2146</v>
      </c>
      <c r="P310" s="61" t="s">
        <v>2147</v>
      </c>
      <c r="Q310" s="61" t="s">
        <v>2148</v>
      </c>
      <c r="R310" s="61" t="s">
        <v>1350</v>
      </c>
      <c r="S310" s="61" t="s">
        <v>2149</v>
      </c>
      <c r="T310" s="61" t="s">
        <v>31</v>
      </c>
      <c r="U310" s="61" t="s">
        <v>2150</v>
      </c>
      <c r="V310" s="61" t="s">
        <v>2151</v>
      </c>
      <c r="W310" s="62">
        <v>43514</v>
      </c>
      <c r="X310" s="37" t="s">
        <v>30</v>
      </c>
      <c r="Y310" s="37">
        <v>0</v>
      </c>
      <c r="Z310" s="37" t="s">
        <v>31</v>
      </c>
      <c r="AA310" s="37" t="s">
        <v>31</v>
      </c>
      <c r="AB310" s="37" t="s">
        <v>513</v>
      </c>
      <c r="AC310" s="61"/>
      <c r="AD310" s="34"/>
      <c r="AE310" s="98" t="s">
        <v>28</v>
      </c>
      <c r="AF310" s="36">
        <v>44191</v>
      </c>
      <c r="AG310" s="36">
        <v>44191</v>
      </c>
      <c r="AH310" s="37"/>
      <c r="AI310" s="72">
        <v>44185</v>
      </c>
      <c r="AJ310" s="38" t="s">
        <v>27</v>
      </c>
      <c r="AK310" s="39" t="e">
        <f>VLOOKUP(A310,'[1]Externe MAJ Nov'!$A:$H,8,0)</f>
        <v>#N/A</v>
      </c>
      <c r="AL310" s="61"/>
      <c r="AM310" s="61"/>
      <c r="AN310" s="61"/>
      <c r="AO310" s="58">
        <v>44185</v>
      </c>
      <c r="AP310" s="29" t="e">
        <f>VLOOKUP(A310,'[2]External Scan 02_21'!$B:$J,9,0)</f>
        <v>#N/A</v>
      </c>
      <c r="AQ310" s="29" t="s">
        <v>28</v>
      </c>
      <c r="AR310" s="21"/>
      <c r="AS310" s="21" t="str">
        <f>VLOOKUP(AE310,'ref statu'!A:B,2,0)</f>
        <v>Fixed</v>
      </c>
      <c r="AT310" s="8" t="e">
        <f>VLOOKUP(A310,chk!A:B,2,0)</f>
        <v>#N/A</v>
      </c>
      <c r="AU310" s="29" t="e">
        <f>VLOOKUP(A310,checker!A:B,2,0)</f>
        <v>#N/A</v>
      </c>
      <c r="AV310" s="29" t="e">
        <f>VLOOKUP(A310,checker!B:C,2,0)</f>
        <v>#N/A</v>
      </c>
    </row>
    <row r="311" spans="1:48" x14ac:dyDescent="0.3">
      <c r="A311" s="29" t="str">
        <f t="shared" si="4"/>
        <v>96.692.66.646/0/oracle_linux-cve-2019-7222</v>
      </c>
      <c r="B311" s="61" t="s">
        <v>2997</v>
      </c>
      <c r="C311" s="61" t="s">
        <v>528</v>
      </c>
      <c r="D311" s="61" t="s">
        <v>2964</v>
      </c>
      <c r="E311" s="61" t="s">
        <v>28</v>
      </c>
      <c r="F311" s="61" t="s">
        <v>529</v>
      </c>
      <c r="G311" s="61" t="s">
        <v>530</v>
      </c>
      <c r="H311" s="61" t="s">
        <v>531</v>
      </c>
      <c r="I311" s="37" t="s">
        <v>532</v>
      </c>
      <c r="J311" s="37">
        <v>0</v>
      </c>
      <c r="K311" s="61" t="s">
        <v>258</v>
      </c>
      <c r="L311" s="61" t="s">
        <v>31</v>
      </c>
      <c r="M311" s="9">
        <v>2</v>
      </c>
      <c r="N311" s="9" t="s">
        <v>42</v>
      </c>
      <c r="O311" s="61" t="s">
        <v>2152</v>
      </c>
      <c r="P311" s="61" t="s">
        <v>2153</v>
      </c>
      <c r="Q311" s="61" t="s">
        <v>2154</v>
      </c>
      <c r="R311" s="61" t="s">
        <v>1350</v>
      </c>
      <c r="S311" s="61" t="s">
        <v>2155</v>
      </c>
      <c r="T311" s="61" t="s">
        <v>31</v>
      </c>
      <c r="U311" s="61" t="s">
        <v>2156</v>
      </c>
      <c r="V311" s="61" t="s">
        <v>2157</v>
      </c>
      <c r="W311" s="62">
        <v>43514</v>
      </c>
      <c r="X311" s="37" t="s">
        <v>30</v>
      </c>
      <c r="Y311" s="37">
        <v>0</v>
      </c>
      <c r="Z311" s="37" t="s">
        <v>31</v>
      </c>
      <c r="AA311" s="37" t="s">
        <v>31</v>
      </c>
      <c r="AB311" s="37" t="s">
        <v>513</v>
      </c>
      <c r="AC311" s="61"/>
      <c r="AD311" s="34"/>
      <c r="AE311" s="98" t="s">
        <v>28</v>
      </c>
      <c r="AF311" s="36">
        <v>44191</v>
      </c>
      <c r="AG311" s="36">
        <v>44191</v>
      </c>
      <c r="AH311" s="37"/>
      <c r="AI311" s="72">
        <v>44185</v>
      </c>
      <c r="AJ311" s="38" t="s">
        <v>27</v>
      </c>
      <c r="AK311" s="39" t="e">
        <f>VLOOKUP(A311,'[1]Externe MAJ Nov'!$A:$H,8,0)</f>
        <v>#N/A</v>
      </c>
      <c r="AL311" s="61"/>
      <c r="AM311" s="61"/>
      <c r="AN311" s="61"/>
      <c r="AO311" s="58">
        <v>44185</v>
      </c>
      <c r="AP311" s="29" t="e">
        <f>VLOOKUP(A311,'[2]External Scan 02_21'!$B:$J,9,0)</f>
        <v>#N/A</v>
      </c>
      <c r="AQ311" s="29" t="s">
        <v>28</v>
      </c>
      <c r="AR311" s="21"/>
      <c r="AS311" s="21" t="str">
        <f>VLOOKUP(AE311,'ref statu'!A:B,2,0)</f>
        <v>Fixed</v>
      </c>
      <c r="AT311" s="8" t="e">
        <f>VLOOKUP(A311,chk!A:B,2,0)</f>
        <v>#N/A</v>
      </c>
      <c r="AU311" s="29" t="e">
        <f>VLOOKUP(A311,checker!A:B,2,0)</f>
        <v>#N/A</v>
      </c>
      <c r="AV311" s="29" t="e">
        <f>VLOOKUP(A311,checker!B:C,2,0)</f>
        <v>#N/A</v>
      </c>
    </row>
    <row r="312" spans="1:48" x14ac:dyDescent="0.3">
      <c r="A312" s="29" t="str">
        <f t="shared" si="4"/>
        <v>96.692.66.646/0/oracle_linux-cve-2019-9503</v>
      </c>
      <c r="B312" s="61" t="s">
        <v>2997</v>
      </c>
      <c r="C312" s="61" t="s">
        <v>528</v>
      </c>
      <c r="D312" s="61" t="s">
        <v>2964</v>
      </c>
      <c r="E312" s="61" t="s">
        <v>28</v>
      </c>
      <c r="F312" s="61" t="s">
        <v>529</v>
      </c>
      <c r="G312" s="61" t="s">
        <v>530</v>
      </c>
      <c r="H312" s="61" t="s">
        <v>531</v>
      </c>
      <c r="I312" s="37" t="s">
        <v>532</v>
      </c>
      <c r="J312" s="37">
        <v>0</v>
      </c>
      <c r="K312" s="61" t="s">
        <v>258</v>
      </c>
      <c r="L312" s="61" t="s">
        <v>31</v>
      </c>
      <c r="M312" s="9">
        <v>8</v>
      </c>
      <c r="N312" s="10" t="s">
        <v>2540</v>
      </c>
      <c r="O312" s="61" t="s">
        <v>2158</v>
      </c>
      <c r="P312" s="61" t="s">
        <v>2159</v>
      </c>
      <c r="Q312" s="61" t="s">
        <v>2160</v>
      </c>
      <c r="R312" s="61" t="s">
        <v>606</v>
      </c>
      <c r="S312" s="61" t="s">
        <v>2161</v>
      </c>
      <c r="T312" s="61" t="s">
        <v>31</v>
      </c>
      <c r="U312" s="61" t="s">
        <v>2162</v>
      </c>
      <c r="V312" s="61" t="s">
        <v>2163</v>
      </c>
      <c r="W312" s="62">
        <v>43600</v>
      </c>
      <c r="X312" s="37" t="s">
        <v>30</v>
      </c>
      <c r="Y312" s="37">
        <v>0</v>
      </c>
      <c r="Z312" s="37" t="s">
        <v>31</v>
      </c>
      <c r="AA312" s="37" t="s">
        <v>31</v>
      </c>
      <c r="AB312" s="37" t="s">
        <v>513</v>
      </c>
      <c r="AC312" s="61"/>
      <c r="AD312" s="33"/>
      <c r="AE312" s="98" t="s">
        <v>28</v>
      </c>
      <c r="AF312" s="36">
        <v>44191</v>
      </c>
      <c r="AG312" s="36">
        <v>44191</v>
      </c>
      <c r="AH312" s="37"/>
      <c r="AI312" s="72">
        <v>44185</v>
      </c>
      <c r="AJ312" s="38" t="s">
        <v>27</v>
      </c>
      <c r="AK312" s="39" t="e">
        <f>VLOOKUP(A312,'[1]Externe MAJ Nov'!$A:$H,8,0)</f>
        <v>#N/A</v>
      </c>
      <c r="AL312" s="61"/>
      <c r="AM312" s="61"/>
      <c r="AN312" s="61"/>
      <c r="AO312" s="58">
        <v>44185</v>
      </c>
      <c r="AP312" s="29" t="e">
        <f>VLOOKUP(A312,'[2]External Scan 02_21'!$B:$J,9,0)</f>
        <v>#N/A</v>
      </c>
      <c r="AQ312" s="29" t="s">
        <v>28</v>
      </c>
      <c r="AR312" s="21"/>
      <c r="AS312" s="21" t="str">
        <f>VLOOKUP(AE312,'ref statu'!A:B,2,0)</f>
        <v>Fixed</v>
      </c>
      <c r="AT312" s="8" t="e">
        <f>VLOOKUP(A312,chk!A:B,2,0)</f>
        <v>#N/A</v>
      </c>
      <c r="AU312" s="29" t="e">
        <f>VLOOKUP(A312,checker!A:B,2,0)</f>
        <v>#N/A</v>
      </c>
      <c r="AV312" s="29" t="e">
        <f>VLOOKUP(A312,checker!B:C,2,0)</f>
        <v>#N/A</v>
      </c>
    </row>
    <row r="313" spans="1:48" x14ac:dyDescent="0.3">
      <c r="A313" s="29" t="str">
        <f t="shared" si="4"/>
        <v>96.692.66.646/0/oracle_linux-cve-2020-0543</v>
      </c>
      <c r="B313" s="61" t="s">
        <v>2997</v>
      </c>
      <c r="C313" s="61" t="s">
        <v>528</v>
      </c>
      <c r="D313" s="61" t="s">
        <v>2964</v>
      </c>
      <c r="E313" s="61" t="s">
        <v>28</v>
      </c>
      <c r="F313" s="61" t="s">
        <v>529</v>
      </c>
      <c r="G313" s="61" t="s">
        <v>530</v>
      </c>
      <c r="H313" s="61" t="s">
        <v>531</v>
      </c>
      <c r="I313" s="37" t="s">
        <v>532</v>
      </c>
      <c r="J313" s="37">
        <v>0</v>
      </c>
      <c r="K313" s="61" t="s">
        <v>258</v>
      </c>
      <c r="L313" s="61" t="s">
        <v>31</v>
      </c>
      <c r="M313" s="9">
        <v>2</v>
      </c>
      <c r="N313" s="9" t="s">
        <v>42</v>
      </c>
      <c r="O313" s="61" t="s">
        <v>2164</v>
      </c>
      <c r="P313" s="61" t="s">
        <v>2165</v>
      </c>
      <c r="Q313" s="61" t="s">
        <v>2166</v>
      </c>
      <c r="R313" s="61" t="s">
        <v>2167</v>
      </c>
      <c r="S313" s="61" t="s">
        <v>2168</v>
      </c>
      <c r="T313" s="61" t="s">
        <v>31</v>
      </c>
      <c r="U313" s="61" t="s">
        <v>2169</v>
      </c>
      <c r="V313" s="61" t="s">
        <v>2170</v>
      </c>
      <c r="W313" s="62">
        <v>43992</v>
      </c>
      <c r="X313" s="37" t="s">
        <v>30</v>
      </c>
      <c r="Y313" s="37">
        <v>0</v>
      </c>
      <c r="Z313" s="37" t="s">
        <v>31</v>
      </c>
      <c r="AA313" s="37" t="s">
        <v>31</v>
      </c>
      <c r="AB313" s="37" t="s">
        <v>513</v>
      </c>
      <c r="AC313" s="61"/>
      <c r="AD313" s="34"/>
      <c r="AE313" s="98" t="s">
        <v>28</v>
      </c>
      <c r="AF313" s="36">
        <v>44191</v>
      </c>
      <c r="AG313" s="36">
        <v>44191</v>
      </c>
      <c r="AH313" s="37"/>
      <c r="AI313" s="72">
        <v>44185</v>
      </c>
      <c r="AJ313" s="38" t="s">
        <v>27</v>
      </c>
      <c r="AK313" s="39" t="e">
        <f>VLOOKUP(A313,'[1]Externe MAJ Nov'!$A:$H,8,0)</f>
        <v>#N/A</v>
      </c>
      <c r="AL313" s="61"/>
      <c r="AM313" s="61"/>
      <c r="AN313" s="61"/>
      <c r="AO313" s="58">
        <v>44185</v>
      </c>
      <c r="AP313" s="29" t="e">
        <f>VLOOKUP(A313,'[2]External Scan 02_21'!$B:$J,9,0)</f>
        <v>#N/A</v>
      </c>
      <c r="AQ313" s="29" t="s">
        <v>28</v>
      </c>
      <c r="AR313" s="21"/>
      <c r="AS313" s="21" t="str">
        <f>VLOOKUP(AE313,'ref statu'!A:B,2,0)</f>
        <v>Fixed</v>
      </c>
      <c r="AT313" s="8" t="e">
        <f>VLOOKUP(A313,chk!A:B,2,0)</f>
        <v>#N/A</v>
      </c>
      <c r="AU313" s="29" t="e">
        <f>VLOOKUP(A313,checker!A:B,2,0)</f>
        <v>#N/A</v>
      </c>
      <c r="AV313" s="29" t="e">
        <f>VLOOKUP(A313,checker!B:C,2,0)</f>
        <v>#N/A</v>
      </c>
    </row>
    <row r="314" spans="1:48" x14ac:dyDescent="0.3">
      <c r="A314" s="29" t="str">
        <f t="shared" si="4"/>
        <v>96.692.66.646/0/oracle_linux-cve-2020-10720</v>
      </c>
      <c r="B314" s="61" t="s">
        <v>2997</v>
      </c>
      <c r="C314" s="61" t="s">
        <v>528</v>
      </c>
      <c r="D314" s="61" t="s">
        <v>2964</v>
      </c>
      <c r="E314" s="61" t="s">
        <v>28</v>
      </c>
      <c r="F314" s="61" t="s">
        <v>529</v>
      </c>
      <c r="G314" s="61" t="s">
        <v>530</v>
      </c>
      <c r="H314" s="61" t="s">
        <v>531</v>
      </c>
      <c r="I314" s="37" t="s">
        <v>532</v>
      </c>
      <c r="J314" s="37">
        <v>0</v>
      </c>
      <c r="K314" s="61" t="s">
        <v>258</v>
      </c>
      <c r="L314" s="61" t="s">
        <v>31</v>
      </c>
      <c r="M314" s="9">
        <v>5</v>
      </c>
      <c r="N314" s="9" t="s">
        <v>29</v>
      </c>
      <c r="O314" s="61" t="s">
        <v>2171</v>
      </c>
      <c r="P314" s="61" t="s">
        <v>2172</v>
      </c>
      <c r="Q314" s="61" t="s">
        <v>2173</v>
      </c>
      <c r="R314" s="61" t="s">
        <v>536</v>
      </c>
      <c r="S314" s="61" t="s">
        <v>2174</v>
      </c>
      <c r="T314" s="61" t="s">
        <v>31</v>
      </c>
      <c r="U314" s="61" t="s">
        <v>2175</v>
      </c>
      <c r="V314" s="61" t="s">
        <v>2176</v>
      </c>
      <c r="W314" s="62">
        <v>43963</v>
      </c>
      <c r="X314" s="37" t="s">
        <v>30</v>
      </c>
      <c r="Y314" s="37">
        <v>0</v>
      </c>
      <c r="Z314" s="37" t="s">
        <v>31</v>
      </c>
      <c r="AA314" s="37" t="s">
        <v>31</v>
      </c>
      <c r="AB314" s="37" t="s">
        <v>513</v>
      </c>
      <c r="AC314" s="61"/>
      <c r="AD314" s="34"/>
      <c r="AE314" s="98" t="s">
        <v>28</v>
      </c>
      <c r="AF314" s="36">
        <v>44191</v>
      </c>
      <c r="AG314" s="36">
        <v>44191</v>
      </c>
      <c r="AH314" s="37"/>
      <c r="AI314" s="72">
        <v>44185</v>
      </c>
      <c r="AJ314" s="38" t="s">
        <v>27</v>
      </c>
      <c r="AK314" s="39" t="e">
        <f>VLOOKUP(A314,'[1]Externe MAJ Nov'!$A:$H,8,0)</f>
        <v>#N/A</v>
      </c>
      <c r="AL314" s="61"/>
      <c r="AM314" s="61"/>
      <c r="AN314" s="61"/>
      <c r="AO314" s="58">
        <v>44185</v>
      </c>
      <c r="AP314" s="29" t="e">
        <f>VLOOKUP(A314,'[2]External Scan 02_21'!$B:$J,9,0)</f>
        <v>#N/A</v>
      </c>
      <c r="AQ314" s="29" t="s">
        <v>28</v>
      </c>
      <c r="AR314" s="21"/>
      <c r="AS314" s="21" t="str">
        <f>VLOOKUP(AE314,'ref statu'!A:B,2,0)</f>
        <v>Fixed</v>
      </c>
      <c r="AT314" s="8" t="e">
        <f>VLOOKUP(A314,chk!A:B,2,0)</f>
        <v>#N/A</v>
      </c>
      <c r="AU314" s="29" t="e">
        <f>VLOOKUP(A314,checker!A:B,2,0)</f>
        <v>#N/A</v>
      </c>
      <c r="AV314" s="29" t="e">
        <f>VLOOKUP(A314,checker!B:C,2,0)</f>
        <v>#N/A</v>
      </c>
    </row>
    <row r="315" spans="1:48" x14ac:dyDescent="0.3">
      <c r="A315" s="29" t="str">
        <f t="shared" si="4"/>
        <v>96.692.66.646/0/oracle_linux-cve-2020-10732</v>
      </c>
      <c r="B315" s="61" t="s">
        <v>2997</v>
      </c>
      <c r="C315" s="61" t="s">
        <v>528</v>
      </c>
      <c r="D315" s="61" t="s">
        <v>2964</v>
      </c>
      <c r="E315" s="61" t="s">
        <v>28</v>
      </c>
      <c r="F315" s="61" t="s">
        <v>529</v>
      </c>
      <c r="G315" s="61" t="s">
        <v>530</v>
      </c>
      <c r="H315" s="61" t="s">
        <v>531</v>
      </c>
      <c r="I315" s="37" t="s">
        <v>532</v>
      </c>
      <c r="J315" s="37">
        <v>0</v>
      </c>
      <c r="K315" s="61" t="s">
        <v>258</v>
      </c>
      <c r="L315" s="61" t="s">
        <v>31</v>
      </c>
      <c r="M315" s="9">
        <v>4</v>
      </c>
      <c r="N315" s="9" t="s">
        <v>29</v>
      </c>
      <c r="O315" s="61" t="s">
        <v>2177</v>
      </c>
      <c r="P315" s="61" t="s">
        <v>2178</v>
      </c>
      <c r="Q315" s="61" t="s">
        <v>2179</v>
      </c>
      <c r="R315" s="61" t="s">
        <v>1350</v>
      </c>
      <c r="S315" s="61" t="s">
        <v>2180</v>
      </c>
      <c r="T315" s="61" t="s">
        <v>31</v>
      </c>
      <c r="U315" s="61" t="s">
        <v>2181</v>
      </c>
      <c r="V315" s="61" t="s">
        <v>2182</v>
      </c>
      <c r="W315" s="62">
        <v>43992</v>
      </c>
      <c r="X315" s="37" t="s">
        <v>30</v>
      </c>
      <c r="Y315" s="37">
        <v>0</v>
      </c>
      <c r="Z315" s="37" t="s">
        <v>31</v>
      </c>
      <c r="AA315" s="37" t="s">
        <v>31</v>
      </c>
      <c r="AB315" s="37" t="s">
        <v>513</v>
      </c>
      <c r="AC315" s="61"/>
      <c r="AD315" s="33"/>
      <c r="AE315" s="98" t="s">
        <v>28</v>
      </c>
      <c r="AF315" s="36">
        <v>44191</v>
      </c>
      <c r="AG315" s="36">
        <v>44191</v>
      </c>
      <c r="AH315" s="37"/>
      <c r="AI315" s="72">
        <v>44185</v>
      </c>
      <c r="AJ315" s="38" t="s">
        <v>27</v>
      </c>
      <c r="AK315" s="39" t="e">
        <f>VLOOKUP(A315,'[1]Externe MAJ Nov'!$A:$H,8,0)</f>
        <v>#N/A</v>
      </c>
      <c r="AL315" s="61"/>
      <c r="AM315" s="61"/>
      <c r="AN315" s="61"/>
      <c r="AO315" s="58">
        <v>44185</v>
      </c>
      <c r="AP315" s="29" t="e">
        <f>VLOOKUP(A315,'[2]External Scan 02_21'!$B:$J,9,0)</f>
        <v>#N/A</v>
      </c>
      <c r="AQ315" s="29" t="s">
        <v>28</v>
      </c>
      <c r="AR315" s="21"/>
      <c r="AS315" s="21" t="str">
        <f>VLOOKUP(AE315,'ref statu'!A:B,2,0)</f>
        <v>Fixed</v>
      </c>
      <c r="AT315" s="8" t="e">
        <f>VLOOKUP(A315,chk!A:B,2,0)</f>
        <v>#N/A</v>
      </c>
      <c r="AU315" s="29" t="e">
        <f>VLOOKUP(A315,checker!A:B,2,0)</f>
        <v>#N/A</v>
      </c>
      <c r="AV315" s="29" t="e">
        <f>VLOOKUP(A315,checker!B:C,2,0)</f>
        <v>#N/A</v>
      </c>
    </row>
    <row r="316" spans="1:48" x14ac:dyDescent="0.3">
      <c r="A316" s="29" t="str">
        <f t="shared" si="4"/>
        <v>96.692.66.646/0/oracle_linux-cve-2020-10751</v>
      </c>
      <c r="B316" s="61" t="s">
        <v>2997</v>
      </c>
      <c r="C316" s="61" t="s">
        <v>528</v>
      </c>
      <c r="D316" s="61" t="s">
        <v>2964</v>
      </c>
      <c r="E316" s="61" t="s">
        <v>28</v>
      </c>
      <c r="F316" s="61" t="s">
        <v>529</v>
      </c>
      <c r="G316" s="61" t="s">
        <v>530</v>
      </c>
      <c r="H316" s="61" t="s">
        <v>531</v>
      </c>
      <c r="I316" s="37" t="s">
        <v>532</v>
      </c>
      <c r="J316" s="37">
        <v>0</v>
      </c>
      <c r="K316" s="61" t="s">
        <v>258</v>
      </c>
      <c r="L316" s="61" t="s">
        <v>31</v>
      </c>
      <c r="M316" s="9">
        <v>4</v>
      </c>
      <c r="N316" s="9" t="s">
        <v>29</v>
      </c>
      <c r="O316" s="61" t="s">
        <v>2183</v>
      </c>
      <c r="P316" s="61" t="s">
        <v>2184</v>
      </c>
      <c r="Q316" s="61" t="s">
        <v>2185</v>
      </c>
      <c r="R316" s="61" t="s">
        <v>1350</v>
      </c>
      <c r="S316" s="61" t="s">
        <v>2186</v>
      </c>
      <c r="T316" s="61" t="s">
        <v>31</v>
      </c>
      <c r="U316" s="61" t="s">
        <v>2187</v>
      </c>
      <c r="V316" s="61" t="s">
        <v>2188</v>
      </c>
      <c r="W316" s="62">
        <v>43977</v>
      </c>
      <c r="X316" s="37" t="s">
        <v>30</v>
      </c>
      <c r="Y316" s="37">
        <v>0</v>
      </c>
      <c r="Z316" s="37" t="s">
        <v>31</v>
      </c>
      <c r="AA316" s="37" t="s">
        <v>31</v>
      </c>
      <c r="AB316" s="37" t="s">
        <v>513</v>
      </c>
      <c r="AC316" s="61"/>
      <c r="AD316" s="34"/>
      <c r="AE316" s="98" t="s">
        <v>28</v>
      </c>
      <c r="AF316" s="36">
        <v>44191</v>
      </c>
      <c r="AG316" s="36">
        <v>44191</v>
      </c>
      <c r="AH316" s="37"/>
      <c r="AI316" s="72">
        <v>44185</v>
      </c>
      <c r="AJ316" s="38" t="s">
        <v>27</v>
      </c>
      <c r="AK316" s="39" t="e">
        <f>VLOOKUP(A316,'[1]Externe MAJ Nov'!$A:$H,8,0)</f>
        <v>#N/A</v>
      </c>
      <c r="AL316" s="61"/>
      <c r="AM316" s="61"/>
      <c r="AN316" s="61"/>
      <c r="AO316" s="58">
        <v>44185</v>
      </c>
      <c r="AP316" s="29" t="e">
        <f>VLOOKUP(A316,'[2]External Scan 02_21'!$B:$J,9,0)</f>
        <v>#N/A</v>
      </c>
      <c r="AQ316" s="29" t="s">
        <v>28</v>
      </c>
      <c r="AR316" s="21"/>
      <c r="AS316" s="21" t="str">
        <f>VLOOKUP(AE316,'ref statu'!A:B,2,0)</f>
        <v>Fixed</v>
      </c>
      <c r="AT316" s="8" t="e">
        <f>VLOOKUP(A316,chk!A:B,2,0)</f>
        <v>#N/A</v>
      </c>
      <c r="AU316" s="29" t="e">
        <f>VLOOKUP(A316,checker!A:B,2,0)</f>
        <v>#N/A</v>
      </c>
      <c r="AV316" s="29" t="e">
        <f>VLOOKUP(A316,checker!B:C,2,0)</f>
        <v>#N/A</v>
      </c>
    </row>
    <row r="317" spans="1:48" x14ac:dyDescent="0.3">
      <c r="A317" s="29" t="str">
        <f t="shared" si="4"/>
        <v>96.692.66.646/0/oracle_linux-cve-2020-10769</v>
      </c>
      <c r="B317" s="61" t="s">
        <v>2997</v>
      </c>
      <c r="C317" s="61" t="s">
        <v>528</v>
      </c>
      <c r="D317" s="61" t="s">
        <v>2964</v>
      </c>
      <c r="E317" s="61" t="s">
        <v>28</v>
      </c>
      <c r="F317" s="61" t="s">
        <v>529</v>
      </c>
      <c r="G317" s="61" t="s">
        <v>530</v>
      </c>
      <c r="H317" s="61" t="s">
        <v>531</v>
      </c>
      <c r="I317" s="37" t="s">
        <v>532</v>
      </c>
      <c r="J317" s="37">
        <v>0</v>
      </c>
      <c r="K317" s="61" t="s">
        <v>258</v>
      </c>
      <c r="L317" s="61" t="s">
        <v>31</v>
      </c>
      <c r="M317" s="9">
        <v>2</v>
      </c>
      <c r="N317" s="9" t="s">
        <v>42</v>
      </c>
      <c r="O317" s="61" t="s">
        <v>2189</v>
      </c>
      <c r="P317" s="61" t="s">
        <v>2190</v>
      </c>
      <c r="Q317" s="61" t="s">
        <v>2191</v>
      </c>
      <c r="R317" s="61" t="s">
        <v>1369</v>
      </c>
      <c r="S317" s="61" t="s">
        <v>2192</v>
      </c>
      <c r="T317" s="61" t="s">
        <v>31</v>
      </c>
      <c r="U317" s="61" t="s">
        <v>2193</v>
      </c>
      <c r="V317" s="61" t="s">
        <v>2194</v>
      </c>
      <c r="W317" s="62">
        <v>44008</v>
      </c>
      <c r="X317" s="37" t="s">
        <v>30</v>
      </c>
      <c r="Y317" s="37">
        <v>0</v>
      </c>
      <c r="Z317" s="37" t="s">
        <v>31</v>
      </c>
      <c r="AA317" s="37" t="s">
        <v>31</v>
      </c>
      <c r="AB317" s="37" t="s">
        <v>513</v>
      </c>
      <c r="AC317" s="61"/>
      <c r="AD317" s="34"/>
      <c r="AE317" s="98" t="s">
        <v>28</v>
      </c>
      <c r="AF317" s="36">
        <v>44191</v>
      </c>
      <c r="AG317" s="36">
        <v>44191</v>
      </c>
      <c r="AH317" s="37"/>
      <c r="AI317" s="72">
        <v>44185</v>
      </c>
      <c r="AJ317" s="38" t="s">
        <v>27</v>
      </c>
      <c r="AK317" s="39" t="e">
        <f>VLOOKUP(A317,'[1]Externe MAJ Nov'!$A:$H,8,0)</f>
        <v>#N/A</v>
      </c>
      <c r="AL317" s="61"/>
      <c r="AM317" s="61"/>
      <c r="AN317" s="61"/>
      <c r="AO317" s="58">
        <v>44185</v>
      </c>
      <c r="AP317" s="29" t="e">
        <f>VLOOKUP(A317,'[2]External Scan 02_21'!$B:$J,9,0)</f>
        <v>#N/A</v>
      </c>
      <c r="AQ317" s="29" t="s">
        <v>28</v>
      </c>
      <c r="AR317" s="21"/>
      <c r="AS317" s="21" t="str">
        <f>VLOOKUP(AE317,'ref statu'!A:B,2,0)</f>
        <v>Fixed</v>
      </c>
      <c r="AT317" s="8" t="e">
        <f>VLOOKUP(A317,chk!A:B,2,0)</f>
        <v>#N/A</v>
      </c>
      <c r="AU317" s="29" t="e">
        <f>VLOOKUP(A317,checker!A:B,2,0)</f>
        <v>#N/A</v>
      </c>
      <c r="AV317" s="29" t="e">
        <f>VLOOKUP(A317,checker!B:C,2,0)</f>
        <v>#N/A</v>
      </c>
    </row>
    <row r="318" spans="1:48" x14ac:dyDescent="0.3">
      <c r="A318" s="29" t="str">
        <f t="shared" si="4"/>
        <v>96.692.66.646/0/oracle_linux-cve-2020-10942</v>
      </c>
      <c r="B318" s="61" t="s">
        <v>2997</v>
      </c>
      <c r="C318" s="61" t="s">
        <v>528</v>
      </c>
      <c r="D318" s="61" t="s">
        <v>2964</v>
      </c>
      <c r="E318" s="61" t="s">
        <v>28</v>
      </c>
      <c r="F318" s="61" t="s">
        <v>529</v>
      </c>
      <c r="G318" s="61" t="s">
        <v>530</v>
      </c>
      <c r="H318" s="61" t="s">
        <v>531</v>
      </c>
      <c r="I318" s="37" t="s">
        <v>532</v>
      </c>
      <c r="J318" s="37">
        <v>0</v>
      </c>
      <c r="K318" s="61" t="s">
        <v>258</v>
      </c>
      <c r="L318" s="61" t="s">
        <v>31</v>
      </c>
      <c r="M318" s="9">
        <v>5</v>
      </c>
      <c r="N318" s="9" t="s">
        <v>29</v>
      </c>
      <c r="O318" s="61" t="s">
        <v>2195</v>
      </c>
      <c r="P318" s="61" t="s">
        <v>2196</v>
      </c>
      <c r="Q318" s="61" t="s">
        <v>2197</v>
      </c>
      <c r="R318" s="61" t="s">
        <v>581</v>
      </c>
      <c r="S318" s="61" t="s">
        <v>2198</v>
      </c>
      <c r="T318" s="61" t="s">
        <v>31</v>
      </c>
      <c r="U318" s="61" t="s">
        <v>2199</v>
      </c>
      <c r="V318" s="61" t="s">
        <v>2200</v>
      </c>
      <c r="W318" s="62">
        <v>43914</v>
      </c>
      <c r="X318" s="37" t="s">
        <v>30</v>
      </c>
      <c r="Y318" s="37">
        <v>0</v>
      </c>
      <c r="Z318" s="37" t="s">
        <v>31</v>
      </c>
      <c r="AA318" s="37" t="s">
        <v>31</v>
      </c>
      <c r="AB318" s="37" t="s">
        <v>513</v>
      </c>
      <c r="AC318" s="61"/>
      <c r="AD318" s="33"/>
      <c r="AE318" s="98" t="s">
        <v>28</v>
      </c>
      <c r="AF318" s="36">
        <v>44191</v>
      </c>
      <c r="AG318" s="36">
        <v>44191</v>
      </c>
      <c r="AH318" s="37"/>
      <c r="AI318" s="72">
        <v>44185</v>
      </c>
      <c r="AJ318" s="38" t="s">
        <v>27</v>
      </c>
      <c r="AK318" s="39" t="e">
        <f>VLOOKUP(A318,'[1]Externe MAJ Nov'!$A:$H,8,0)</f>
        <v>#N/A</v>
      </c>
      <c r="AL318" s="61"/>
      <c r="AM318" s="61"/>
      <c r="AN318" s="61"/>
      <c r="AO318" s="58">
        <v>44185</v>
      </c>
      <c r="AP318" s="29" t="e">
        <f>VLOOKUP(A318,'[2]External Scan 02_21'!$B:$J,9,0)</f>
        <v>#N/A</v>
      </c>
      <c r="AQ318" s="29" t="s">
        <v>28</v>
      </c>
      <c r="AR318" s="21"/>
      <c r="AS318" s="21" t="str">
        <f>VLOOKUP(AE318,'ref statu'!A:B,2,0)</f>
        <v>Fixed</v>
      </c>
      <c r="AT318" s="8" t="e">
        <f>VLOOKUP(A318,chk!A:B,2,0)</f>
        <v>#N/A</v>
      </c>
      <c r="AU318" s="29" t="e">
        <f>VLOOKUP(A318,checker!A:B,2,0)</f>
        <v>#N/A</v>
      </c>
      <c r="AV318" s="29" t="e">
        <f>VLOOKUP(A318,checker!B:C,2,0)</f>
        <v>#N/A</v>
      </c>
    </row>
    <row r="319" spans="1:48" x14ac:dyDescent="0.3">
      <c r="A319" s="29" t="str">
        <f t="shared" si="4"/>
        <v>96.692.66.646/0/oracle_linux-cve-2020-11494</v>
      </c>
      <c r="B319" s="61" t="s">
        <v>2997</v>
      </c>
      <c r="C319" s="61" t="s">
        <v>528</v>
      </c>
      <c r="D319" s="61" t="s">
        <v>2964</v>
      </c>
      <c r="E319" s="61" t="s">
        <v>28</v>
      </c>
      <c r="F319" s="61" t="s">
        <v>529</v>
      </c>
      <c r="G319" s="61" t="s">
        <v>530</v>
      </c>
      <c r="H319" s="61" t="s">
        <v>531</v>
      </c>
      <c r="I319" s="37" t="s">
        <v>532</v>
      </c>
      <c r="J319" s="37">
        <v>0</v>
      </c>
      <c r="K319" s="61" t="s">
        <v>258</v>
      </c>
      <c r="L319" s="61" t="s">
        <v>31</v>
      </c>
      <c r="M319" s="9">
        <v>2</v>
      </c>
      <c r="N319" s="9" t="s">
        <v>42</v>
      </c>
      <c r="O319" s="61" t="s">
        <v>2201</v>
      </c>
      <c r="P319" s="61" t="s">
        <v>2202</v>
      </c>
      <c r="Q319" s="61" t="s">
        <v>2203</v>
      </c>
      <c r="R319" s="61" t="s">
        <v>536</v>
      </c>
      <c r="S319" s="61" t="s">
        <v>2204</v>
      </c>
      <c r="T319" s="61" t="s">
        <v>31</v>
      </c>
      <c r="U319" s="61" t="s">
        <v>2205</v>
      </c>
      <c r="V319" s="61" t="s">
        <v>2206</v>
      </c>
      <c r="W319" s="62">
        <v>43923</v>
      </c>
      <c r="X319" s="37" t="s">
        <v>30</v>
      </c>
      <c r="Y319" s="37">
        <v>0</v>
      </c>
      <c r="Z319" s="37" t="s">
        <v>31</v>
      </c>
      <c r="AA319" s="37" t="s">
        <v>31</v>
      </c>
      <c r="AB319" s="37" t="s">
        <v>513</v>
      </c>
      <c r="AC319" s="61"/>
      <c r="AD319" s="34"/>
      <c r="AE319" s="98" t="s">
        <v>28</v>
      </c>
      <c r="AF319" s="36">
        <v>44191</v>
      </c>
      <c r="AG319" s="36">
        <v>44191</v>
      </c>
      <c r="AH319" s="37"/>
      <c r="AI319" s="72">
        <v>44185</v>
      </c>
      <c r="AJ319" s="38" t="s">
        <v>27</v>
      </c>
      <c r="AK319" s="39" t="e">
        <f>VLOOKUP(A319,'[1]Externe MAJ Nov'!$A:$H,8,0)</f>
        <v>#N/A</v>
      </c>
      <c r="AL319" s="61"/>
      <c r="AM319" s="61"/>
      <c r="AN319" s="61"/>
      <c r="AO319" s="58">
        <v>44185</v>
      </c>
      <c r="AP319" s="29" t="e">
        <f>VLOOKUP(A319,'[2]External Scan 02_21'!$B:$J,9,0)</f>
        <v>#N/A</v>
      </c>
      <c r="AQ319" s="29" t="s">
        <v>28</v>
      </c>
      <c r="AR319" s="21"/>
      <c r="AS319" s="21" t="str">
        <f>VLOOKUP(AE319,'ref statu'!A:B,2,0)</f>
        <v>Fixed</v>
      </c>
      <c r="AT319" s="8" t="e">
        <f>VLOOKUP(A319,chk!A:B,2,0)</f>
        <v>#N/A</v>
      </c>
      <c r="AU319" s="29" t="e">
        <f>VLOOKUP(A319,checker!A:B,2,0)</f>
        <v>#N/A</v>
      </c>
      <c r="AV319" s="29" t="e">
        <f>VLOOKUP(A319,checker!B:C,2,0)</f>
        <v>#N/A</v>
      </c>
    </row>
    <row r="320" spans="1:48" x14ac:dyDescent="0.3">
      <c r="A320" s="29" t="str">
        <f t="shared" si="4"/>
        <v>96.692.66.646/0/oracle_linux-cve-2020-11608</v>
      </c>
      <c r="B320" s="61" t="s">
        <v>2997</v>
      </c>
      <c r="C320" s="61" t="s">
        <v>528</v>
      </c>
      <c r="D320" s="61" t="s">
        <v>2964</v>
      </c>
      <c r="E320" s="61" t="s">
        <v>28</v>
      </c>
      <c r="F320" s="61" t="s">
        <v>529</v>
      </c>
      <c r="G320" s="61" t="s">
        <v>530</v>
      </c>
      <c r="H320" s="61" t="s">
        <v>531</v>
      </c>
      <c r="I320" s="37" t="s">
        <v>532</v>
      </c>
      <c r="J320" s="37">
        <v>0</v>
      </c>
      <c r="K320" s="61" t="s">
        <v>258</v>
      </c>
      <c r="L320" s="61" t="s">
        <v>31</v>
      </c>
      <c r="M320" s="9">
        <v>5</v>
      </c>
      <c r="N320" s="9" t="s">
        <v>29</v>
      </c>
      <c r="O320" s="61" t="s">
        <v>2207</v>
      </c>
      <c r="P320" s="61" t="s">
        <v>2208</v>
      </c>
      <c r="Q320" s="61" t="s">
        <v>2209</v>
      </c>
      <c r="R320" s="61" t="s">
        <v>536</v>
      </c>
      <c r="S320" s="61" t="s">
        <v>2210</v>
      </c>
      <c r="T320" s="61" t="s">
        <v>31</v>
      </c>
      <c r="U320" s="61" t="s">
        <v>2211</v>
      </c>
      <c r="V320" s="61" t="s">
        <v>2212</v>
      </c>
      <c r="W320" s="62">
        <v>43928</v>
      </c>
      <c r="X320" s="37" t="s">
        <v>30</v>
      </c>
      <c r="Y320" s="37">
        <v>0</v>
      </c>
      <c r="Z320" s="37" t="s">
        <v>31</v>
      </c>
      <c r="AA320" s="37" t="s">
        <v>31</v>
      </c>
      <c r="AB320" s="37" t="s">
        <v>513</v>
      </c>
      <c r="AC320" s="61"/>
      <c r="AD320" s="34"/>
      <c r="AE320" s="98" t="s">
        <v>28</v>
      </c>
      <c r="AF320" s="36">
        <v>44191</v>
      </c>
      <c r="AG320" s="36">
        <v>44191</v>
      </c>
      <c r="AH320" s="37"/>
      <c r="AI320" s="72">
        <v>44185</v>
      </c>
      <c r="AJ320" s="38" t="s">
        <v>27</v>
      </c>
      <c r="AK320" s="39" t="e">
        <f>VLOOKUP(A320,'[1]Externe MAJ Nov'!$A:$H,8,0)</f>
        <v>#N/A</v>
      </c>
      <c r="AL320" s="61"/>
      <c r="AM320" s="61"/>
      <c r="AN320" s="61"/>
      <c r="AO320" s="58">
        <v>44185</v>
      </c>
      <c r="AP320" s="29" t="e">
        <f>VLOOKUP(A320,'[2]External Scan 02_21'!$B:$J,9,0)</f>
        <v>#N/A</v>
      </c>
      <c r="AQ320" s="29" t="s">
        <v>28</v>
      </c>
      <c r="AR320" s="21"/>
      <c r="AS320" s="21" t="str">
        <f>VLOOKUP(AE320,'ref statu'!A:B,2,0)</f>
        <v>Fixed</v>
      </c>
      <c r="AT320" s="8" t="e">
        <f>VLOOKUP(A320,chk!A:B,2,0)</f>
        <v>#N/A</v>
      </c>
      <c r="AU320" s="29" t="e">
        <f>VLOOKUP(A320,checker!A:B,2,0)</f>
        <v>#N/A</v>
      </c>
      <c r="AV320" s="29" t="e">
        <f>VLOOKUP(A320,checker!B:C,2,0)</f>
        <v>#N/A</v>
      </c>
    </row>
    <row r="321" spans="1:48" x14ac:dyDescent="0.3">
      <c r="A321" s="29" t="str">
        <f t="shared" si="4"/>
        <v>96.692.66.646/0/oracle_linux-cve-2020-11609</v>
      </c>
      <c r="B321" s="61" t="s">
        <v>2997</v>
      </c>
      <c r="C321" s="61" t="s">
        <v>528</v>
      </c>
      <c r="D321" s="61" t="s">
        <v>2964</v>
      </c>
      <c r="E321" s="61" t="s">
        <v>28</v>
      </c>
      <c r="F321" s="61" t="s">
        <v>529</v>
      </c>
      <c r="G321" s="61" t="s">
        <v>530</v>
      </c>
      <c r="H321" s="61" t="s">
        <v>531</v>
      </c>
      <c r="I321" s="37" t="s">
        <v>532</v>
      </c>
      <c r="J321" s="37">
        <v>0</v>
      </c>
      <c r="K321" s="61" t="s">
        <v>258</v>
      </c>
      <c r="L321" s="61" t="s">
        <v>31</v>
      </c>
      <c r="M321" s="9">
        <v>5</v>
      </c>
      <c r="N321" s="9" t="s">
        <v>29</v>
      </c>
      <c r="O321" s="61" t="s">
        <v>2213</v>
      </c>
      <c r="P321" s="61" t="s">
        <v>2214</v>
      </c>
      <c r="Q321" s="61" t="s">
        <v>2215</v>
      </c>
      <c r="R321" s="61" t="s">
        <v>536</v>
      </c>
      <c r="S321" s="61" t="s">
        <v>2216</v>
      </c>
      <c r="T321" s="61" t="s">
        <v>31</v>
      </c>
      <c r="U321" s="61" t="s">
        <v>2217</v>
      </c>
      <c r="V321" s="61" t="s">
        <v>2218</v>
      </c>
      <c r="W321" s="62">
        <v>43928</v>
      </c>
      <c r="X321" s="37" t="s">
        <v>30</v>
      </c>
      <c r="Y321" s="37">
        <v>0</v>
      </c>
      <c r="Z321" s="37" t="s">
        <v>31</v>
      </c>
      <c r="AA321" s="37" t="s">
        <v>31</v>
      </c>
      <c r="AB321" s="37" t="s">
        <v>513</v>
      </c>
      <c r="AC321" s="61"/>
      <c r="AD321" s="33"/>
      <c r="AE321" s="98" t="s">
        <v>28</v>
      </c>
      <c r="AF321" s="36">
        <v>44191</v>
      </c>
      <c r="AG321" s="36">
        <v>44191</v>
      </c>
      <c r="AH321" s="37"/>
      <c r="AI321" s="72">
        <v>44185</v>
      </c>
      <c r="AJ321" s="38" t="s">
        <v>27</v>
      </c>
      <c r="AK321" s="39" t="e">
        <f>VLOOKUP(A321,'[1]Externe MAJ Nov'!$A:$H,8,0)</f>
        <v>#N/A</v>
      </c>
      <c r="AL321" s="61"/>
      <c r="AM321" s="61"/>
      <c r="AN321" s="61"/>
      <c r="AO321" s="58">
        <v>44185</v>
      </c>
      <c r="AP321" s="29" t="e">
        <f>VLOOKUP(A321,'[2]External Scan 02_21'!$B:$J,9,0)</f>
        <v>#N/A</v>
      </c>
      <c r="AQ321" s="29" t="s">
        <v>28</v>
      </c>
      <c r="AR321" s="21"/>
      <c r="AS321" s="21" t="str">
        <f>VLOOKUP(AE321,'ref statu'!A:B,2,0)</f>
        <v>Fixed</v>
      </c>
      <c r="AT321" s="8" t="e">
        <f>VLOOKUP(A321,chk!A:B,2,0)</f>
        <v>#N/A</v>
      </c>
      <c r="AU321" s="29" t="e">
        <f>VLOOKUP(A321,checker!A:B,2,0)</f>
        <v>#N/A</v>
      </c>
      <c r="AV321" s="29" t="e">
        <f>VLOOKUP(A321,checker!B:C,2,0)</f>
        <v>#N/A</v>
      </c>
    </row>
    <row r="322" spans="1:48" x14ac:dyDescent="0.3">
      <c r="A322" s="29" t="str">
        <f t="shared" ref="A322:A385" si="5">B322&amp;"/"&amp;J322&amp;"/"&amp;O322</f>
        <v>96.692.66.646/0/oracle_linux-cve-2020-11668</v>
      </c>
      <c r="B322" s="61" t="s">
        <v>2997</v>
      </c>
      <c r="C322" s="61" t="s">
        <v>528</v>
      </c>
      <c r="D322" s="61" t="s">
        <v>2964</v>
      </c>
      <c r="E322" s="61" t="s">
        <v>28</v>
      </c>
      <c r="F322" s="61" t="s">
        <v>529</v>
      </c>
      <c r="G322" s="61" t="s">
        <v>530</v>
      </c>
      <c r="H322" s="61" t="s">
        <v>531</v>
      </c>
      <c r="I322" s="37" t="s">
        <v>532</v>
      </c>
      <c r="J322" s="37">
        <v>0</v>
      </c>
      <c r="K322" s="61" t="s">
        <v>258</v>
      </c>
      <c r="L322" s="61" t="s">
        <v>31</v>
      </c>
      <c r="M322" s="9">
        <v>6</v>
      </c>
      <c r="N322" s="9" t="s">
        <v>29</v>
      </c>
      <c r="O322" s="61" t="s">
        <v>2219</v>
      </c>
      <c r="P322" s="61" t="s">
        <v>2220</v>
      </c>
      <c r="Q322" s="61" t="s">
        <v>2221</v>
      </c>
      <c r="R322" s="61" t="s">
        <v>536</v>
      </c>
      <c r="S322" s="61" t="s">
        <v>2222</v>
      </c>
      <c r="T322" s="61" t="s">
        <v>31</v>
      </c>
      <c r="U322" s="61" t="s">
        <v>2223</v>
      </c>
      <c r="V322" s="61" t="s">
        <v>2224</v>
      </c>
      <c r="W322" s="62">
        <v>43930</v>
      </c>
      <c r="X322" s="37" t="s">
        <v>30</v>
      </c>
      <c r="Y322" s="37">
        <v>0</v>
      </c>
      <c r="Z322" s="37" t="s">
        <v>31</v>
      </c>
      <c r="AA322" s="37" t="s">
        <v>31</v>
      </c>
      <c r="AB322" s="37" t="s">
        <v>513</v>
      </c>
      <c r="AC322" s="61"/>
      <c r="AD322" s="34"/>
      <c r="AE322" s="98" t="s">
        <v>28</v>
      </c>
      <c r="AF322" s="36">
        <v>44191</v>
      </c>
      <c r="AG322" s="36">
        <v>44191</v>
      </c>
      <c r="AH322" s="37"/>
      <c r="AI322" s="72">
        <v>44185</v>
      </c>
      <c r="AJ322" s="38" t="s">
        <v>27</v>
      </c>
      <c r="AK322" s="39" t="e">
        <f>VLOOKUP(A322,'[1]Externe MAJ Nov'!$A:$H,8,0)</f>
        <v>#N/A</v>
      </c>
      <c r="AL322" s="61"/>
      <c r="AM322" s="61"/>
      <c r="AN322" s="61"/>
      <c r="AO322" s="58">
        <v>44185</v>
      </c>
      <c r="AP322" s="29" t="e">
        <f>VLOOKUP(A322,'[2]External Scan 02_21'!$B:$J,9,0)</f>
        <v>#N/A</v>
      </c>
      <c r="AQ322" s="29" t="s">
        <v>28</v>
      </c>
      <c r="AR322" s="21"/>
      <c r="AS322" s="21" t="str">
        <f>VLOOKUP(AE322,'ref statu'!A:B,2,0)</f>
        <v>Fixed</v>
      </c>
      <c r="AT322" s="8" t="e">
        <f>VLOOKUP(A322,chk!A:B,2,0)</f>
        <v>#N/A</v>
      </c>
      <c r="AU322" s="29" t="e">
        <f>VLOOKUP(A322,checker!A:B,2,0)</f>
        <v>#N/A</v>
      </c>
      <c r="AV322" s="29" t="e">
        <f>VLOOKUP(A322,checker!B:C,2,0)</f>
        <v>#N/A</v>
      </c>
    </row>
    <row r="323" spans="1:48" x14ac:dyDescent="0.3">
      <c r="A323" s="29" t="str">
        <f t="shared" si="5"/>
        <v>96.692.66.646/0/oracle_linux-cve-2020-12888</v>
      </c>
      <c r="B323" s="61" t="s">
        <v>2997</v>
      </c>
      <c r="C323" s="61" t="s">
        <v>528</v>
      </c>
      <c r="D323" s="61" t="s">
        <v>2964</v>
      </c>
      <c r="E323" s="61" t="s">
        <v>28</v>
      </c>
      <c r="F323" s="61" t="s">
        <v>529</v>
      </c>
      <c r="G323" s="61" t="s">
        <v>530</v>
      </c>
      <c r="H323" s="61" t="s">
        <v>531</v>
      </c>
      <c r="I323" s="37" t="s">
        <v>532</v>
      </c>
      <c r="J323" s="37">
        <v>0</v>
      </c>
      <c r="K323" s="61" t="s">
        <v>258</v>
      </c>
      <c r="L323" s="61" t="s">
        <v>31</v>
      </c>
      <c r="M323" s="9">
        <v>5</v>
      </c>
      <c r="N323" s="9" t="s">
        <v>29</v>
      </c>
      <c r="O323" s="61" t="s">
        <v>2225</v>
      </c>
      <c r="P323" s="61" t="s">
        <v>2226</v>
      </c>
      <c r="Q323" s="61" t="s">
        <v>2227</v>
      </c>
      <c r="R323" s="61" t="s">
        <v>1350</v>
      </c>
      <c r="S323" s="61" t="s">
        <v>2228</v>
      </c>
      <c r="T323" s="61" t="s">
        <v>31</v>
      </c>
      <c r="U323" s="61" t="s">
        <v>2229</v>
      </c>
      <c r="V323" s="61" t="s">
        <v>2230</v>
      </c>
      <c r="W323" s="62">
        <v>43966</v>
      </c>
      <c r="X323" s="37" t="s">
        <v>30</v>
      </c>
      <c r="Y323" s="37">
        <v>0</v>
      </c>
      <c r="Z323" s="37" t="s">
        <v>31</v>
      </c>
      <c r="AA323" s="37" t="s">
        <v>31</v>
      </c>
      <c r="AB323" s="37" t="s">
        <v>513</v>
      </c>
      <c r="AC323" s="61"/>
      <c r="AD323" s="34"/>
      <c r="AE323" s="98" t="s">
        <v>28</v>
      </c>
      <c r="AF323" s="36">
        <v>44191</v>
      </c>
      <c r="AG323" s="36">
        <v>44191</v>
      </c>
      <c r="AH323" s="37"/>
      <c r="AI323" s="72">
        <v>44185</v>
      </c>
      <c r="AJ323" s="38" t="s">
        <v>27</v>
      </c>
      <c r="AK323" s="39" t="e">
        <f>VLOOKUP(A323,'[1]Externe MAJ Nov'!$A:$H,8,0)</f>
        <v>#N/A</v>
      </c>
      <c r="AL323" s="61"/>
      <c r="AM323" s="61"/>
      <c r="AN323" s="61"/>
      <c r="AO323" s="58">
        <v>44185</v>
      </c>
      <c r="AP323" s="29" t="e">
        <f>VLOOKUP(A323,'[2]External Scan 02_21'!$B:$J,9,0)</f>
        <v>#N/A</v>
      </c>
      <c r="AQ323" s="29" t="s">
        <v>28</v>
      </c>
      <c r="AR323" s="21"/>
      <c r="AS323" s="21" t="str">
        <f>VLOOKUP(AE323,'ref statu'!A:B,2,0)</f>
        <v>Fixed</v>
      </c>
      <c r="AT323" s="8" t="e">
        <f>VLOOKUP(A323,chk!A:B,2,0)</f>
        <v>#N/A</v>
      </c>
      <c r="AU323" s="29" t="e">
        <f>VLOOKUP(A323,checker!A:B,2,0)</f>
        <v>#N/A</v>
      </c>
      <c r="AV323" s="29" t="e">
        <f>VLOOKUP(A323,checker!B:C,2,0)</f>
        <v>#N/A</v>
      </c>
    </row>
    <row r="324" spans="1:48" x14ac:dyDescent="0.3">
      <c r="A324" s="29" t="str">
        <f t="shared" si="5"/>
        <v>96.692.66.646/0/oracle_linux-cve-2020-14314</v>
      </c>
      <c r="B324" s="61" t="s">
        <v>2997</v>
      </c>
      <c r="C324" s="61" t="s">
        <v>528</v>
      </c>
      <c r="D324" s="61" t="s">
        <v>2964</v>
      </c>
      <c r="E324" s="61" t="s">
        <v>28</v>
      </c>
      <c r="F324" s="61" t="s">
        <v>529</v>
      </c>
      <c r="G324" s="61" t="s">
        <v>530</v>
      </c>
      <c r="H324" s="61" t="s">
        <v>531</v>
      </c>
      <c r="I324" s="37" t="s">
        <v>532</v>
      </c>
      <c r="J324" s="37">
        <v>0</v>
      </c>
      <c r="K324" s="61" t="s">
        <v>258</v>
      </c>
      <c r="L324" s="61" t="s">
        <v>31</v>
      </c>
      <c r="M324" s="9">
        <v>2</v>
      </c>
      <c r="N324" s="9" t="s">
        <v>42</v>
      </c>
      <c r="O324" s="61" t="s">
        <v>2231</v>
      </c>
      <c r="P324" s="61" t="s">
        <v>2232</v>
      </c>
      <c r="Q324" s="61" t="s">
        <v>2233</v>
      </c>
      <c r="R324" s="61" t="s">
        <v>1369</v>
      </c>
      <c r="S324" s="61" t="s">
        <v>2234</v>
      </c>
      <c r="T324" s="61" t="s">
        <v>31</v>
      </c>
      <c r="U324" s="61" t="s">
        <v>2235</v>
      </c>
      <c r="V324" s="61" t="s">
        <v>2236</v>
      </c>
      <c r="W324" s="62">
        <v>44076</v>
      </c>
      <c r="X324" s="37" t="s">
        <v>30</v>
      </c>
      <c r="Y324" s="37">
        <v>0</v>
      </c>
      <c r="Z324" s="37" t="s">
        <v>31</v>
      </c>
      <c r="AA324" s="37" t="s">
        <v>31</v>
      </c>
      <c r="AB324" s="37" t="s">
        <v>513</v>
      </c>
      <c r="AC324" s="61"/>
      <c r="AD324" s="33"/>
      <c r="AE324" s="98" t="s">
        <v>28</v>
      </c>
      <c r="AF324" s="36">
        <v>44191</v>
      </c>
      <c r="AG324" s="36">
        <v>44191</v>
      </c>
      <c r="AH324" s="37"/>
      <c r="AI324" s="72">
        <v>44185</v>
      </c>
      <c r="AJ324" s="38" t="s">
        <v>27</v>
      </c>
      <c r="AK324" s="39" t="e">
        <f>VLOOKUP(A324,'[1]Externe MAJ Nov'!$A:$H,8,0)</f>
        <v>#N/A</v>
      </c>
      <c r="AL324" s="61"/>
      <c r="AM324" s="61"/>
      <c r="AN324" s="61"/>
      <c r="AO324" s="58">
        <v>44185</v>
      </c>
      <c r="AP324" s="29" t="e">
        <f>VLOOKUP(A324,'[2]External Scan 02_21'!$B:$J,9,0)</f>
        <v>#N/A</v>
      </c>
      <c r="AQ324" s="29" t="s">
        <v>28</v>
      </c>
      <c r="AR324" s="21"/>
      <c r="AS324" s="21" t="str">
        <f>VLOOKUP(AE324,'ref statu'!A:B,2,0)</f>
        <v>Fixed</v>
      </c>
      <c r="AT324" s="8" t="e">
        <f>VLOOKUP(A324,chk!A:B,2,0)</f>
        <v>#N/A</v>
      </c>
      <c r="AU324" s="29" t="e">
        <f>VLOOKUP(A324,checker!A:B,2,0)</f>
        <v>#N/A</v>
      </c>
      <c r="AV324" s="29" t="e">
        <f>VLOOKUP(A324,checker!B:C,2,0)</f>
        <v>#N/A</v>
      </c>
    </row>
    <row r="325" spans="1:48" x14ac:dyDescent="0.3">
      <c r="A325" s="29" t="str">
        <f t="shared" si="5"/>
        <v>96.692.66.646/0/oracle_linux-cve-2020-14318</v>
      </c>
      <c r="B325" s="61" t="s">
        <v>2997</v>
      </c>
      <c r="C325" s="61" t="s">
        <v>528</v>
      </c>
      <c r="D325" s="61" t="s">
        <v>2964</v>
      </c>
      <c r="E325" s="61" t="s">
        <v>28</v>
      </c>
      <c r="F325" s="61" t="s">
        <v>529</v>
      </c>
      <c r="G325" s="61" t="s">
        <v>530</v>
      </c>
      <c r="H325" s="61" t="s">
        <v>531</v>
      </c>
      <c r="I325" s="37" t="s">
        <v>532</v>
      </c>
      <c r="J325" s="37">
        <v>0</v>
      </c>
      <c r="K325" s="61" t="s">
        <v>258</v>
      </c>
      <c r="L325" s="61" t="s">
        <v>31</v>
      </c>
      <c r="M325" s="9">
        <v>4</v>
      </c>
      <c r="N325" s="9" t="s">
        <v>29</v>
      </c>
      <c r="O325" s="61" t="s">
        <v>2237</v>
      </c>
      <c r="P325" s="61" t="s">
        <v>2238</v>
      </c>
      <c r="Q325" s="61" t="s">
        <v>2239</v>
      </c>
      <c r="R325" s="61" t="s">
        <v>2240</v>
      </c>
      <c r="S325" s="61" t="s">
        <v>2241</v>
      </c>
      <c r="T325" s="61" t="s">
        <v>31</v>
      </c>
      <c r="U325" s="61" t="s">
        <v>2242</v>
      </c>
      <c r="V325" s="61" t="s">
        <v>2243</v>
      </c>
      <c r="W325" s="62">
        <v>44134</v>
      </c>
      <c r="X325" s="37" t="s">
        <v>30</v>
      </c>
      <c r="Y325" s="37">
        <v>0</v>
      </c>
      <c r="Z325" s="37" t="s">
        <v>31</v>
      </c>
      <c r="AA325" s="37" t="s">
        <v>31</v>
      </c>
      <c r="AB325" s="37" t="s">
        <v>513</v>
      </c>
      <c r="AC325" s="61"/>
      <c r="AD325" s="34"/>
      <c r="AE325" s="98" t="s">
        <v>28</v>
      </c>
      <c r="AF325" s="36">
        <v>44191</v>
      </c>
      <c r="AG325" s="36">
        <v>44191</v>
      </c>
      <c r="AH325" s="37"/>
      <c r="AI325" s="72">
        <v>44185</v>
      </c>
      <c r="AJ325" s="38" t="s">
        <v>27</v>
      </c>
      <c r="AK325" s="39" t="e">
        <f>VLOOKUP(A325,'[1]Externe MAJ Nov'!$A:$H,8,0)</f>
        <v>#N/A</v>
      </c>
      <c r="AL325" s="61"/>
      <c r="AM325" s="61"/>
      <c r="AN325" s="61"/>
      <c r="AO325" s="58">
        <v>44185</v>
      </c>
      <c r="AP325" s="29" t="e">
        <f>VLOOKUP(A325,'[2]External Scan 02_21'!$B:$J,9,0)</f>
        <v>#N/A</v>
      </c>
      <c r="AQ325" s="29" t="s">
        <v>28</v>
      </c>
      <c r="AR325" s="21"/>
      <c r="AS325" s="21" t="str">
        <f>VLOOKUP(AE325,'ref statu'!A:B,2,0)</f>
        <v>Fixed</v>
      </c>
      <c r="AT325" s="8" t="e">
        <f>VLOOKUP(A325,chk!A:B,2,0)</f>
        <v>#N/A</v>
      </c>
      <c r="AU325" s="29" t="e">
        <f>VLOOKUP(A325,checker!A:B,2,0)</f>
        <v>#N/A</v>
      </c>
      <c r="AV325" s="29" t="e">
        <f>VLOOKUP(A325,checker!B:C,2,0)</f>
        <v>#N/A</v>
      </c>
    </row>
    <row r="326" spans="1:48" x14ac:dyDescent="0.3">
      <c r="A326" s="29" t="str">
        <f t="shared" si="5"/>
        <v>96.692.66.646/0/oracle_linux-cve-2020-14323</v>
      </c>
      <c r="B326" s="61" t="s">
        <v>2997</v>
      </c>
      <c r="C326" s="61" t="s">
        <v>528</v>
      </c>
      <c r="D326" s="61" t="s">
        <v>2964</v>
      </c>
      <c r="E326" s="61" t="s">
        <v>28</v>
      </c>
      <c r="F326" s="61" t="s">
        <v>529</v>
      </c>
      <c r="G326" s="61" t="s">
        <v>530</v>
      </c>
      <c r="H326" s="61" t="s">
        <v>531</v>
      </c>
      <c r="I326" s="37" t="s">
        <v>532</v>
      </c>
      <c r="J326" s="37">
        <v>0</v>
      </c>
      <c r="K326" s="61" t="s">
        <v>258</v>
      </c>
      <c r="L326" s="61" t="s">
        <v>31</v>
      </c>
      <c r="M326" s="9">
        <v>2</v>
      </c>
      <c r="N326" s="9" t="s">
        <v>42</v>
      </c>
      <c r="O326" s="61" t="s">
        <v>2244</v>
      </c>
      <c r="P326" s="61" t="s">
        <v>2245</v>
      </c>
      <c r="Q326" s="61" t="s">
        <v>2246</v>
      </c>
      <c r="R326" s="61" t="s">
        <v>2240</v>
      </c>
      <c r="S326" s="61" t="s">
        <v>2241</v>
      </c>
      <c r="T326" s="61" t="s">
        <v>31</v>
      </c>
      <c r="U326" s="61" t="s">
        <v>2247</v>
      </c>
      <c r="V326" s="61" t="s">
        <v>2248</v>
      </c>
      <c r="W326" s="62">
        <v>44133</v>
      </c>
      <c r="X326" s="37" t="s">
        <v>30</v>
      </c>
      <c r="Y326" s="37">
        <v>0</v>
      </c>
      <c r="Z326" s="37" t="s">
        <v>31</v>
      </c>
      <c r="AA326" s="37" t="s">
        <v>31</v>
      </c>
      <c r="AB326" s="37" t="s">
        <v>513</v>
      </c>
      <c r="AC326" s="61"/>
      <c r="AD326" s="34"/>
      <c r="AE326" s="98" t="s">
        <v>28</v>
      </c>
      <c r="AF326" s="36">
        <v>44191</v>
      </c>
      <c r="AG326" s="36">
        <v>44191</v>
      </c>
      <c r="AH326" s="37"/>
      <c r="AI326" s="72">
        <v>44185</v>
      </c>
      <c r="AJ326" s="38" t="s">
        <v>27</v>
      </c>
      <c r="AK326" s="39" t="e">
        <f>VLOOKUP(A326,'[1]Externe MAJ Nov'!$A:$H,8,0)</f>
        <v>#N/A</v>
      </c>
      <c r="AL326" s="61"/>
      <c r="AM326" s="61"/>
      <c r="AN326" s="61"/>
      <c r="AO326" s="58">
        <v>44185</v>
      </c>
      <c r="AP326" s="29" t="e">
        <f>VLOOKUP(A326,'[2]External Scan 02_21'!$B:$J,9,0)</f>
        <v>#N/A</v>
      </c>
      <c r="AQ326" s="29" t="s">
        <v>28</v>
      </c>
      <c r="AR326" s="21"/>
      <c r="AS326" s="21" t="str">
        <f>VLOOKUP(AE326,'ref statu'!A:B,2,0)</f>
        <v>Fixed</v>
      </c>
      <c r="AT326" s="8" t="e">
        <f>VLOOKUP(A326,chk!A:B,2,0)</f>
        <v>#N/A</v>
      </c>
      <c r="AU326" s="29" t="e">
        <f>VLOOKUP(A326,checker!A:B,2,0)</f>
        <v>#N/A</v>
      </c>
      <c r="AV326" s="29" t="e">
        <f>VLOOKUP(A326,checker!B:C,2,0)</f>
        <v>#N/A</v>
      </c>
    </row>
    <row r="327" spans="1:48" x14ac:dyDescent="0.3">
      <c r="A327" s="29" t="str">
        <f t="shared" si="5"/>
        <v>96.692.66.646/0/oracle_linux-cve-2020-14331</v>
      </c>
      <c r="B327" s="61" t="s">
        <v>2997</v>
      </c>
      <c r="C327" s="61" t="s">
        <v>528</v>
      </c>
      <c r="D327" s="61" t="s">
        <v>2964</v>
      </c>
      <c r="E327" s="61" t="s">
        <v>28</v>
      </c>
      <c r="F327" s="61" t="s">
        <v>529</v>
      </c>
      <c r="G327" s="61" t="s">
        <v>530</v>
      </c>
      <c r="H327" s="61" t="s">
        <v>531</v>
      </c>
      <c r="I327" s="37" t="s">
        <v>532</v>
      </c>
      <c r="J327" s="37">
        <v>0</v>
      </c>
      <c r="K327" s="61" t="s">
        <v>258</v>
      </c>
      <c r="L327" s="61" t="s">
        <v>31</v>
      </c>
      <c r="M327" s="9">
        <v>7</v>
      </c>
      <c r="N327" s="10" t="s">
        <v>2540</v>
      </c>
      <c r="O327" s="61" t="s">
        <v>2249</v>
      </c>
      <c r="P327" s="61" t="s">
        <v>2250</v>
      </c>
      <c r="Q327" s="61" t="s">
        <v>2251</v>
      </c>
      <c r="R327" s="61" t="s">
        <v>1369</v>
      </c>
      <c r="S327" s="61" t="s">
        <v>2252</v>
      </c>
      <c r="T327" s="61" t="s">
        <v>31</v>
      </c>
      <c r="U327" s="61" t="s">
        <v>2253</v>
      </c>
      <c r="V327" s="61" t="s">
        <v>2254</v>
      </c>
      <c r="W327" s="62">
        <v>44043</v>
      </c>
      <c r="X327" s="37" t="s">
        <v>30</v>
      </c>
      <c r="Y327" s="37">
        <v>0</v>
      </c>
      <c r="Z327" s="37" t="s">
        <v>31</v>
      </c>
      <c r="AA327" s="37" t="s">
        <v>31</v>
      </c>
      <c r="AB327" s="37" t="s">
        <v>513</v>
      </c>
      <c r="AC327" s="61"/>
      <c r="AD327" s="33"/>
      <c r="AE327" s="98" t="s">
        <v>28</v>
      </c>
      <c r="AF327" s="36">
        <v>44191</v>
      </c>
      <c r="AG327" s="36">
        <v>44191</v>
      </c>
      <c r="AH327" s="37"/>
      <c r="AI327" s="72">
        <v>44185</v>
      </c>
      <c r="AJ327" s="38" t="s">
        <v>27</v>
      </c>
      <c r="AK327" s="39" t="e">
        <f>VLOOKUP(A327,'[1]Externe MAJ Nov'!$A:$H,8,0)</f>
        <v>#N/A</v>
      </c>
      <c r="AL327" s="61"/>
      <c r="AM327" s="61"/>
      <c r="AN327" s="61"/>
      <c r="AO327" s="58">
        <v>44185</v>
      </c>
      <c r="AP327" s="29" t="e">
        <f>VLOOKUP(A327,'[2]External Scan 02_21'!$B:$J,9,0)</f>
        <v>#N/A</v>
      </c>
      <c r="AQ327" s="29" t="s">
        <v>28</v>
      </c>
      <c r="AR327" s="21"/>
      <c r="AS327" s="21" t="str">
        <f>VLOOKUP(AE327,'ref statu'!A:B,2,0)</f>
        <v>Fixed</v>
      </c>
      <c r="AT327" s="8" t="e">
        <f>VLOOKUP(A327,chk!A:B,2,0)</f>
        <v>#N/A</v>
      </c>
      <c r="AU327" s="29" t="e">
        <f>VLOOKUP(A327,checker!A:B,2,0)</f>
        <v>#N/A</v>
      </c>
      <c r="AV327" s="29" t="e">
        <f>VLOOKUP(A327,checker!B:C,2,0)</f>
        <v>#N/A</v>
      </c>
    </row>
    <row r="328" spans="1:48" x14ac:dyDescent="0.3">
      <c r="A328" s="29" t="str">
        <f t="shared" si="5"/>
        <v>96.692.66.646/0/oracle_linux-cve-2020-14363</v>
      </c>
      <c r="B328" s="61" t="s">
        <v>2997</v>
      </c>
      <c r="C328" s="61" t="s">
        <v>528</v>
      </c>
      <c r="D328" s="61" t="s">
        <v>2964</v>
      </c>
      <c r="E328" s="61" t="s">
        <v>28</v>
      </c>
      <c r="F328" s="61" t="s">
        <v>529</v>
      </c>
      <c r="G328" s="61" t="s">
        <v>530</v>
      </c>
      <c r="H328" s="61" t="s">
        <v>531</v>
      </c>
      <c r="I328" s="37" t="s">
        <v>532</v>
      </c>
      <c r="J328" s="37">
        <v>0</v>
      </c>
      <c r="K328" s="61" t="s">
        <v>258</v>
      </c>
      <c r="L328" s="61" t="s">
        <v>31</v>
      </c>
      <c r="M328" s="9">
        <v>5</v>
      </c>
      <c r="N328" s="9" t="s">
        <v>29</v>
      </c>
      <c r="O328" s="61" t="s">
        <v>2255</v>
      </c>
      <c r="P328" s="61" t="s">
        <v>2256</v>
      </c>
      <c r="Q328" s="61" t="s">
        <v>2257</v>
      </c>
      <c r="R328" s="61" t="s">
        <v>2258</v>
      </c>
      <c r="S328" s="61" t="s">
        <v>2259</v>
      </c>
      <c r="T328" s="61" t="s">
        <v>31</v>
      </c>
      <c r="U328" s="61" t="s">
        <v>2260</v>
      </c>
      <c r="V328" s="61" t="s">
        <v>2261</v>
      </c>
      <c r="W328" s="62">
        <v>44068</v>
      </c>
      <c r="X328" s="37" t="s">
        <v>30</v>
      </c>
      <c r="Y328" s="37">
        <v>0</v>
      </c>
      <c r="Z328" s="37" t="s">
        <v>31</v>
      </c>
      <c r="AA328" s="37" t="s">
        <v>31</v>
      </c>
      <c r="AB328" s="37" t="s">
        <v>513</v>
      </c>
      <c r="AC328" s="61"/>
      <c r="AD328" s="34"/>
      <c r="AE328" s="98" t="s">
        <v>28</v>
      </c>
      <c r="AF328" s="36">
        <v>44191</v>
      </c>
      <c r="AG328" s="36">
        <v>44191</v>
      </c>
      <c r="AH328" s="37"/>
      <c r="AI328" s="72">
        <v>44185</v>
      </c>
      <c r="AJ328" s="38" t="s">
        <v>27</v>
      </c>
      <c r="AK328" s="39" t="e">
        <f>VLOOKUP(A328,'[1]Externe MAJ Nov'!$A:$H,8,0)</f>
        <v>#N/A</v>
      </c>
      <c r="AL328" s="61"/>
      <c r="AM328" s="61"/>
      <c r="AN328" s="61"/>
      <c r="AO328" s="58">
        <v>44185</v>
      </c>
      <c r="AP328" s="29" t="e">
        <f>VLOOKUP(A328,'[2]External Scan 02_21'!$B:$J,9,0)</f>
        <v>#N/A</v>
      </c>
      <c r="AQ328" s="29" t="s">
        <v>28</v>
      </c>
      <c r="AR328" s="21"/>
      <c r="AS328" s="21" t="str">
        <f>VLOOKUP(AE328,'ref statu'!A:B,2,0)</f>
        <v>Fixed</v>
      </c>
      <c r="AT328" s="8" t="e">
        <f>VLOOKUP(A328,chk!A:B,2,0)</f>
        <v>#N/A</v>
      </c>
      <c r="AU328" s="29" t="e">
        <f>VLOOKUP(A328,checker!A:B,2,0)</f>
        <v>#N/A</v>
      </c>
      <c r="AV328" s="29" t="e">
        <f>VLOOKUP(A328,checker!B:C,2,0)</f>
        <v>#N/A</v>
      </c>
    </row>
    <row r="329" spans="1:48" x14ac:dyDescent="0.3">
      <c r="A329" s="29" t="str">
        <f t="shared" si="5"/>
        <v>96.692.66.646/0/oracle_linux-cve-2020-14416</v>
      </c>
      <c r="B329" s="61" t="s">
        <v>2997</v>
      </c>
      <c r="C329" s="61" t="s">
        <v>528</v>
      </c>
      <c r="D329" s="61" t="s">
        <v>2964</v>
      </c>
      <c r="E329" s="61" t="s">
        <v>28</v>
      </c>
      <c r="F329" s="61" t="s">
        <v>529</v>
      </c>
      <c r="G329" s="61" t="s">
        <v>530</v>
      </c>
      <c r="H329" s="61" t="s">
        <v>531</v>
      </c>
      <c r="I329" s="37" t="s">
        <v>532</v>
      </c>
      <c r="J329" s="37">
        <v>0</v>
      </c>
      <c r="K329" s="61" t="s">
        <v>258</v>
      </c>
      <c r="L329" s="61" t="s">
        <v>31</v>
      </c>
      <c r="M329" s="9">
        <v>5</v>
      </c>
      <c r="N329" s="9" t="s">
        <v>29</v>
      </c>
      <c r="O329" s="61" t="s">
        <v>2262</v>
      </c>
      <c r="P329" s="61" t="s">
        <v>2263</v>
      </c>
      <c r="Q329" s="61" t="s">
        <v>2264</v>
      </c>
      <c r="R329" s="61" t="s">
        <v>536</v>
      </c>
      <c r="S329" s="61" t="s">
        <v>2265</v>
      </c>
      <c r="T329" s="61" t="s">
        <v>31</v>
      </c>
      <c r="U329" s="61" t="s">
        <v>2266</v>
      </c>
      <c r="V329" s="61" t="s">
        <v>2267</v>
      </c>
      <c r="W329" s="62">
        <v>44000</v>
      </c>
      <c r="X329" s="37" t="s">
        <v>30</v>
      </c>
      <c r="Y329" s="37">
        <v>0</v>
      </c>
      <c r="Z329" s="37" t="s">
        <v>31</v>
      </c>
      <c r="AA329" s="37" t="s">
        <v>31</v>
      </c>
      <c r="AB329" s="37" t="s">
        <v>513</v>
      </c>
      <c r="AC329" s="61"/>
      <c r="AD329" s="34"/>
      <c r="AE329" s="98" t="s">
        <v>28</v>
      </c>
      <c r="AF329" s="36">
        <v>44191</v>
      </c>
      <c r="AG329" s="36">
        <v>44191</v>
      </c>
      <c r="AH329" s="37"/>
      <c r="AI329" s="72">
        <v>44185</v>
      </c>
      <c r="AJ329" s="38" t="s">
        <v>27</v>
      </c>
      <c r="AK329" s="39" t="e">
        <f>VLOOKUP(A329,'[1]Externe MAJ Nov'!$A:$H,8,0)</f>
        <v>#N/A</v>
      </c>
      <c r="AL329" s="61"/>
      <c r="AM329" s="61"/>
      <c r="AN329" s="61"/>
      <c r="AO329" s="58">
        <v>44185</v>
      </c>
      <c r="AP329" s="29" t="e">
        <f>VLOOKUP(A329,'[2]External Scan 02_21'!$B:$J,9,0)</f>
        <v>#N/A</v>
      </c>
      <c r="AQ329" s="29" t="s">
        <v>28</v>
      </c>
      <c r="AR329" s="21"/>
      <c r="AS329" s="21" t="str">
        <f>VLOOKUP(AE329,'ref statu'!A:B,2,0)</f>
        <v>Fixed</v>
      </c>
      <c r="AT329" s="8" t="e">
        <f>VLOOKUP(A329,chk!A:B,2,0)</f>
        <v>#N/A</v>
      </c>
      <c r="AU329" s="29" t="e">
        <f>VLOOKUP(A329,checker!A:B,2,0)</f>
        <v>#N/A</v>
      </c>
      <c r="AV329" s="29" t="e">
        <f>VLOOKUP(A329,checker!B:C,2,0)</f>
        <v>#N/A</v>
      </c>
    </row>
    <row r="330" spans="1:48" x14ac:dyDescent="0.3">
      <c r="A330" s="29" t="str">
        <f t="shared" si="5"/>
        <v>96.692.66.646/0/oracle_linux-cve-2020-1472</v>
      </c>
      <c r="B330" s="61" t="s">
        <v>2997</v>
      </c>
      <c r="C330" s="61" t="s">
        <v>528</v>
      </c>
      <c r="D330" s="61" t="s">
        <v>2964</v>
      </c>
      <c r="E330" s="61" t="s">
        <v>28</v>
      </c>
      <c r="F330" s="61" t="s">
        <v>529</v>
      </c>
      <c r="G330" s="61" t="s">
        <v>530</v>
      </c>
      <c r="H330" s="61" t="s">
        <v>531</v>
      </c>
      <c r="I330" s="37" t="s">
        <v>532</v>
      </c>
      <c r="J330" s="37">
        <v>0</v>
      </c>
      <c r="K330" s="61" t="s">
        <v>258</v>
      </c>
      <c r="L330" s="61" t="s">
        <v>31</v>
      </c>
      <c r="M330" s="9">
        <v>9</v>
      </c>
      <c r="N330" s="10" t="s">
        <v>164</v>
      </c>
      <c r="O330" s="61" t="s">
        <v>2268</v>
      </c>
      <c r="P330" s="61" t="s">
        <v>2269</v>
      </c>
      <c r="Q330" s="61" t="s">
        <v>2270</v>
      </c>
      <c r="R330" s="61" t="s">
        <v>2240</v>
      </c>
      <c r="S330" s="61" t="s">
        <v>2241</v>
      </c>
      <c r="T330" s="61" t="s">
        <v>31</v>
      </c>
      <c r="U330" s="61" t="s">
        <v>2271</v>
      </c>
      <c r="V330" s="61" t="s">
        <v>2272</v>
      </c>
      <c r="W330" s="62">
        <v>44060</v>
      </c>
      <c r="X330" s="37" t="s">
        <v>30</v>
      </c>
      <c r="Y330" s="37">
        <v>2</v>
      </c>
      <c r="Z330" s="37" t="s">
        <v>241</v>
      </c>
      <c r="AA330" s="37" t="s">
        <v>2273</v>
      </c>
      <c r="AB330" s="37" t="s">
        <v>513</v>
      </c>
      <c r="AC330" s="61"/>
      <c r="AD330" s="33"/>
      <c r="AE330" s="98" t="s">
        <v>28</v>
      </c>
      <c r="AF330" s="36">
        <v>44191</v>
      </c>
      <c r="AG330" s="36">
        <v>44191</v>
      </c>
      <c r="AH330" s="37"/>
      <c r="AI330" s="72">
        <v>44185</v>
      </c>
      <c r="AJ330" s="38" t="s">
        <v>27</v>
      </c>
      <c r="AK330" s="39" t="e">
        <f>VLOOKUP(A330,'[1]Externe MAJ Nov'!$A:$H,8,0)</f>
        <v>#N/A</v>
      </c>
      <c r="AL330" s="61"/>
      <c r="AM330" s="61"/>
      <c r="AN330" s="61"/>
      <c r="AO330" s="58">
        <v>44185</v>
      </c>
      <c r="AP330" s="29" t="e">
        <f>VLOOKUP(A330,'[2]External Scan 02_21'!$B:$J,9,0)</f>
        <v>#N/A</v>
      </c>
      <c r="AQ330" s="29" t="s">
        <v>28</v>
      </c>
      <c r="AR330" s="21"/>
      <c r="AS330" s="21" t="str">
        <f>VLOOKUP(AE330,'ref statu'!A:B,2,0)</f>
        <v>Fixed</v>
      </c>
      <c r="AT330" s="8" t="e">
        <f>VLOOKUP(A330,chk!A:B,2,0)</f>
        <v>#N/A</v>
      </c>
      <c r="AU330" s="29" t="e">
        <f>VLOOKUP(A330,checker!A:B,2,0)</f>
        <v>#N/A</v>
      </c>
      <c r="AV330" s="29" t="e">
        <f>VLOOKUP(A330,checker!B:C,2,0)</f>
        <v>#N/A</v>
      </c>
    </row>
    <row r="331" spans="1:48" x14ac:dyDescent="0.3">
      <c r="A331" s="29" t="str">
        <f t="shared" si="5"/>
        <v>96.692.66.646/0/oracle_linux-cve-2020-15999</v>
      </c>
      <c r="B331" s="61" t="s">
        <v>2997</v>
      </c>
      <c r="C331" s="61" t="s">
        <v>528</v>
      </c>
      <c r="D331" s="61" t="s">
        <v>2964</v>
      </c>
      <c r="E331" s="61" t="s">
        <v>28</v>
      </c>
      <c r="F331" s="61" t="s">
        <v>529</v>
      </c>
      <c r="G331" s="61" t="s">
        <v>530</v>
      </c>
      <c r="H331" s="61" t="s">
        <v>531</v>
      </c>
      <c r="I331" s="37" t="s">
        <v>532</v>
      </c>
      <c r="J331" s="37">
        <v>0</v>
      </c>
      <c r="K331" s="61" t="s">
        <v>258</v>
      </c>
      <c r="L331" s="61" t="s">
        <v>31</v>
      </c>
      <c r="M331" s="9">
        <v>4</v>
      </c>
      <c r="N331" s="9" t="s">
        <v>29</v>
      </c>
      <c r="O331" s="61" t="s">
        <v>2274</v>
      </c>
      <c r="P331" s="61" t="s">
        <v>2275</v>
      </c>
      <c r="Q331" s="61" t="s">
        <v>2276</v>
      </c>
      <c r="R331" s="61" t="s">
        <v>2277</v>
      </c>
      <c r="S331" s="61" t="s">
        <v>2278</v>
      </c>
      <c r="T331" s="61" t="s">
        <v>31</v>
      </c>
      <c r="U331" s="61" t="s">
        <v>2279</v>
      </c>
      <c r="V331" s="61" t="s">
        <v>2280</v>
      </c>
      <c r="W331" s="62">
        <v>44124</v>
      </c>
      <c r="X331" s="37" t="s">
        <v>30</v>
      </c>
      <c r="Y331" s="37">
        <v>0</v>
      </c>
      <c r="Z331" s="37" t="s">
        <v>31</v>
      </c>
      <c r="AA331" s="37" t="s">
        <v>31</v>
      </c>
      <c r="AB331" s="37" t="s">
        <v>513</v>
      </c>
      <c r="AC331" s="61"/>
      <c r="AD331" s="34"/>
      <c r="AE331" s="98" t="s">
        <v>28</v>
      </c>
      <c r="AF331" s="36">
        <v>44191</v>
      </c>
      <c r="AG331" s="36">
        <v>44191</v>
      </c>
      <c r="AH331" s="37"/>
      <c r="AI331" s="72">
        <v>44185</v>
      </c>
      <c r="AJ331" s="38" t="s">
        <v>27</v>
      </c>
      <c r="AK331" s="39" t="e">
        <f>VLOOKUP(A331,'[1]Externe MAJ Nov'!$A:$H,8,0)</f>
        <v>#N/A</v>
      </c>
      <c r="AL331" s="61"/>
      <c r="AM331" s="61"/>
      <c r="AN331" s="61"/>
      <c r="AO331" s="58">
        <v>44185</v>
      </c>
      <c r="AP331" s="29" t="e">
        <f>VLOOKUP(A331,'[2]External Scan 02_21'!$B:$J,9,0)</f>
        <v>#N/A</v>
      </c>
      <c r="AQ331" s="29" t="s">
        <v>28</v>
      </c>
      <c r="AR331" s="21"/>
      <c r="AS331" s="21" t="str">
        <f>VLOOKUP(AE331,'ref statu'!A:B,2,0)</f>
        <v>Fixed</v>
      </c>
      <c r="AT331" s="8" t="e">
        <f>VLOOKUP(A331,chk!A:B,2,0)</f>
        <v>#N/A</v>
      </c>
      <c r="AU331" s="29" t="e">
        <f>VLOOKUP(A331,checker!A:B,2,0)</f>
        <v>#N/A</v>
      </c>
      <c r="AV331" s="29" t="e">
        <f>VLOOKUP(A331,checker!B:C,2,0)</f>
        <v>#N/A</v>
      </c>
    </row>
    <row r="332" spans="1:48" x14ac:dyDescent="0.3">
      <c r="A332" s="29" t="str">
        <f t="shared" si="5"/>
        <v>96.692.66.646/0/oracle_linux-cve-2020-16166</v>
      </c>
      <c r="B332" s="61" t="s">
        <v>2997</v>
      </c>
      <c r="C332" s="61" t="s">
        <v>528</v>
      </c>
      <c r="D332" s="61" t="s">
        <v>2964</v>
      </c>
      <c r="E332" s="61" t="s">
        <v>28</v>
      </c>
      <c r="F332" s="61" t="s">
        <v>529</v>
      </c>
      <c r="G332" s="61" t="s">
        <v>530</v>
      </c>
      <c r="H332" s="61" t="s">
        <v>531</v>
      </c>
      <c r="I332" s="37" t="s">
        <v>532</v>
      </c>
      <c r="J332" s="37">
        <v>0</v>
      </c>
      <c r="K332" s="61" t="s">
        <v>258</v>
      </c>
      <c r="L332" s="61" t="s">
        <v>31</v>
      </c>
      <c r="M332" s="9">
        <v>4</v>
      </c>
      <c r="N332" s="9" t="s">
        <v>29</v>
      </c>
      <c r="O332" s="61" t="s">
        <v>2281</v>
      </c>
      <c r="P332" s="61" t="s">
        <v>2282</v>
      </c>
      <c r="Q332" s="61" t="s">
        <v>2283</v>
      </c>
      <c r="R332" s="61" t="s">
        <v>1350</v>
      </c>
      <c r="S332" s="61" t="s">
        <v>2284</v>
      </c>
      <c r="T332" s="61" t="s">
        <v>31</v>
      </c>
      <c r="U332" s="61" t="s">
        <v>2285</v>
      </c>
      <c r="V332" s="61" t="s">
        <v>2286</v>
      </c>
      <c r="W332" s="62">
        <v>44042</v>
      </c>
      <c r="X332" s="37" t="s">
        <v>30</v>
      </c>
      <c r="Y332" s="37">
        <v>0</v>
      </c>
      <c r="Z332" s="37" t="s">
        <v>31</v>
      </c>
      <c r="AA332" s="37" t="s">
        <v>31</v>
      </c>
      <c r="AB332" s="37" t="s">
        <v>513</v>
      </c>
      <c r="AC332" s="61"/>
      <c r="AD332" s="34"/>
      <c r="AE332" s="98" t="s">
        <v>28</v>
      </c>
      <c r="AF332" s="36">
        <v>44191</v>
      </c>
      <c r="AG332" s="36">
        <v>44191</v>
      </c>
      <c r="AH332" s="37"/>
      <c r="AI332" s="72">
        <v>44185</v>
      </c>
      <c r="AJ332" s="38" t="s">
        <v>27</v>
      </c>
      <c r="AK332" s="39" t="e">
        <f>VLOOKUP(A332,'[1]Externe MAJ Nov'!$A:$H,8,0)</f>
        <v>#N/A</v>
      </c>
      <c r="AL332" s="61"/>
      <c r="AM332" s="61"/>
      <c r="AN332" s="61"/>
      <c r="AO332" s="58">
        <v>44185</v>
      </c>
      <c r="AP332" s="29" t="e">
        <f>VLOOKUP(A332,'[2]External Scan 02_21'!$B:$J,9,0)</f>
        <v>#N/A</v>
      </c>
      <c r="AQ332" s="29" t="s">
        <v>28</v>
      </c>
      <c r="AR332" s="21"/>
      <c r="AS332" s="21" t="str">
        <f>VLOOKUP(AE332,'ref statu'!A:B,2,0)</f>
        <v>Fixed</v>
      </c>
      <c r="AT332" s="8" t="e">
        <f>VLOOKUP(A332,chk!A:B,2,0)</f>
        <v>#N/A</v>
      </c>
      <c r="AU332" s="29" t="e">
        <f>VLOOKUP(A332,checker!A:B,2,0)</f>
        <v>#N/A</v>
      </c>
      <c r="AV332" s="29" t="e">
        <f>VLOOKUP(A332,checker!B:C,2,0)</f>
        <v>#N/A</v>
      </c>
    </row>
    <row r="333" spans="1:48" x14ac:dyDescent="0.3">
      <c r="A333" s="29" t="str">
        <f t="shared" si="5"/>
        <v>96.692.66.646/0/oracle_linux-cve-2020-1749</v>
      </c>
      <c r="B333" s="61" t="s">
        <v>2997</v>
      </c>
      <c r="C333" s="61" t="s">
        <v>528</v>
      </c>
      <c r="D333" s="61" t="s">
        <v>2964</v>
      </c>
      <c r="E333" s="61" t="s">
        <v>28</v>
      </c>
      <c r="F333" s="61" t="s">
        <v>529</v>
      </c>
      <c r="G333" s="61" t="s">
        <v>530</v>
      </c>
      <c r="H333" s="61" t="s">
        <v>531</v>
      </c>
      <c r="I333" s="37" t="s">
        <v>532</v>
      </c>
      <c r="J333" s="37">
        <v>0</v>
      </c>
      <c r="K333" s="61" t="s">
        <v>258</v>
      </c>
      <c r="L333" s="61" t="s">
        <v>31</v>
      </c>
      <c r="M333" s="9">
        <v>5</v>
      </c>
      <c r="N333" s="9" t="s">
        <v>29</v>
      </c>
      <c r="O333" s="61" t="s">
        <v>2287</v>
      </c>
      <c r="P333" s="61" t="s">
        <v>2288</v>
      </c>
      <c r="Q333" s="61" t="s">
        <v>2289</v>
      </c>
      <c r="R333" s="61" t="s">
        <v>581</v>
      </c>
      <c r="S333" s="61" t="s">
        <v>2290</v>
      </c>
      <c r="T333" s="61" t="s">
        <v>31</v>
      </c>
      <c r="U333" s="61" t="s">
        <v>2291</v>
      </c>
      <c r="V333" s="61" t="s">
        <v>2292</v>
      </c>
      <c r="W333" s="62">
        <v>43924</v>
      </c>
      <c r="X333" s="37" t="s">
        <v>30</v>
      </c>
      <c r="Y333" s="37">
        <v>0</v>
      </c>
      <c r="Z333" s="37" t="s">
        <v>31</v>
      </c>
      <c r="AA333" s="37" t="s">
        <v>31</v>
      </c>
      <c r="AB333" s="37" t="s">
        <v>513</v>
      </c>
      <c r="AC333" s="61"/>
      <c r="AD333" s="33"/>
      <c r="AE333" s="98" t="s">
        <v>28</v>
      </c>
      <c r="AF333" s="36">
        <v>44191</v>
      </c>
      <c r="AG333" s="36">
        <v>44191</v>
      </c>
      <c r="AH333" s="37"/>
      <c r="AI333" s="72">
        <v>44185</v>
      </c>
      <c r="AJ333" s="38" t="s">
        <v>27</v>
      </c>
      <c r="AK333" s="39" t="e">
        <f>VLOOKUP(A333,'[1]Externe MAJ Nov'!$A:$H,8,0)</f>
        <v>#N/A</v>
      </c>
      <c r="AL333" s="61"/>
      <c r="AM333" s="61"/>
      <c r="AN333" s="61"/>
      <c r="AO333" s="58">
        <v>44185</v>
      </c>
      <c r="AP333" s="29" t="e">
        <f>VLOOKUP(A333,'[2]External Scan 02_21'!$B:$J,9,0)</f>
        <v>#N/A</v>
      </c>
      <c r="AQ333" s="29" t="s">
        <v>28</v>
      </c>
      <c r="AR333" s="21"/>
      <c r="AS333" s="21" t="str">
        <f>VLOOKUP(AE333,'ref statu'!A:B,2,0)</f>
        <v>Fixed</v>
      </c>
      <c r="AT333" s="8" t="e">
        <f>VLOOKUP(A333,chk!A:B,2,0)</f>
        <v>#N/A</v>
      </c>
      <c r="AU333" s="29" t="e">
        <f>VLOOKUP(A333,checker!A:B,2,0)</f>
        <v>#N/A</v>
      </c>
      <c r="AV333" s="29" t="e">
        <f>VLOOKUP(A333,checker!B:C,2,0)</f>
        <v>#N/A</v>
      </c>
    </row>
    <row r="334" spans="1:48" x14ac:dyDescent="0.3">
      <c r="A334" s="29" t="str">
        <f t="shared" si="5"/>
        <v>96.692.66.646/0/oracle_linux-cve-2020-1971</v>
      </c>
      <c r="B334" s="61" t="s">
        <v>2997</v>
      </c>
      <c r="C334" s="61" t="s">
        <v>528</v>
      </c>
      <c r="D334" s="61" t="s">
        <v>2964</v>
      </c>
      <c r="E334" s="61" t="s">
        <v>28</v>
      </c>
      <c r="F334" s="61" t="s">
        <v>529</v>
      </c>
      <c r="G334" s="61" t="s">
        <v>530</v>
      </c>
      <c r="H334" s="61" t="s">
        <v>531</v>
      </c>
      <c r="I334" s="37" t="s">
        <v>532</v>
      </c>
      <c r="J334" s="37">
        <v>0</v>
      </c>
      <c r="K334" s="61" t="s">
        <v>258</v>
      </c>
      <c r="L334" s="61" t="s">
        <v>31</v>
      </c>
      <c r="M334" s="9">
        <v>4</v>
      </c>
      <c r="N334" s="9" t="s">
        <v>29</v>
      </c>
      <c r="O334" s="61" t="s">
        <v>2293</v>
      </c>
      <c r="P334" s="61" t="s">
        <v>2294</v>
      </c>
      <c r="Q334" s="61" t="s">
        <v>2295</v>
      </c>
      <c r="R334" s="61" t="s">
        <v>2296</v>
      </c>
      <c r="S334" s="61" t="s">
        <v>2297</v>
      </c>
      <c r="T334" s="61" t="s">
        <v>31</v>
      </c>
      <c r="U334" s="61" t="s">
        <v>2298</v>
      </c>
      <c r="V334" s="61" t="s">
        <v>2299</v>
      </c>
      <c r="W334" s="62">
        <v>44173</v>
      </c>
      <c r="X334" s="37" t="s">
        <v>30</v>
      </c>
      <c r="Y334" s="37">
        <v>0</v>
      </c>
      <c r="Z334" s="37" t="s">
        <v>31</v>
      </c>
      <c r="AA334" s="37" t="s">
        <v>31</v>
      </c>
      <c r="AB334" s="37" t="s">
        <v>513</v>
      </c>
      <c r="AC334" s="61"/>
      <c r="AD334" s="34"/>
      <c r="AE334" s="98" t="s">
        <v>28</v>
      </c>
      <c r="AF334" s="36">
        <v>44191</v>
      </c>
      <c r="AG334" s="36">
        <v>44191</v>
      </c>
      <c r="AH334" s="37"/>
      <c r="AI334" s="72">
        <v>44185</v>
      </c>
      <c r="AJ334" s="38" t="s">
        <v>27</v>
      </c>
      <c r="AK334" s="39" t="e">
        <f>VLOOKUP(A334,'[1]Externe MAJ Nov'!$A:$H,8,0)</f>
        <v>#N/A</v>
      </c>
      <c r="AL334" s="61"/>
      <c r="AM334" s="61"/>
      <c r="AN334" s="61"/>
      <c r="AO334" s="58">
        <v>44185</v>
      </c>
      <c r="AP334" s="29" t="e">
        <f>VLOOKUP(A334,'[2]External Scan 02_21'!$B:$J,9,0)</f>
        <v>#N/A</v>
      </c>
      <c r="AQ334" s="29" t="s">
        <v>28</v>
      </c>
      <c r="AR334" s="21"/>
      <c r="AS334" s="21" t="str">
        <f>VLOOKUP(AE334,'ref statu'!A:B,2,0)</f>
        <v>Fixed</v>
      </c>
      <c r="AT334" s="8" t="e">
        <f>VLOOKUP(A334,chk!A:B,2,0)</f>
        <v>#N/A</v>
      </c>
      <c r="AU334" s="29" t="e">
        <f>VLOOKUP(A334,checker!A:B,2,0)</f>
        <v>#N/A</v>
      </c>
      <c r="AV334" s="29" t="e">
        <f>VLOOKUP(A334,checker!B:C,2,0)</f>
        <v>#N/A</v>
      </c>
    </row>
    <row r="335" spans="1:48" x14ac:dyDescent="0.3">
      <c r="A335" s="29" t="str">
        <f t="shared" si="5"/>
        <v>96.692.66.646/0/oracle_linux-cve-2020-25211</v>
      </c>
      <c r="B335" s="61" t="s">
        <v>2997</v>
      </c>
      <c r="C335" s="61" t="s">
        <v>528</v>
      </c>
      <c r="D335" s="61" t="s">
        <v>2964</v>
      </c>
      <c r="E335" s="61" t="s">
        <v>28</v>
      </c>
      <c r="F335" s="61" t="s">
        <v>529</v>
      </c>
      <c r="G335" s="61" t="s">
        <v>530</v>
      </c>
      <c r="H335" s="61" t="s">
        <v>531</v>
      </c>
      <c r="I335" s="37" t="s">
        <v>532</v>
      </c>
      <c r="J335" s="37">
        <v>0</v>
      </c>
      <c r="K335" s="61" t="s">
        <v>258</v>
      </c>
      <c r="L335" s="61" t="s">
        <v>31</v>
      </c>
      <c r="M335" s="9">
        <v>4</v>
      </c>
      <c r="N335" s="9" t="s">
        <v>29</v>
      </c>
      <c r="O335" s="61" t="s">
        <v>2300</v>
      </c>
      <c r="P335" s="61" t="s">
        <v>2301</v>
      </c>
      <c r="Q335" s="61" t="s">
        <v>2302</v>
      </c>
      <c r="R335" s="61" t="s">
        <v>1343</v>
      </c>
      <c r="S335" s="61" t="s">
        <v>2303</v>
      </c>
      <c r="T335" s="61" t="s">
        <v>31</v>
      </c>
      <c r="U335" s="61" t="s">
        <v>2304</v>
      </c>
      <c r="V335" s="61" t="s">
        <v>2305</v>
      </c>
      <c r="W335" s="62">
        <v>44083</v>
      </c>
      <c r="X335" s="37" t="s">
        <v>30</v>
      </c>
      <c r="Y335" s="37">
        <v>0</v>
      </c>
      <c r="Z335" s="37" t="s">
        <v>31</v>
      </c>
      <c r="AA335" s="37" t="s">
        <v>31</v>
      </c>
      <c r="AB335" s="37" t="s">
        <v>513</v>
      </c>
      <c r="AC335" s="61"/>
      <c r="AD335" s="34"/>
      <c r="AE335" s="98" t="s">
        <v>28</v>
      </c>
      <c r="AF335" s="36">
        <v>44191</v>
      </c>
      <c r="AG335" s="36">
        <v>44191</v>
      </c>
      <c r="AH335" s="37"/>
      <c r="AI335" s="72">
        <v>44185</v>
      </c>
      <c r="AJ335" s="38" t="s">
        <v>27</v>
      </c>
      <c r="AK335" s="39" t="e">
        <f>VLOOKUP(A335,'[1]Externe MAJ Nov'!$A:$H,8,0)</f>
        <v>#N/A</v>
      </c>
      <c r="AL335" s="61"/>
      <c r="AM335" s="61"/>
      <c r="AN335" s="61"/>
      <c r="AO335" s="58">
        <v>44185</v>
      </c>
      <c r="AP335" s="29" t="e">
        <f>VLOOKUP(A335,'[2]External Scan 02_21'!$B:$J,9,0)</f>
        <v>#N/A</v>
      </c>
      <c r="AQ335" s="29" t="s">
        <v>28</v>
      </c>
      <c r="AR335" s="21"/>
      <c r="AS335" s="21" t="str">
        <f>VLOOKUP(AE335,'ref statu'!A:B,2,0)</f>
        <v>Fixed</v>
      </c>
      <c r="AT335" s="8" t="e">
        <f>VLOOKUP(A335,chk!A:B,2,0)</f>
        <v>#N/A</v>
      </c>
      <c r="AU335" s="29" t="e">
        <f>VLOOKUP(A335,checker!A:B,2,0)</f>
        <v>#N/A</v>
      </c>
      <c r="AV335" s="29" t="e">
        <f>VLOOKUP(A335,checker!B:C,2,0)</f>
        <v>#N/A</v>
      </c>
    </row>
    <row r="336" spans="1:48" x14ac:dyDescent="0.3">
      <c r="A336" s="29" t="str">
        <f t="shared" si="5"/>
        <v>96.692.66.646/0/oracle_linux-cve-2020-25212</v>
      </c>
      <c r="B336" s="61" t="s">
        <v>2997</v>
      </c>
      <c r="C336" s="61" t="s">
        <v>528</v>
      </c>
      <c r="D336" s="61" t="s">
        <v>2964</v>
      </c>
      <c r="E336" s="61" t="s">
        <v>28</v>
      </c>
      <c r="F336" s="61" t="s">
        <v>529</v>
      </c>
      <c r="G336" s="61" t="s">
        <v>530</v>
      </c>
      <c r="H336" s="61" t="s">
        <v>531</v>
      </c>
      <c r="I336" s="37" t="s">
        <v>532</v>
      </c>
      <c r="J336" s="37">
        <v>0</v>
      </c>
      <c r="K336" s="61" t="s">
        <v>258</v>
      </c>
      <c r="L336" s="61" t="s">
        <v>31</v>
      </c>
      <c r="M336" s="9">
        <v>4</v>
      </c>
      <c r="N336" s="9" t="s">
        <v>29</v>
      </c>
      <c r="O336" s="61" t="s">
        <v>2306</v>
      </c>
      <c r="P336" s="61" t="s">
        <v>2307</v>
      </c>
      <c r="Q336" s="61" t="s">
        <v>2308</v>
      </c>
      <c r="R336" s="61" t="s">
        <v>1350</v>
      </c>
      <c r="S336" s="61" t="s">
        <v>2309</v>
      </c>
      <c r="T336" s="61" t="s">
        <v>31</v>
      </c>
      <c r="U336" s="61" t="s">
        <v>2310</v>
      </c>
      <c r="V336" s="61" t="s">
        <v>2311</v>
      </c>
      <c r="W336" s="62">
        <v>44083</v>
      </c>
      <c r="X336" s="37" t="s">
        <v>30</v>
      </c>
      <c r="Y336" s="37">
        <v>0</v>
      </c>
      <c r="Z336" s="37" t="s">
        <v>31</v>
      </c>
      <c r="AA336" s="37" t="s">
        <v>31</v>
      </c>
      <c r="AB336" s="37" t="s">
        <v>513</v>
      </c>
      <c r="AC336" s="61"/>
      <c r="AD336" s="33"/>
      <c r="AE336" s="98" t="s">
        <v>28</v>
      </c>
      <c r="AF336" s="36">
        <v>44191</v>
      </c>
      <c r="AG336" s="36">
        <v>44191</v>
      </c>
      <c r="AH336" s="37"/>
      <c r="AI336" s="72">
        <v>44185</v>
      </c>
      <c r="AJ336" s="38" t="s">
        <v>27</v>
      </c>
      <c r="AK336" s="39" t="e">
        <f>VLOOKUP(A336,'[1]Externe MAJ Nov'!$A:$H,8,0)</f>
        <v>#N/A</v>
      </c>
      <c r="AL336" s="61"/>
      <c r="AM336" s="61"/>
      <c r="AN336" s="61"/>
      <c r="AO336" s="58">
        <v>44185</v>
      </c>
      <c r="AP336" s="29" t="e">
        <f>VLOOKUP(A336,'[2]External Scan 02_21'!$B:$J,9,0)</f>
        <v>#N/A</v>
      </c>
      <c r="AQ336" s="29" t="s">
        <v>28</v>
      </c>
      <c r="AR336" s="21"/>
      <c r="AS336" s="21" t="str">
        <f>VLOOKUP(AE336,'ref statu'!A:B,2,0)</f>
        <v>Fixed</v>
      </c>
      <c r="AT336" s="8" t="e">
        <f>VLOOKUP(A336,chk!A:B,2,0)</f>
        <v>#N/A</v>
      </c>
      <c r="AU336" s="29" t="e">
        <f>VLOOKUP(A336,checker!A:B,2,0)</f>
        <v>#N/A</v>
      </c>
      <c r="AV336" s="29" t="e">
        <f>VLOOKUP(A336,checker!B:C,2,0)</f>
        <v>#N/A</v>
      </c>
    </row>
    <row r="337" spans="1:48" x14ac:dyDescent="0.3">
      <c r="A337" s="29" t="str">
        <f t="shared" si="5"/>
        <v>96.692.66.646/0/oracle_linux-cve-2020-25284</v>
      </c>
      <c r="B337" s="61" t="s">
        <v>2997</v>
      </c>
      <c r="C337" s="61" t="s">
        <v>528</v>
      </c>
      <c r="D337" s="61" t="s">
        <v>2964</v>
      </c>
      <c r="E337" s="61" t="s">
        <v>28</v>
      </c>
      <c r="F337" s="61" t="s">
        <v>529</v>
      </c>
      <c r="G337" s="61" t="s">
        <v>530</v>
      </c>
      <c r="H337" s="61" t="s">
        <v>531</v>
      </c>
      <c r="I337" s="37" t="s">
        <v>532</v>
      </c>
      <c r="J337" s="37">
        <v>0</v>
      </c>
      <c r="K337" s="61" t="s">
        <v>258</v>
      </c>
      <c r="L337" s="61" t="s">
        <v>31</v>
      </c>
      <c r="M337" s="9">
        <v>2</v>
      </c>
      <c r="N337" s="9" t="s">
        <v>42</v>
      </c>
      <c r="O337" s="61" t="s">
        <v>2312</v>
      </c>
      <c r="P337" s="61" t="s">
        <v>2313</v>
      </c>
      <c r="Q337" s="61" t="s">
        <v>2314</v>
      </c>
      <c r="R337" s="61" t="s">
        <v>1343</v>
      </c>
      <c r="S337" s="61" t="s">
        <v>2315</v>
      </c>
      <c r="T337" s="61" t="s">
        <v>31</v>
      </c>
      <c r="U337" s="61" t="s">
        <v>2316</v>
      </c>
      <c r="V337" s="61" t="s">
        <v>2317</v>
      </c>
      <c r="W337" s="62">
        <v>44087</v>
      </c>
      <c r="X337" s="37" t="s">
        <v>30</v>
      </c>
      <c r="Y337" s="37">
        <v>0</v>
      </c>
      <c r="Z337" s="37" t="s">
        <v>31</v>
      </c>
      <c r="AA337" s="37" t="s">
        <v>31</v>
      </c>
      <c r="AB337" s="37" t="s">
        <v>513</v>
      </c>
      <c r="AC337" s="61"/>
      <c r="AD337" s="34"/>
      <c r="AE337" s="98" t="s">
        <v>28</v>
      </c>
      <c r="AF337" s="36">
        <v>44191</v>
      </c>
      <c r="AG337" s="36">
        <v>44191</v>
      </c>
      <c r="AH337" s="37"/>
      <c r="AI337" s="72">
        <v>44185</v>
      </c>
      <c r="AJ337" s="38" t="s">
        <v>27</v>
      </c>
      <c r="AK337" s="39" t="e">
        <f>VLOOKUP(A337,'[1]Externe MAJ Nov'!$A:$H,8,0)</f>
        <v>#N/A</v>
      </c>
      <c r="AL337" s="61"/>
      <c r="AM337" s="61"/>
      <c r="AN337" s="61"/>
      <c r="AO337" s="58">
        <v>44185</v>
      </c>
      <c r="AP337" s="29" t="e">
        <f>VLOOKUP(A337,'[2]External Scan 02_21'!$B:$J,9,0)</f>
        <v>#N/A</v>
      </c>
      <c r="AQ337" s="29" t="s">
        <v>28</v>
      </c>
      <c r="AR337" s="21"/>
      <c r="AS337" s="21" t="str">
        <f>VLOOKUP(AE337,'ref statu'!A:B,2,0)</f>
        <v>Fixed</v>
      </c>
      <c r="AT337" s="8" t="e">
        <f>VLOOKUP(A337,chk!A:B,2,0)</f>
        <v>#N/A</v>
      </c>
      <c r="AU337" s="29" t="e">
        <f>VLOOKUP(A337,checker!A:B,2,0)</f>
        <v>#N/A</v>
      </c>
      <c r="AV337" s="29" t="e">
        <f>VLOOKUP(A337,checker!B:C,2,0)</f>
        <v>#N/A</v>
      </c>
    </row>
    <row r="338" spans="1:48" x14ac:dyDescent="0.3">
      <c r="A338" s="29" t="str">
        <f t="shared" si="5"/>
        <v>96.692.66.646/0/oracle_linux-cve-2020-25285</v>
      </c>
      <c r="B338" s="61" t="s">
        <v>2997</v>
      </c>
      <c r="C338" s="61" t="s">
        <v>528</v>
      </c>
      <c r="D338" s="61" t="s">
        <v>2964</v>
      </c>
      <c r="E338" s="61" t="s">
        <v>28</v>
      </c>
      <c r="F338" s="61" t="s">
        <v>529</v>
      </c>
      <c r="G338" s="61" t="s">
        <v>530</v>
      </c>
      <c r="H338" s="61" t="s">
        <v>531</v>
      </c>
      <c r="I338" s="37" t="s">
        <v>532</v>
      </c>
      <c r="J338" s="37">
        <v>0</v>
      </c>
      <c r="K338" s="61" t="s">
        <v>258</v>
      </c>
      <c r="L338" s="61" t="s">
        <v>31</v>
      </c>
      <c r="M338" s="9">
        <v>4</v>
      </c>
      <c r="N338" s="9" t="s">
        <v>29</v>
      </c>
      <c r="O338" s="61" t="s">
        <v>2318</v>
      </c>
      <c r="P338" s="61" t="s">
        <v>2319</v>
      </c>
      <c r="Q338" s="61" t="s">
        <v>2320</v>
      </c>
      <c r="R338" s="61" t="s">
        <v>723</v>
      </c>
      <c r="S338" s="61" t="s">
        <v>2321</v>
      </c>
      <c r="T338" s="61" t="s">
        <v>31</v>
      </c>
      <c r="U338" s="61" t="s">
        <v>2322</v>
      </c>
      <c r="V338" s="61" t="s">
        <v>2323</v>
      </c>
      <c r="W338" s="62">
        <v>44087</v>
      </c>
      <c r="X338" s="37" t="s">
        <v>30</v>
      </c>
      <c r="Y338" s="37">
        <v>0</v>
      </c>
      <c r="Z338" s="37" t="s">
        <v>31</v>
      </c>
      <c r="AA338" s="37" t="s">
        <v>31</v>
      </c>
      <c r="AB338" s="37" t="s">
        <v>513</v>
      </c>
      <c r="AC338" s="61"/>
      <c r="AD338" s="34"/>
      <c r="AE338" s="98" t="s">
        <v>28</v>
      </c>
      <c r="AF338" s="36">
        <v>44191</v>
      </c>
      <c r="AG338" s="36">
        <v>44191</v>
      </c>
      <c r="AH338" s="37"/>
      <c r="AI338" s="72">
        <v>44185</v>
      </c>
      <c r="AJ338" s="38" t="s">
        <v>27</v>
      </c>
      <c r="AK338" s="39" t="e">
        <f>VLOOKUP(A338,'[1]Externe MAJ Nov'!$A:$H,8,0)</f>
        <v>#N/A</v>
      </c>
      <c r="AL338" s="61"/>
      <c r="AM338" s="61"/>
      <c r="AN338" s="61"/>
      <c r="AO338" s="58">
        <v>44185</v>
      </c>
      <c r="AP338" s="29" t="e">
        <f>VLOOKUP(A338,'[2]External Scan 02_21'!$B:$J,9,0)</f>
        <v>#N/A</v>
      </c>
      <c r="AQ338" s="29" t="s">
        <v>28</v>
      </c>
      <c r="AR338" s="21"/>
      <c r="AS338" s="21" t="str">
        <f>VLOOKUP(AE338,'ref statu'!A:B,2,0)</f>
        <v>Fixed</v>
      </c>
      <c r="AT338" s="8" t="e">
        <f>VLOOKUP(A338,chk!A:B,2,0)</f>
        <v>#N/A</v>
      </c>
      <c r="AU338" s="29" t="e">
        <f>VLOOKUP(A338,checker!A:B,2,0)</f>
        <v>#N/A</v>
      </c>
      <c r="AV338" s="29" t="e">
        <f>VLOOKUP(A338,checker!B:C,2,0)</f>
        <v>#N/A</v>
      </c>
    </row>
    <row r="339" spans="1:48" x14ac:dyDescent="0.3">
      <c r="A339" s="29" t="str">
        <f t="shared" si="5"/>
        <v>96.692.66.646/0/oracle_linux-cve-2020-2732</v>
      </c>
      <c r="B339" s="61" t="s">
        <v>2997</v>
      </c>
      <c r="C339" s="61" t="s">
        <v>528</v>
      </c>
      <c r="D339" s="61" t="s">
        <v>2964</v>
      </c>
      <c r="E339" s="61" t="s">
        <v>28</v>
      </c>
      <c r="F339" s="61" t="s">
        <v>529</v>
      </c>
      <c r="G339" s="61" t="s">
        <v>530</v>
      </c>
      <c r="H339" s="61" t="s">
        <v>531</v>
      </c>
      <c r="I339" s="37" t="s">
        <v>532</v>
      </c>
      <c r="J339" s="37">
        <v>0</v>
      </c>
      <c r="K339" s="61" t="s">
        <v>258</v>
      </c>
      <c r="L339" s="61" t="s">
        <v>31</v>
      </c>
      <c r="M339" s="9">
        <v>2</v>
      </c>
      <c r="N339" s="9" t="s">
        <v>42</v>
      </c>
      <c r="O339" s="61" t="s">
        <v>2324</v>
      </c>
      <c r="P339" s="61" t="s">
        <v>2325</v>
      </c>
      <c r="Q339" s="61" t="s">
        <v>2326</v>
      </c>
      <c r="R339" s="61" t="s">
        <v>581</v>
      </c>
      <c r="S339" s="61" t="s">
        <v>2327</v>
      </c>
      <c r="T339" s="61" t="s">
        <v>31</v>
      </c>
      <c r="U339" s="61" t="s">
        <v>2328</v>
      </c>
      <c r="V339" s="61" t="s">
        <v>2329</v>
      </c>
      <c r="W339" s="62">
        <v>43885</v>
      </c>
      <c r="X339" s="37" t="s">
        <v>30</v>
      </c>
      <c r="Y339" s="37">
        <v>0</v>
      </c>
      <c r="Z339" s="37" t="s">
        <v>31</v>
      </c>
      <c r="AA339" s="37" t="s">
        <v>31</v>
      </c>
      <c r="AB339" s="37" t="s">
        <v>513</v>
      </c>
      <c r="AC339" s="61"/>
      <c r="AD339" s="33"/>
      <c r="AE339" s="98" t="s">
        <v>28</v>
      </c>
      <c r="AF339" s="36">
        <v>44191</v>
      </c>
      <c r="AG339" s="36">
        <v>44191</v>
      </c>
      <c r="AH339" s="37"/>
      <c r="AI339" s="72">
        <v>44185</v>
      </c>
      <c r="AJ339" s="38" t="s">
        <v>27</v>
      </c>
      <c r="AK339" s="39" t="e">
        <f>VLOOKUP(A339,'[1]Externe MAJ Nov'!$A:$H,8,0)</f>
        <v>#N/A</v>
      </c>
      <c r="AL339" s="61"/>
      <c r="AM339" s="61"/>
      <c r="AN339" s="61"/>
      <c r="AO339" s="58">
        <v>44185</v>
      </c>
      <c r="AP339" s="29" t="e">
        <f>VLOOKUP(A339,'[2]External Scan 02_21'!$B:$J,9,0)</f>
        <v>#N/A</v>
      </c>
      <c r="AQ339" s="29" t="s">
        <v>28</v>
      </c>
      <c r="AR339" s="21"/>
      <c r="AS339" s="21" t="str">
        <f>VLOOKUP(AE339,'ref statu'!A:B,2,0)</f>
        <v>Fixed</v>
      </c>
      <c r="AT339" s="8" t="e">
        <f>VLOOKUP(A339,chk!A:B,2,0)</f>
        <v>#N/A</v>
      </c>
      <c r="AU339" s="29" t="e">
        <f>VLOOKUP(A339,checker!A:B,2,0)</f>
        <v>#N/A</v>
      </c>
      <c r="AV339" s="29" t="e">
        <f>VLOOKUP(A339,checker!B:C,2,0)</f>
        <v>#N/A</v>
      </c>
    </row>
    <row r="340" spans="1:48" x14ac:dyDescent="0.3">
      <c r="A340" s="29" t="str">
        <f t="shared" si="5"/>
        <v>96.692.66.646/0/oracle_linux-cve-2020-8177</v>
      </c>
      <c r="B340" s="61" t="s">
        <v>2997</v>
      </c>
      <c r="C340" s="61" t="s">
        <v>528</v>
      </c>
      <c r="D340" s="61" t="s">
        <v>2964</v>
      </c>
      <c r="E340" s="61" t="s">
        <v>28</v>
      </c>
      <c r="F340" s="61" t="s">
        <v>529</v>
      </c>
      <c r="G340" s="61" t="s">
        <v>530</v>
      </c>
      <c r="H340" s="61" t="s">
        <v>531</v>
      </c>
      <c r="I340" s="37" t="s">
        <v>532</v>
      </c>
      <c r="J340" s="37">
        <v>0</v>
      </c>
      <c r="K340" s="61" t="s">
        <v>258</v>
      </c>
      <c r="L340" s="61" t="s">
        <v>31</v>
      </c>
      <c r="M340" s="9">
        <v>5</v>
      </c>
      <c r="N340" s="9" t="s">
        <v>29</v>
      </c>
      <c r="O340" s="61" t="s">
        <v>2330</v>
      </c>
      <c r="P340" s="61" t="s">
        <v>2331</v>
      </c>
      <c r="Q340" s="61" t="s">
        <v>2332</v>
      </c>
      <c r="R340" s="61" t="s">
        <v>2333</v>
      </c>
      <c r="S340" s="61" t="s">
        <v>2334</v>
      </c>
      <c r="T340" s="61" t="s">
        <v>31</v>
      </c>
      <c r="U340" s="61" t="s">
        <v>2335</v>
      </c>
      <c r="V340" s="61" t="s">
        <v>2336</v>
      </c>
      <c r="W340" s="62">
        <v>44006</v>
      </c>
      <c r="X340" s="37" t="s">
        <v>30</v>
      </c>
      <c r="Y340" s="37">
        <v>0</v>
      </c>
      <c r="Z340" s="37" t="s">
        <v>31</v>
      </c>
      <c r="AA340" s="37" t="s">
        <v>31</v>
      </c>
      <c r="AB340" s="37" t="s">
        <v>513</v>
      </c>
      <c r="AC340" s="61"/>
      <c r="AD340" s="34"/>
      <c r="AE340" s="98" t="s">
        <v>28</v>
      </c>
      <c r="AF340" s="36">
        <v>44191</v>
      </c>
      <c r="AG340" s="36">
        <v>44191</v>
      </c>
      <c r="AH340" s="37"/>
      <c r="AI340" s="72">
        <v>44185</v>
      </c>
      <c r="AJ340" s="38" t="s">
        <v>27</v>
      </c>
      <c r="AK340" s="39" t="e">
        <f>VLOOKUP(A340,'[1]Externe MAJ Nov'!$A:$H,8,0)</f>
        <v>#N/A</v>
      </c>
      <c r="AL340" s="61"/>
      <c r="AM340" s="61"/>
      <c r="AN340" s="61"/>
      <c r="AO340" s="58">
        <v>44185</v>
      </c>
      <c r="AP340" s="29" t="e">
        <f>VLOOKUP(A340,'[2]External Scan 02_21'!$B:$J,9,0)</f>
        <v>#N/A</v>
      </c>
      <c r="AQ340" s="29" t="s">
        <v>28</v>
      </c>
      <c r="AR340" s="21"/>
      <c r="AS340" s="21" t="str">
        <f>VLOOKUP(AE340,'ref statu'!A:B,2,0)</f>
        <v>Fixed</v>
      </c>
      <c r="AT340" s="8" t="e">
        <f>VLOOKUP(A340,chk!A:B,2,0)</f>
        <v>#N/A</v>
      </c>
      <c r="AU340" s="29" t="e">
        <f>VLOOKUP(A340,checker!A:B,2,0)</f>
        <v>#N/A</v>
      </c>
      <c r="AV340" s="29" t="e">
        <f>VLOOKUP(A340,checker!B:C,2,0)</f>
        <v>#N/A</v>
      </c>
    </row>
    <row r="341" spans="1:48" x14ac:dyDescent="0.3">
      <c r="A341" s="29" t="str">
        <f t="shared" si="5"/>
        <v>96.692.66.646/0/oracle_linux-cve-2020-8622</v>
      </c>
      <c r="B341" s="61" t="s">
        <v>2997</v>
      </c>
      <c r="C341" s="61" t="s">
        <v>528</v>
      </c>
      <c r="D341" s="61" t="s">
        <v>2964</v>
      </c>
      <c r="E341" s="61" t="s">
        <v>28</v>
      </c>
      <c r="F341" s="61" t="s">
        <v>529</v>
      </c>
      <c r="G341" s="61" t="s">
        <v>530</v>
      </c>
      <c r="H341" s="61" t="s">
        <v>531</v>
      </c>
      <c r="I341" s="37" t="s">
        <v>532</v>
      </c>
      <c r="J341" s="37">
        <v>0</v>
      </c>
      <c r="K341" s="61" t="s">
        <v>258</v>
      </c>
      <c r="L341" s="61" t="s">
        <v>31</v>
      </c>
      <c r="M341" s="9">
        <v>4</v>
      </c>
      <c r="N341" s="9" t="s">
        <v>29</v>
      </c>
      <c r="O341" s="61" t="s">
        <v>2337</v>
      </c>
      <c r="P341" s="61" t="s">
        <v>2338</v>
      </c>
      <c r="Q341" s="61" t="s">
        <v>2339</v>
      </c>
      <c r="R341" s="61" t="s">
        <v>2340</v>
      </c>
      <c r="S341" s="61" t="s">
        <v>2341</v>
      </c>
      <c r="T341" s="61" t="s">
        <v>31</v>
      </c>
      <c r="U341" s="61" t="s">
        <v>2342</v>
      </c>
      <c r="V341" s="61" t="s">
        <v>2343</v>
      </c>
      <c r="W341" s="62">
        <v>44064</v>
      </c>
      <c r="X341" s="37" t="s">
        <v>30</v>
      </c>
      <c r="Y341" s="37">
        <v>0</v>
      </c>
      <c r="Z341" s="37" t="s">
        <v>31</v>
      </c>
      <c r="AA341" s="37" t="s">
        <v>31</v>
      </c>
      <c r="AB341" s="37" t="s">
        <v>513</v>
      </c>
      <c r="AC341" s="61"/>
      <c r="AD341" s="34"/>
      <c r="AE341" s="98" t="s">
        <v>28</v>
      </c>
      <c r="AF341" s="36">
        <v>44191</v>
      </c>
      <c r="AG341" s="36">
        <v>44191</v>
      </c>
      <c r="AH341" s="37"/>
      <c r="AI341" s="72">
        <v>44185</v>
      </c>
      <c r="AJ341" s="38" t="s">
        <v>27</v>
      </c>
      <c r="AK341" s="39" t="e">
        <f>VLOOKUP(A341,'[1]Externe MAJ Nov'!$A:$H,8,0)</f>
        <v>#N/A</v>
      </c>
      <c r="AL341" s="61"/>
      <c r="AM341" s="61"/>
      <c r="AN341" s="61"/>
      <c r="AO341" s="58">
        <v>44185</v>
      </c>
      <c r="AP341" s="29" t="e">
        <f>VLOOKUP(A341,'[2]External Scan 02_21'!$B:$J,9,0)</f>
        <v>#N/A</v>
      </c>
      <c r="AQ341" s="29" t="s">
        <v>28</v>
      </c>
      <c r="AR341" s="21"/>
      <c r="AS341" s="21" t="str">
        <f>VLOOKUP(AE341,'ref statu'!A:B,2,0)</f>
        <v>Fixed</v>
      </c>
      <c r="AT341" s="8" t="e">
        <f>VLOOKUP(A341,chk!A:B,2,0)</f>
        <v>#N/A</v>
      </c>
      <c r="AU341" s="29" t="e">
        <f>VLOOKUP(A341,checker!A:B,2,0)</f>
        <v>#N/A</v>
      </c>
      <c r="AV341" s="29" t="e">
        <f>VLOOKUP(A341,checker!B:C,2,0)</f>
        <v>#N/A</v>
      </c>
    </row>
    <row r="342" spans="1:48" x14ac:dyDescent="0.3">
      <c r="A342" s="29" t="str">
        <f t="shared" si="5"/>
        <v>96.692.66.646/0/oracle_linux-cve-2020-8623</v>
      </c>
      <c r="B342" s="61" t="s">
        <v>2997</v>
      </c>
      <c r="C342" s="61" t="s">
        <v>528</v>
      </c>
      <c r="D342" s="61" t="s">
        <v>2964</v>
      </c>
      <c r="E342" s="61" t="s">
        <v>28</v>
      </c>
      <c r="F342" s="61" t="s">
        <v>529</v>
      </c>
      <c r="G342" s="61" t="s">
        <v>530</v>
      </c>
      <c r="H342" s="61" t="s">
        <v>531</v>
      </c>
      <c r="I342" s="37" t="s">
        <v>532</v>
      </c>
      <c r="J342" s="37">
        <v>0</v>
      </c>
      <c r="K342" s="61" t="s">
        <v>258</v>
      </c>
      <c r="L342" s="61" t="s">
        <v>31</v>
      </c>
      <c r="M342" s="9">
        <v>4</v>
      </c>
      <c r="N342" s="9" t="s">
        <v>29</v>
      </c>
      <c r="O342" s="61" t="s">
        <v>2344</v>
      </c>
      <c r="P342" s="61" t="s">
        <v>2345</v>
      </c>
      <c r="Q342" s="61" t="s">
        <v>2346</v>
      </c>
      <c r="R342" s="61" t="s">
        <v>2340</v>
      </c>
      <c r="S342" s="61" t="s">
        <v>2341</v>
      </c>
      <c r="T342" s="61" t="s">
        <v>31</v>
      </c>
      <c r="U342" s="61" t="s">
        <v>2347</v>
      </c>
      <c r="V342" s="61" t="s">
        <v>2348</v>
      </c>
      <c r="W342" s="62">
        <v>44064</v>
      </c>
      <c r="X342" s="37" t="s">
        <v>30</v>
      </c>
      <c r="Y342" s="37">
        <v>0</v>
      </c>
      <c r="Z342" s="37" t="s">
        <v>31</v>
      </c>
      <c r="AA342" s="37" t="s">
        <v>31</v>
      </c>
      <c r="AB342" s="37" t="s">
        <v>513</v>
      </c>
      <c r="AC342" s="61"/>
      <c r="AD342" s="33"/>
      <c r="AE342" s="98" t="s">
        <v>28</v>
      </c>
      <c r="AF342" s="36">
        <v>44191</v>
      </c>
      <c r="AG342" s="36">
        <v>44191</v>
      </c>
      <c r="AH342" s="37"/>
      <c r="AI342" s="72">
        <v>44185</v>
      </c>
      <c r="AJ342" s="38" t="s">
        <v>27</v>
      </c>
      <c r="AK342" s="39" t="e">
        <f>VLOOKUP(A342,'[1]Externe MAJ Nov'!$A:$H,8,0)</f>
        <v>#N/A</v>
      </c>
      <c r="AL342" s="61"/>
      <c r="AM342" s="61"/>
      <c r="AN342" s="61"/>
      <c r="AO342" s="58">
        <v>44185</v>
      </c>
      <c r="AP342" s="29" t="e">
        <f>VLOOKUP(A342,'[2]External Scan 02_21'!$B:$J,9,0)</f>
        <v>#N/A</v>
      </c>
      <c r="AQ342" s="29" t="s">
        <v>28</v>
      </c>
      <c r="AR342" s="21"/>
      <c r="AS342" s="21" t="str">
        <f>VLOOKUP(AE342,'ref statu'!A:B,2,0)</f>
        <v>Fixed</v>
      </c>
      <c r="AT342" s="8" t="e">
        <f>VLOOKUP(A342,chk!A:B,2,0)</f>
        <v>#N/A</v>
      </c>
      <c r="AU342" s="29" t="e">
        <f>VLOOKUP(A342,checker!A:B,2,0)</f>
        <v>#N/A</v>
      </c>
      <c r="AV342" s="29" t="e">
        <f>VLOOKUP(A342,checker!B:C,2,0)</f>
        <v>#N/A</v>
      </c>
    </row>
    <row r="343" spans="1:48" x14ac:dyDescent="0.3">
      <c r="A343" s="29" t="str">
        <f t="shared" si="5"/>
        <v>96.692.66.646/0/oracle_linux-cve-2020-8624</v>
      </c>
      <c r="B343" s="61" t="s">
        <v>2997</v>
      </c>
      <c r="C343" s="61" t="s">
        <v>528</v>
      </c>
      <c r="D343" s="61" t="s">
        <v>2964</v>
      </c>
      <c r="E343" s="61" t="s">
        <v>28</v>
      </c>
      <c r="F343" s="61" t="s">
        <v>529</v>
      </c>
      <c r="G343" s="61" t="s">
        <v>530</v>
      </c>
      <c r="H343" s="61" t="s">
        <v>531</v>
      </c>
      <c r="I343" s="37" t="s">
        <v>532</v>
      </c>
      <c r="J343" s="37">
        <v>0</v>
      </c>
      <c r="K343" s="61" t="s">
        <v>258</v>
      </c>
      <c r="L343" s="61" t="s">
        <v>31</v>
      </c>
      <c r="M343" s="9">
        <v>4</v>
      </c>
      <c r="N343" s="9" t="s">
        <v>29</v>
      </c>
      <c r="O343" s="61" t="s">
        <v>2349</v>
      </c>
      <c r="P343" s="61" t="s">
        <v>2350</v>
      </c>
      <c r="Q343" s="61" t="s">
        <v>2351</v>
      </c>
      <c r="R343" s="61" t="s">
        <v>2340</v>
      </c>
      <c r="S343" s="61" t="s">
        <v>2341</v>
      </c>
      <c r="T343" s="61" t="s">
        <v>31</v>
      </c>
      <c r="U343" s="61" t="s">
        <v>2352</v>
      </c>
      <c r="V343" s="61" t="s">
        <v>2353</v>
      </c>
      <c r="W343" s="62">
        <v>44064</v>
      </c>
      <c r="X343" s="37" t="s">
        <v>30</v>
      </c>
      <c r="Y343" s="37">
        <v>0</v>
      </c>
      <c r="Z343" s="37" t="s">
        <v>31</v>
      </c>
      <c r="AA343" s="37" t="s">
        <v>31</v>
      </c>
      <c r="AB343" s="37" t="s">
        <v>513</v>
      </c>
      <c r="AC343" s="61"/>
      <c r="AD343" s="34"/>
      <c r="AE343" s="98" t="s">
        <v>28</v>
      </c>
      <c r="AF343" s="36">
        <v>44191</v>
      </c>
      <c r="AG343" s="36">
        <v>44191</v>
      </c>
      <c r="AH343" s="37"/>
      <c r="AI343" s="72">
        <v>44185</v>
      </c>
      <c r="AJ343" s="38" t="s">
        <v>27</v>
      </c>
      <c r="AK343" s="39" t="e">
        <f>VLOOKUP(A343,'[1]Externe MAJ Nov'!$A:$H,8,0)</f>
        <v>#N/A</v>
      </c>
      <c r="AL343" s="61"/>
      <c r="AM343" s="61"/>
      <c r="AN343" s="61"/>
      <c r="AO343" s="58">
        <v>44185</v>
      </c>
      <c r="AP343" s="29" t="e">
        <f>VLOOKUP(A343,'[2]External Scan 02_21'!$B:$J,9,0)</f>
        <v>#N/A</v>
      </c>
      <c r="AQ343" s="29" t="s">
        <v>28</v>
      </c>
      <c r="AR343" s="21"/>
      <c r="AS343" s="21" t="str">
        <f>VLOOKUP(AE343,'ref statu'!A:B,2,0)</f>
        <v>Fixed</v>
      </c>
      <c r="AT343" s="8" t="e">
        <f>VLOOKUP(A343,chk!A:B,2,0)</f>
        <v>#N/A</v>
      </c>
      <c r="AU343" s="29" t="e">
        <f>VLOOKUP(A343,checker!A:B,2,0)</f>
        <v>#N/A</v>
      </c>
      <c r="AV343" s="29" t="e">
        <f>VLOOKUP(A343,checker!B:C,2,0)</f>
        <v>#N/A</v>
      </c>
    </row>
    <row r="344" spans="1:48" x14ac:dyDescent="0.3">
      <c r="A344" s="29" t="str">
        <f t="shared" si="5"/>
        <v>96.692.66.646/0/oracle_linux-cve-2020-8647</v>
      </c>
      <c r="B344" s="61" t="s">
        <v>2997</v>
      </c>
      <c r="C344" s="61" t="s">
        <v>528</v>
      </c>
      <c r="D344" s="61" t="s">
        <v>2964</v>
      </c>
      <c r="E344" s="61" t="s">
        <v>28</v>
      </c>
      <c r="F344" s="61" t="s">
        <v>529</v>
      </c>
      <c r="G344" s="61" t="s">
        <v>530</v>
      </c>
      <c r="H344" s="61" t="s">
        <v>531</v>
      </c>
      <c r="I344" s="37" t="s">
        <v>532</v>
      </c>
      <c r="J344" s="37">
        <v>0</v>
      </c>
      <c r="K344" s="61" t="s">
        <v>258</v>
      </c>
      <c r="L344" s="61" t="s">
        <v>31</v>
      </c>
      <c r="M344" s="9">
        <v>4</v>
      </c>
      <c r="N344" s="9" t="s">
        <v>29</v>
      </c>
      <c r="O344" s="61" t="s">
        <v>2354</v>
      </c>
      <c r="P344" s="61" t="s">
        <v>2355</v>
      </c>
      <c r="Q344" s="61" t="s">
        <v>2356</v>
      </c>
      <c r="R344" s="61" t="s">
        <v>581</v>
      </c>
      <c r="S344" s="61" t="s">
        <v>2357</v>
      </c>
      <c r="T344" s="61" t="s">
        <v>31</v>
      </c>
      <c r="U344" s="61" t="s">
        <v>2358</v>
      </c>
      <c r="V344" s="61" t="s">
        <v>2359</v>
      </c>
      <c r="W344" s="62">
        <v>43867</v>
      </c>
      <c r="X344" s="37" t="s">
        <v>30</v>
      </c>
      <c r="Y344" s="37">
        <v>0</v>
      </c>
      <c r="Z344" s="37" t="s">
        <v>31</v>
      </c>
      <c r="AA344" s="37" t="s">
        <v>31</v>
      </c>
      <c r="AB344" s="37" t="s">
        <v>513</v>
      </c>
      <c r="AC344" s="61"/>
      <c r="AD344" s="34"/>
      <c r="AE344" s="98" t="s">
        <v>28</v>
      </c>
      <c r="AF344" s="36">
        <v>44191</v>
      </c>
      <c r="AG344" s="36">
        <v>44191</v>
      </c>
      <c r="AH344" s="37"/>
      <c r="AI344" s="72">
        <v>44185</v>
      </c>
      <c r="AJ344" s="38" t="s">
        <v>27</v>
      </c>
      <c r="AK344" s="39" t="e">
        <f>VLOOKUP(A344,'[1]Externe MAJ Nov'!$A:$H,8,0)</f>
        <v>#N/A</v>
      </c>
      <c r="AL344" s="61"/>
      <c r="AM344" s="61"/>
      <c r="AN344" s="61"/>
      <c r="AO344" s="58">
        <v>44185</v>
      </c>
      <c r="AP344" s="29" t="e">
        <f>VLOOKUP(A344,'[2]External Scan 02_21'!$B:$J,9,0)</f>
        <v>#N/A</v>
      </c>
      <c r="AQ344" s="29" t="s">
        <v>28</v>
      </c>
      <c r="AR344" s="21"/>
      <c r="AS344" s="21" t="str">
        <f>VLOOKUP(AE344,'ref statu'!A:B,2,0)</f>
        <v>Fixed</v>
      </c>
      <c r="AT344" s="8" t="e">
        <f>VLOOKUP(A344,chk!A:B,2,0)</f>
        <v>#N/A</v>
      </c>
      <c r="AU344" s="29" t="e">
        <f>VLOOKUP(A344,checker!A:B,2,0)</f>
        <v>#N/A</v>
      </c>
      <c r="AV344" s="29" t="e">
        <f>VLOOKUP(A344,checker!B:C,2,0)</f>
        <v>#N/A</v>
      </c>
    </row>
    <row r="345" spans="1:48" x14ac:dyDescent="0.3">
      <c r="A345" s="29" t="str">
        <f t="shared" si="5"/>
        <v>96.692.66.646/0/oracle_linux-cve-2020-8648</v>
      </c>
      <c r="B345" s="61" t="s">
        <v>2997</v>
      </c>
      <c r="C345" s="61" t="s">
        <v>528</v>
      </c>
      <c r="D345" s="61" t="s">
        <v>2964</v>
      </c>
      <c r="E345" s="61" t="s">
        <v>28</v>
      </c>
      <c r="F345" s="61" t="s">
        <v>529</v>
      </c>
      <c r="G345" s="61" t="s">
        <v>530</v>
      </c>
      <c r="H345" s="61" t="s">
        <v>531</v>
      </c>
      <c r="I345" s="37" t="s">
        <v>532</v>
      </c>
      <c r="J345" s="37">
        <v>0</v>
      </c>
      <c r="K345" s="61" t="s">
        <v>258</v>
      </c>
      <c r="L345" s="61" t="s">
        <v>31</v>
      </c>
      <c r="M345" s="9">
        <v>4</v>
      </c>
      <c r="N345" s="9" t="s">
        <v>29</v>
      </c>
      <c r="O345" s="61" t="s">
        <v>2360</v>
      </c>
      <c r="P345" s="61" t="s">
        <v>2361</v>
      </c>
      <c r="Q345" s="61" t="s">
        <v>2362</v>
      </c>
      <c r="R345" s="61" t="s">
        <v>536</v>
      </c>
      <c r="S345" s="61" t="s">
        <v>2363</v>
      </c>
      <c r="T345" s="61" t="s">
        <v>31</v>
      </c>
      <c r="U345" s="61" t="s">
        <v>2364</v>
      </c>
      <c r="V345" s="61" t="s">
        <v>2365</v>
      </c>
      <c r="W345" s="62">
        <v>43867</v>
      </c>
      <c r="X345" s="37" t="s">
        <v>30</v>
      </c>
      <c r="Y345" s="37">
        <v>0</v>
      </c>
      <c r="Z345" s="37" t="s">
        <v>31</v>
      </c>
      <c r="AA345" s="37" t="s">
        <v>31</v>
      </c>
      <c r="AB345" s="37" t="s">
        <v>513</v>
      </c>
      <c r="AC345" s="61"/>
      <c r="AD345" s="33"/>
      <c r="AE345" s="98" t="s">
        <v>28</v>
      </c>
      <c r="AF345" s="36">
        <v>44191</v>
      </c>
      <c r="AG345" s="36">
        <v>44191</v>
      </c>
      <c r="AH345" s="37"/>
      <c r="AI345" s="72">
        <v>44185</v>
      </c>
      <c r="AJ345" s="38" t="s">
        <v>27</v>
      </c>
      <c r="AK345" s="39" t="e">
        <f>VLOOKUP(A345,'[1]Externe MAJ Nov'!$A:$H,8,0)</f>
        <v>#N/A</v>
      </c>
      <c r="AL345" s="61"/>
      <c r="AM345" s="61"/>
      <c r="AN345" s="61"/>
      <c r="AO345" s="58">
        <v>44185</v>
      </c>
      <c r="AP345" s="29" t="e">
        <f>VLOOKUP(A345,'[2]External Scan 02_21'!$B:$J,9,0)</f>
        <v>#N/A</v>
      </c>
      <c r="AQ345" s="29" t="s">
        <v>28</v>
      </c>
      <c r="AR345" s="21"/>
      <c r="AS345" s="21" t="str">
        <f>VLOOKUP(AE345,'ref statu'!A:B,2,0)</f>
        <v>Fixed</v>
      </c>
      <c r="AT345" s="8" t="e">
        <f>VLOOKUP(A345,chk!A:B,2,0)</f>
        <v>#N/A</v>
      </c>
      <c r="AU345" s="29" t="e">
        <f>VLOOKUP(A345,checker!A:B,2,0)</f>
        <v>#N/A</v>
      </c>
      <c r="AV345" s="29" t="e">
        <f>VLOOKUP(A345,checker!B:C,2,0)</f>
        <v>#N/A</v>
      </c>
    </row>
    <row r="346" spans="1:48" x14ac:dyDescent="0.3">
      <c r="A346" s="29" t="str">
        <f t="shared" si="5"/>
        <v>96.692.66.646/0/oracle_linux-cve-2020-8649</v>
      </c>
      <c r="B346" s="61" t="s">
        <v>2997</v>
      </c>
      <c r="C346" s="61" t="s">
        <v>528</v>
      </c>
      <c r="D346" s="61" t="s">
        <v>2964</v>
      </c>
      <c r="E346" s="61" t="s">
        <v>28</v>
      </c>
      <c r="F346" s="61" t="s">
        <v>529</v>
      </c>
      <c r="G346" s="61" t="s">
        <v>530</v>
      </c>
      <c r="H346" s="61" t="s">
        <v>531</v>
      </c>
      <c r="I346" s="37" t="s">
        <v>532</v>
      </c>
      <c r="J346" s="37">
        <v>0</v>
      </c>
      <c r="K346" s="61" t="s">
        <v>258</v>
      </c>
      <c r="L346" s="61" t="s">
        <v>31</v>
      </c>
      <c r="M346" s="9">
        <v>4</v>
      </c>
      <c r="N346" s="9" t="s">
        <v>29</v>
      </c>
      <c r="O346" s="61" t="s">
        <v>2366</v>
      </c>
      <c r="P346" s="61" t="s">
        <v>2367</v>
      </c>
      <c r="Q346" s="61" t="s">
        <v>2368</v>
      </c>
      <c r="R346" s="61" t="s">
        <v>581</v>
      </c>
      <c r="S346" s="61" t="s">
        <v>2369</v>
      </c>
      <c r="T346" s="61" t="s">
        <v>31</v>
      </c>
      <c r="U346" s="61" t="s">
        <v>2370</v>
      </c>
      <c r="V346" s="61" t="s">
        <v>2371</v>
      </c>
      <c r="W346" s="62">
        <v>43867</v>
      </c>
      <c r="X346" s="37" t="s">
        <v>30</v>
      </c>
      <c r="Y346" s="37">
        <v>0</v>
      </c>
      <c r="Z346" s="37" t="s">
        <v>31</v>
      </c>
      <c r="AA346" s="37" t="s">
        <v>31</v>
      </c>
      <c r="AB346" s="37" t="s">
        <v>513</v>
      </c>
      <c r="AC346" s="61"/>
      <c r="AD346" s="34"/>
      <c r="AE346" s="98" t="s">
        <v>28</v>
      </c>
      <c r="AF346" s="36">
        <v>44191</v>
      </c>
      <c r="AG346" s="36">
        <v>44191</v>
      </c>
      <c r="AH346" s="37"/>
      <c r="AI346" s="72">
        <v>44185</v>
      </c>
      <c r="AJ346" s="38" t="s">
        <v>27</v>
      </c>
      <c r="AK346" s="39" t="e">
        <f>VLOOKUP(A346,'[1]Externe MAJ Nov'!$A:$H,8,0)</f>
        <v>#N/A</v>
      </c>
      <c r="AL346" s="61"/>
      <c r="AM346" s="61"/>
      <c r="AN346" s="61"/>
      <c r="AO346" s="58">
        <v>44185</v>
      </c>
      <c r="AP346" s="29" t="e">
        <f>VLOOKUP(A346,'[2]External Scan 02_21'!$B:$J,9,0)</f>
        <v>#N/A</v>
      </c>
      <c r="AQ346" s="29" t="s">
        <v>28</v>
      </c>
      <c r="AR346" s="21"/>
      <c r="AS346" s="21" t="str">
        <f>VLOOKUP(AE346,'ref statu'!A:B,2,0)</f>
        <v>Fixed</v>
      </c>
      <c r="AT346" s="8" t="e">
        <f>VLOOKUP(A346,chk!A:B,2,0)</f>
        <v>#N/A</v>
      </c>
      <c r="AU346" s="29" t="e">
        <f>VLOOKUP(A346,checker!A:B,2,0)</f>
        <v>#N/A</v>
      </c>
      <c r="AV346" s="29" t="e">
        <f>VLOOKUP(A346,checker!B:C,2,0)</f>
        <v>#N/A</v>
      </c>
    </row>
    <row r="347" spans="1:48" x14ac:dyDescent="0.3">
      <c r="A347" s="29" t="str">
        <f t="shared" si="5"/>
        <v>96.692.66.646/0/oracle_linux-cve-2020-8694</v>
      </c>
      <c r="B347" s="61" t="s">
        <v>2997</v>
      </c>
      <c r="C347" s="61" t="s">
        <v>528</v>
      </c>
      <c r="D347" s="61" t="s">
        <v>2964</v>
      </c>
      <c r="E347" s="61" t="s">
        <v>28</v>
      </c>
      <c r="F347" s="61" t="s">
        <v>529</v>
      </c>
      <c r="G347" s="61" t="s">
        <v>530</v>
      </c>
      <c r="H347" s="61" t="s">
        <v>531</v>
      </c>
      <c r="I347" s="37" t="s">
        <v>532</v>
      </c>
      <c r="J347" s="37">
        <v>0</v>
      </c>
      <c r="K347" s="61" t="s">
        <v>258</v>
      </c>
      <c r="L347" s="61" t="s">
        <v>31</v>
      </c>
      <c r="M347" s="9">
        <v>2</v>
      </c>
      <c r="N347" s="9" t="s">
        <v>42</v>
      </c>
      <c r="O347" s="61" t="s">
        <v>2372</v>
      </c>
      <c r="P347" s="61" t="s">
        <v>2373</v>
      </c>
      <c r="Q347" s="61" t="s">
        <v>2374</v>
      </c>
      <c r="R347" s="61" t="s">
        <v>2375</v>
      </c>
      <c r="S347" s="61" t="s">
        <v>2376</v>
      </c>
      <c r="T347" s="61" t="s">
        <v>31</v>
      </c>
      <c r="U347" s="61" t="s">
        <v>2377</v>
      </c>
      <c r="V347" s="61" t="s">
        <v>2378</v>
      </c>
      <c r="W347" s="62">
        <v>44146</v>
      </c>
      <c r="X347" s="37" t="s">
        <v>30</v>
      </c>
      <c r="Y347" s="37">
        <v>0</v>
      </c>
      <c r="Z347" s="37" t="s">
        <v>31</v>
      </c>
      <c r="AA347" s="37" t="s">
        <v>31</v>
      </c>
      <c r="AB347" s="37" t="s">
        <v>513</v>
      </c>
      <c r="AC347" s="61"/>
      <c r="AD347" s="34"/>
      <c r="AE347" s="98" t="s">
        <v>28</v>
      </c>
      <c r="AF347" s="36">
        <v>44191</v>
      </c>
      <c r="AG347" s="36">
        <v>44191</v>
      </c>
      <c r="AH347" s="37"/>
      <c r="AI347" s="72">
        <v>44185</v>
      </c>
      <c r="AJ347" s="38" t="s">
        <v>27</v>
      </c>
      <c r="AK347" s="39" t="e">
        <f>VLOOKUP(A347,'[1]Externe MAJ Nov'!$A:$H,8,0)</f>
        <v>#N/A</v>
      </c>
      <c r="AL347" s="61"/>
      <c r="AM347" s="61"/>
      <c r="AN347" s="61"/>
      <c r="AO347" s="58">
        <v>44185</v>
      </c>
      <c r="AP347" s="29" t="e">
        <f>VLOOKUP(A347,'[2]External Scan 02_21'!$B:$J,9,0)</f>
        <v>#N/A</v>
      </c>
      <c r="AQ347" s="29" t="s">
        <v>28</v>
      </c>
      <c r="AR347" s="21"/>
      <c r="AS347" s="21" t="str">
        <f>VLOOKUP(AE347,'ref statu'!A:B,2,0)</f>
        <v>Fixed</v>
      </c>
      <c r="AT347" s="8" t="e">
        <f>VLOOKUP(A347,chk!A:B,2,0)</f>
        <v>#N/A</v>
      </c>
      <c r="AU347" s="29" t="e">
        <f>VLOOKUP(A347,checker!A:B,2,0)</f>
        <v>#N/A</v>
      </c>
      <c r="AV347" s="29" t="e">
        <f>VLOOKUP(A347,checker!B:C,2,0)</f>
        <v>#N/A</v>
      </c>
    </row>
    <row r="348" spans="1:48" x14ac:dyDescent="0.3">
      <c r="A348" s="29" t="str">
        <f t="shared" si="5"/>
        <v>96.692.66.646/0/oracle_linux-cve-2020-8695</v>
      </c>
      <c r="B348" s="61" t="s">
        <v>2997</v>
      </c>
      <c r="C348" s="61" t="s">
        <v>528</v>
      </c>
      <c r="D348" s="61" t="s">
        <v>2964</v>
      </c>
      <c r="E348" s="61" t="s">
        <v>28</v>
      </c>
      <c r="F348" s="61" t="s">
        <v>529</v>
      </c>
      <c r="G348" s="61" t="s">
        <v>530</v>
      </c>
      <c r="H348" s="61" t="s">
        <v>531</v>
      </c>
      <c r="I348" s="37" t="s">
        <v>532</v>
      </c>
      <c r="J348" s="37">
        <v>0</v>
      </c>
      <c r="K348" s="61" t="s">
        <v>258</v>
      </c>
      <c r="L348" s="61" t="s">
        <v>31</v>
      </c>
      <c r="M348" s="9">
        <v>2</v>
      </c>
      <c r="N348" s="9" t="s">
        <v>42</v>
      </c>
      <c r="O348" s="61" t="s">
        <v>2379</v>
      </c>
      <c r="P348" s="61" t="s">
        <v>2380</v>
      </c>
      <c r="Q348" s="61" t="s">
        <v>2381</v>
      </c>
      <c r="R348" s="61" t="s">
        <v>2382</v>
      </c>
      <c r="S348" s="61" t="s">
        <v>2383</v>
      </c>
      <c r="T348" s="61" t="s">
        <v>31</v>
      </c>
      <c r="U348" s="61" t="s">
        <v>2384</v>
      </c>
      <c r="V348" s="61" t="s">
        <v>2385</v>
      </c>
      <c r="W348" s="62">
        <v>44145</v>
      </c>
      <c r="X348" s="37" t="s">
        <v>30</v>
      </c>
      <c r="Y348" s="37">
        <v>0</v>
      </c>
      <c r="Z348" s="37" t="s">
        <v>31</v>
      </c>
      <c r="AA348" s="37" t="s">
        <v>31</v>
      </c>
      <c r="AB348" s="37" t="s">
        <v>513</v>
      </c>
      <c r="AC348" s="61"/>
      <c r="AD348" s="33"/>
      <c r="AE348" s="98" t="s">
        <v>28</v>
      </c>
      <c r="AF348" s="36">
        <v>44191</v>
      </c>
      <c r="AG348" s="36">
        <v>44191</v>
      </c>
      <c r="AH348" s="37"/>
      <c r="AI348" s="72">
        <v>44185</v>
      </c>
      <c r="AJ348" s="38" t="s">
        <v>27</v>
      </c>
      <c r="AK348" s="39" t="e">
        <f>VLOOKUP(A348,'[1]Externe MAJ Nov'!$A:$H,8,0)</f>
        <v>#N/A</v>
      </c>
      <c r="AL348" s="61"/>
      <c r="AM348" s="61"/>
      <c r="AN348" s="61"/>
      <c r="AO348" s="58">
        <v>44185</v>
      </c>
      <c r="AP348" s="29" t="e">
        <f>VLOOKUP(A348,'[2]External Scan 02_21'!$B:$J,9,0)</f>
        <v>#N/A</v>
      </c>
      <c r="AQ348" s="29" t="s">
        <v>28</v>
      </c>
      <c r="AR348" s="21"/>
      <c r="AS348" s="21" t="str">
        <f>VLOOKUP(AE348,'ref statu'!A:B,2,0)</f>
        <v>Fixed</v>
      </c>
      <c r="AT348" s="8" t="e">
        <f>VLOOKUP(A348,chk!A:B,2,0)</f>
        <v>#N/A</v>
      </c>
      <c r="AU348" s="29" t="e">
        <f>VLOOKUP(A348,checker!A:B,2,0)</f>
        <v>#N/A</v>
      </c>
      <c r="AV348" s="29" t="e">
        <f>VLOOKUP(A348,checker!B:C,2,0)</f>
        <v>#N/A</v>
      </c>
    </row>
    <row r="349" spans="1:48" x14ac:dyDescent="0.3">
      <c r="A349" s="29" t="str">
        <f t="shared" si="5"/>
        <v>96.692.66.646/0/oracle_linux-cve-2020-8696</v>
      </c>
      <c r="B349" s="61" t="s">
        <v>2997</v>
      </c>
      <c r="C349" s="61" t="s">
        <v>528</v>
      </c>
      <c r="D349" s="61" t="s">
        <v>2964</v>
      </c>
      <c r="E349" s="61" t="s">
        <v>28</v>
      </c>
      <c r="F349" s="61" t="s">
        <v>529</v>
      </c>
      <c r="G349" s="61" t="s">
        <v>530</v>
      </c>
      <c r="H349" s="61" t="s">
        <v>531</v>
      </c>
      <c r="I349" s="37" t="s">
        <v>532</v>
      </c>
      <c r="J349" s="37">
        <v>0</v>
      </c>
      <c r="K349" s="61" t="s">
        <v>258</v>
      </c>
      <c r="L349" s="61" t="s">
        <v>31</v>
      </c>
      <c r="M349" s="9">
        <v>2</v>
      </c>
      <c r="N349" s="9" t="s">
        <v>42</v>
      </c>
      <c r="O349" s="61" t="s">
        <v>2386</v>
      </c>
      <c r="P349" s="61" t="s">
        <v>2387</v>
      </c>
      <c r="Q349" s="61" t="s">
        <v>2388</v>
      </c>
      <c r="R349" s="61" t="s">
        <v>2389</v>
      </c>
      <c r="S349" s="61" t="s">
        <v>2390</v>
      </c>
      <c r="T349" s="61" t="s">
        <v>31</v>
      </c>
      <c r="U349" s="61" t="s">
        <v>2391</v>
      </c>
      <c r="V349" s="61" t="s">
        <v>2392</v>
      </c>
      <c r="W349" s="62">
        <v>44147</v>
      </c>
      <c r="X349" s="37" t="s">
        <v>30</v>
      </c>
      <c r="Y349" s="37">
        <v>0</v>
      </c>
      <c r="Z349" s="37" t="s">
        <v>31</v>
      </c>
      <c r="AA349" s="37" t="s">
        <v>31</v>
      </c>
      <c r="AB349" s="37" t="s">
        <v>513</v>
      </c>
      <c r="AC349" s="61"/>
      <c r="AD349" s="34"/>
      <c r="AE349" s="98" t="s">
        <v>28</v>
      </c>
      <c r="AF349" s="36">
        <v>44191</v>
      </c>
      <c r="AG349" s="36">
        <v>44191</v>
      </c>
      <c r="AH349" s="37"/>
      <c r="AI349" s="72">
        <v>44185</v>
      </c>
      <c r="AJ349" s="38" t="s">
        <v>27</v>
      </c>
      <c r="AK349" s="39" t="e">
        <f>VLOOKUP(A349,'[1]Externe MAJ Nov'!$A:$H,8,0)</f>
        <v>#N/A</v>
      </c>
      <c r="AL349" s="61"/>
      <c r="AM349" s="61"/>
      <c r="AN349" s="61"/>
      <c r="AO349" s="58">
        <v>44185</v>
      </c>
      <c r="AP349" s="29" t="e">
        <f>VLOOKUP(A349,'[2]External Scan 02_21'!$B:$J,9,0)</f>
        <v>#N/A</v>
      </c>
      <c r="AQ349" s="29" t="s">
        <v>28</v>
      </c>
      <c r="AR349" s="21"/>
      <c r="AS349" s="21" t="str">
        <f>VLOOKUP(AE349,'ref statu'!A:B,2,0)</f>
        <v>Fixed</v>
      </c>
      <c r="AT349" s="8" t="e">
        <f>VLOOKUP(A349,chk!A:B,2,0)</f>
        <v>#N/A</v>
      </c>
      <c r="AU349" s="29" t="e">
        <f>VLOOKUP(A349,checker!A:B,2,0)</f>
        <v>#N/A</v>
      </c>
      <c r="AV349" s="29" t="e">
        <f>VLOOKUP(A349,checker!B:C,2,0)</f>
        <v>#N/A</v>
      </c>
    </row>
    <row r="350" spans="1:48" x14ac:dyDescent="0.3">
      <c r="A350" s="29" t="str">
        <f t="shared" si="5"/>
        <v>96.692.66.646/0/oracle_linux-cve-2020-8698</v>
      </c>
      <c r="B350" s="61" t="s">
        <v>2997</v>
      </c>
      <c r="C350" s="61" t="s">
        <v>528</v>
      </c>
      <c r="D350" s="61" t="s">
        <v>2964</v>
      </c>
      <c r="E350" s="61" t="s">
        <v>28</v>
      </c>
      <c r="F350" s="61" t="s">
        <v>529</v>
      </c>
      <c r="G350" s="61" t="s">
        <v>530</v>
      </c>
      <c r="H350" s="61" t="s">
        <v>531</v>
      </c>
      <c r="I350" s="37" t="s">
        <v>532</v>
      </c>
      <c r="J350" s="37">
        <v>0</v>
      </c>
      <c r="K350" s="61" t="s">
        <v>258</v>
      </c>
      <c r="L350" s="61" t="s">
        <v>31</v>
      </c>
      <c r="M350" s="9">
        <v>2</v>
      </c>
      <c r="N350" s="9" t="s">
        <v>42</v>
      </c>
      <c r="O350" s="61" t="s">
        <v>2393</v>
      </c>
      <c r="P350" s="61" t="s">
        <v>2394</v>
      </c>
      <c r="Q350" s="61" t="s">
        <v>2395</v>
      </c>
      <c r="R350" s="61" t="s">
        <v>2389</v>
      </c>
      <c r="S350" s="61" t="s">
        <v>2390</v>
      </c>
      <c r="T350" s="61" t="s">
        <v>31</v>
      </c>
      <c r="U350" s="61" t="s">
        <v>2396</v>
      </c>
      <c r="V350" s="61" t="s">
        <v>2397</v>
      </c>
      <c r="W350" s="62">
        <v>44147</v>
      </c>
      <c r="X350" s="37" t="s">
        <v>30</v>
      </c>
      <c r="Y350" s="37">
        <v>0</v>
      </c>
      <c r="Z350" s="37" t="s">
        <v>31</v>
      </c>
      <c r="AA350" s="37" t="s">
        <v>31</v>
      </c>
      <c r="AB350" s="37" t="s">
        <v>513</v>
      </c>
      <c r="AC350" s="61"/>
      <c r="AD350" s="34"/>
      <c r="AE350" s="98" t="s">
        <v>28</v>
      </c>
      <c r="AF350" s="36">
        <v>44191</v>
      </c>
      <c r="AG350" s="36">
        <v>44191</v>
      </c>
      <c r="AH350" s="37"/>
      <c r="AI350" s="72">
        <v>44185</v>
      </c>
      <c r="AJ350" s="38" t="s">
        <v>27</v>
      </c>
      <c r="AK350" s="39" t="e">
        <f>VLOOKUP(A350,'[1]Externe MAJ Nov'!$A:$H,8,0)</f>
        <v>#N/A</v>
      </c>
      <c r="AL350" s="61"/>
      <c r="AM350" s="61"/>
      <c r="AN350" s="61"/>
      <c r="AO350" s="58">
        <v>44185</v>
      </c>
      <c r="AP350" s="29" t="e">
        <f>VLOOKUP(A350,'[2]External Scan 02_21'!$B:$J,9,0)</f>
        <v>#N/A</v>
      </c>
      <c r="AQ350" s="29" t="s">
        <v>28</v>
      </c>
      <c r="AR350" s="21"/>
      <c r="AS350" s="21" t="str">
        <f>VLOOKUP(AE350,'ref statu'!A:B,2,0)</f>
        <v>Fixed</v>
      </c>
      <c r="AT350" s="8" t="e">
        <f>VLOOKUP(A350,chk!A:B,2,0)</f>
        <v>#N/A</v>
      </c>
      <c r="AU350" s="29" t="e">
        <f>VLOOKUP(A350,checker!A:B,2,0)</f>
        <v>#N/A</v>
      </c>
      <c r="AV350" s="29" t="e">
        <f>VLOOKUP(A350,checker!B:C,2,0)</f>
        <v>#N/A</v>
      </c>
    </row>
    <row r="351" spans="1:48" x14ac:dyDescent="0.3">
      <c r="A351" s="29" t="str">
        <f t="shared" si="5"/>
        <v>96.692.66.646/0/oracle_linux-cve-2020-9383</v>
      </c>
      <c r="B351" s="61" t="s">
        <v>2997</v>
      </c>
      <c r="C351" s="61" t="s">
        <v>528</v>
      </c>
      <c r="D351" s="61" t="s">
        <v>2964</v>
      </c>
      <c r="E351" s="61" t="s">
        <v>28</v>
      </c>
      <c r="F351" s="61" t="s">
        <v>529</v>
      </c>
      <c r="G351" s="61" t="s">
        <v>530</v>
      </c>
      <c r="H351" s="61" t="s">
        <v>531</v>
      </c>
      <c r="I351" s="37" t="s">
        <v>532</v>
      </c>
      <c r="J351" s="37">
        <v>0</v>
      </c>
      <c r="K351" s="61" t="s">
        <v>258</v>
      </c>
      <c r="L351" s="61" t="s">
        <v>31</v>
      </c>
      <c r="M351" s="9">
        <v>4</v>
      </c>
      <c r="N351" s="9" t="s">
        <v>29</v>
      </c>
      <c r="O351" s="61" t="s">
        <v>2398</v>
      </c>
      <c r="P351" s="61" t="s">
        <v>2399</v>
      </c>
      <c r="Q351" s="61" t="s">
        <v>2400</v>
      </c>
      <c r="R351" s="61" t="s">
        <v>581</v>
      </c>
      <c r="S351" s="61" t="s">
        <v>2401</v>
      </c>
      <c r="T351" s="61" t="s">
        <v>31</v>
      </c>
      <c r="U351" s="61" t="s">
        <v>2402</v>
      </c>
      <c r="V351" s="61" t="s">
        <v>2403</v>
      </c>
      <c r="W351" s="62">
        <v>43886</v>
      </c>
      <c r="X351" s="37" t="s">
        <v>30</v>
      </c>
      <c r="Y351" s="37">
        <v>0</v>
      </c>
      <c r="Z351" s="37" t="s">
        <v>31</v>
      </c>
      <c r="AA351" s="37" t="s">
        <v>31</v>
      </c>
      <c r="AB351" s="37" t="s">
        <v>513</v>
      </c>
      <c r="AC351" s="61"/>
      <c r="AD351" s="33"/>
      <c r="AE351" s="98" t="s">
        <v>28</v>
      </c>
      <c r="AF351" s="36">
        <v>44191</v>
      </c>
      <c r="AG351" s="36">
        <v>44191</v>
      </c>
      <c r="AH351" s="37"/>
      <c r="AI351" s="72">
        <v>44185</v>
      </c>
      <c r="AJ351" s="38" t="s">
        <v>27</v>
      </c>
      <c r="AK351" s="39" t="e">
        <f>VLOOKUP(A351,'[1]Externe MAJ Nov'!$A:$H,8,0)</f>
        <v>#N/A</v>
      </c>
      <c r="AL351" s="61"/>
      <c r="AM351" s="61"/>
      <c r="AN351" s="61"/>
      <c r="AO351" s="58">
        <v>44185</v>
      </c>
      <c r="AP351" s="29" t="e">
        <f>VLOOKUP(A351,'[2]External Scan 02_21'!$B:$J,9,0)</f>
        <v>#N/A</v>
      </c>
      <c r="AQ351" s="29" t="s">
        <v>28</v>
      </c>
      <c r="AR351" s="21"/>
      <c r="AS351" s="21" t="str">
        <f>VLOOKUP(AE351,'ref statu'!A:B,2,0)</f>
        <v>Fixed</v>
      </c>
      <c r="AT351" s="8" t="e">
        <f>VLOOKUP(A351,chk!A:B,2,0)</f>
        <v>#N/A</v>
      </c>
      <c r="AU351" s="29" t="e">
        <f>VLOOKUP(A351,checker!A:B,2,0)</f>
        <v>#N/A</v>
      </c>
      <c r="AV351" s="29" t="e">
        <f>VLOOKUP(A351,checker!B:C,2,0)</f>
        <v>#N/A</v>
      </c>
    </row>
    <row r="352" spans="1:48" x14ac:dyDescent="0.3">
      <c r="A352" s="29" t="str">
        <f t="shared" si="5"/>
        <v>96.692.66.646/0/oracle_linux-elsa-2018-4011</v>
      </c>
      <c r="B352" s="61" t="s">
        <v>2997</v>
      </c>
      <c r="C352" s="61" t="s">
        <v>528</v>
      </c>
      <c r="D352" s="61" t="s">
        <v>2964</v>
      </c>
      <c r="E352" s="61" t="s">
        <v>28</v>
      </c>
      <c r="F352" s="61" t="s">
        <v>529</v>
      </c>
      <c r="G352" s="61" t="s">
        <v>530</v>
      </c>
      <c r="H352" s="61" t="s">
        <v>531</v>
      </c>
      <c r="I352" s="37" t="s">
        <v>532</v>
      </c>
      <c r="J352" s="37">
        <v>0</v>
      </c>
      <c r="K352" s="61" t="s">
        <v>258</v>
      </c>
      <c r="L352" s="61" t="s">
        <v>31</v>
      </c>
      <c r="M352" s="9">
        <v>4</v>
      </c>
      <c r="N352" s="9" t="s">
        <v>29</v>
      </c>
      <c r="O352" s="61" t="s">
        <v>2404</v>
      </c>
      <c r="P352" s="61" t="s">
        <v>2405</v>
      </c>
      <c r="Q352" s="61" t="s">
        <v>2406</v>
      </c>
      <c r="R352" s="61" t="s">
        <v>536</v>
      </c>
      <c r="S352" s="61" t="s">
        <v>2407</v>
      </c>
      <c r="T352" s="61" t="s">
        <v>31</v>
      </c>
      <c r="U352" s="61" t="s">
        <v>31</v>
      </c>
      <c r="V352" s="61" t="s">
        <v>31</v>
      </c>
      <c r="W352" s="62">
        <v>43112</v>
      </c>
      <c r="X352" s="37" t="s">
        <v>30</v>
      </c>
      <c r="Y352" s="37">
        <v>0</v>
      </c>
      <c r="Z352" s="37" t="s">
        <v>31</v>
      </c>
      <c r="AA352" s="37" t="s">
        <v>31</v>
      </c>
      <c r="AB352" s="37" t="s">
        <v>513</v>
      </c>
      <c r="AC352" s="61"/>
      <c r="AD352" s="34"/>
      <c r="AE352" s="98" t="s">
        <v>28</v>
      </c>
      <c r="AF352" s="36">
        <v>44191</v>
      </c>
      <c r="AG352" s="36">
        <v>44191</v>
      </c>
      <c r="AH352" s="37"/>
      <c r="AI352" s="72">
        <v>44185</v>
      </c>
      <c r="AJ352" s="38" t="s">
        <v>27</v>
      </c>
      <c r="AK352" s="39" t="e">
        <f>VLOOKUP(A352,'[1]Externe MAJ Nov'!$A:$H,8,0)</f>
        <v>#N/A</v>
      </c>
      <c r="AL352" s="61"/>
      <c r="AM352" s="61"/>
      <c r="AN352" s="61"/>
      <c r="AO352" s="58">
        <v>44185</v>
      </c>
      <c r="AP352" s="29" t="e">
        <f>VLOOKUP(A352,'[2]External Scan 02_21'!$B:$J,9,0)</f>
        <v>#N/A</v>
      </c>
      <c r="AQ352" s="29" t="s">
        <v>28</v>
      </c>
      <c r="AR352" s="21"/>
      <c r="AS352" s="21" t="str">
        <f>VLOOKUP(AE352,'ref statu'!A:B,2,0)</f>
        <v>Fixed</v>
      </c>
      <c r="AT352" s="8" t="e">
        <f>VLOOKUP(A352,chk!A:B,2,0)</f>
        <v>#N/A</v>
      </c>
      <c r="AU352" s="29" t="e">
        <f>VLOOKUP(A352,checker!A:B,2,0)</f>
        <v>#N/A</v>
      </c>
      <c r="AV352" s="29" t="e">
        <f>VLOOKUP(A352,checker!B:C,2,0)</f>
        <v>#N/A</v>
      </c>
    </row>
    <row r="353" spans="1:48" x14ac:dyDescent="0.3">
      <c r="A353" s="29" t="str">
        <f t="shared" si="5"/>
        <v>96.692.66.646/0/oracle_linux-elsa-2018-4012</v>
      </c>
      <c r="B353" s="61" t="s">
        <v>2997</v>
      </c>
      <c r="C353" s="61" t="s">
        <v>528</v>
      </c>
      <c r="D353" s="61" t="s">
        <v>2964</v>
      </c>
      <c r="E353" s="61" t="s">
        <v>28</v>
      </c>
      <c r="F353" s="61" t="s">
        <v>529</v>
      </c>
      <c r="G353" s="61" t="s">
        <v>530</v>
      </c>
      <c r="H353" s="61" t="s">
        <v>531</v>
      </c>
      <c r="I353" s="37" t="s">
        <v>532</v>
      </c>
      <c r="J353" s="37">
        <v>0</v>
      </c>
      <c r="K353" s="61" t="s">
        <v>258</v>
      </c>
      <c r="L353" s="61" t="s">
        <v>31</v>
      </c>
      <c r="M353" s="9">
        <v>4</v>
      </c>
      <c r="N353" s="9" t="s">
        <v>29</v>
      </c>
      <c r="O353" s="61" t="s">
        <v>2408</v>
      </c>
      <c r="P353" s="61" t="s">
        <v>2409</v>
      </c>
      <c r="Q353" s="61" t="s">
        <v>2410</v>
      </c>
      <c r="R353" s="61" t="s">
        <v>556</v>
      </c>
      <c r="S353" s="61" t="s">
        <v>2411</v>
      </c>
      <c r="T353" s="61" t="s">
        <v>31</v>
      </c>
      <c r="U353" s="61" t="s">
        <v>31</v>
      </c>
      <c r="V353" s="61" t="s">
        <v>31</v>
      </c>
      <c r="W353" s="62">
        <v>43119</v>
      </c>
      <c r="X353" s="37" t="s">
        <v>30</v>
      </c>
      <c r="Y353" s="37">
        <v>0</v>
      </c>
      <c r="Z353" s="37" t="s">
        <v>31</v>
      </c>
      <c r="AA353" s="37" t="s">
        <v>31</v>
      </c>
      <c r="AB353" s="37" t="s">
        <v>513</v>
      </c>
      <c r="AC353" s="61"/>
      <c r="AD353" s="34"/>
      <c r="AE353" s="98" t="s">
        <v>28</v>
      </c>
      <c r="AF353" s="36">
        <v>44191</v>
      </c>
      <c r="AG353" s="36">
        <v>44191</v>
      </c>
      <c r="AH353" s="37"/>
      <c r="AI353" s="72">
        <v>44185</v>
      </c>
      <c r="AJ353" s="38" t="s">
        <v>27</v>
      </c>
      <c r="AK353" s="39" t="e">
        <f>VLOOKUP(A353,'[1]Externe MAJ Nov'!$A:$H,8,0)</f>
        <v>#N/A</v>
      </c>
      <c r="AL353" s="61"/>
      <c r="AM353" s="61"/>
      <c r="AN353" s="61"/>
      <c r="AO353" s="58">
        <v>44185</v>
      </c>
      <c r="AP353" s="29" t="e">
        <f>VLOOKUP(A353,'[2]External Scan 02_21'!$B:$J,9,0)</f>
        <v>#N/A</v>
      </c>
      <c r="AQ353" s="29" t="s">
        <v>28</v>
      </c>
      <c r="AR353" s="21"/>
      <c r="AS353" s="21" t="str">
        <f>VLOOKUP(AE353,'ref statu'!A:B,2,0)</f>
        <v>Fixed</v>
      </c>
      <c r="AT353" s="8" t="e">
        <f>VLOOKUP(A353,chk!A:B,2,0)</f>
        <v>#N/A</v>
      </c>
      <c r="AU353" s="29" t="e">
        <f>VLOOKUP(A353,checker!A:B,2,0)</f>
        <v>#N/A</v>
      </c>
      <c r="AV353" s="29" t="e">
        <f>VLOOKUP(A353,checker!B:C,2,0)</f>
        <v>#N/A</v>
      </c>
    </row>
    <row r="354" spans="1:48" x14ac:dyDescent="0.3">
      <c r="A354" s="29" t="str">
        <f t="shared" si="5"/>
        <v>96.692.66.646/0/unix-anonymous-root-logins</v>
      </c>
      <c r="B354" s="61" t="s">
        <v>2997</v>
      </c>
      <c r="C354" s="61" t="s">
        <v>528</v>
      </c>
      <c r="D354" s="61" t="s">
        <v>2964</v>
      </c>
      <c r="E354" s="61" t="s">
        <v>28</v>
      </c>
      <c r="F354" s="61" t="s">
        <v>529</v>
      </c>
      <c r="G354" s="61" t="s">
        <v>530</v>
      </c>
      <c r="H354" s="61" t="s">
        <v>531</v>
      </c>
      <c r="I354" s="37" t="s">
        <v>532</v>
      </c>
      <c r="J354" s="37">
        <v>0</v>
      </c>
      <c r="K354" s="61" t="s">
        <v>258</v>
      </c>
      <c r="L354" s="61" t="s">
        <v>31</v>
      </c>
      <c r="M354" s="9">
        <v>7</v>
      </c>
      <c r="N354" s="10" t="s">
        <v>2540</v>
      </c>
      <c r="O354" s="61" t="s">
        <v>2412</v>
      </c>
      <c r="P354" s="61" t="s">
        <v>2413</v>
      </c>
      <c r="Q354" s="61" t="s">
        <v>2414</v>
      </c>
      <c r="R354" s="61" t="s">
        <v>2415</v>
      </c>
      <c r="S354" s="61" t="s">
        <v>2416</v>
      </c>
      <c r="T354" s="61" t="s">
        <v>31</v>
      </c>
      <c r="U354" s="61" t="s">
        <v>31</v>
      </c>
      <c r="V354" s="61" t="s">
        <v>31</v>
      </c>
      <c r="W354" s="62">
        <v>38321</v>
      </c>
      <c r="X354" s="37" t="s">
        <v>36</v>
      </c>
      <c r="Y354" s="37">
        <v>0</v>
      </c>
      <c r="Z354" s="37" t="s">
        <v>31</v>
      </c>
      <c r="AA354" s="37" t="s">
        <v>31</v>
      </c>
      <c r="AB354" s="37" t="s">
        <v>513</v>
      </c>
      <c r="AC354" s="61"/>
      <c r="AD354" s="33"/>
      <c r="AE354" s="98" t="s">
        <v>28</v>
      </c>
      <c r="AF354" s="36">
        <v>44191</v>
      </c>
      <c r="AG354" s="36">
        <v>44191</v>
      </c>
      <c r="AH354" s="37"/>
      <c r="AI354" s="72">
        <v>44185</v>
      </c>
      <c r="AJ354" s="38" t="s">
        <v>27</v>
      </c>
      <c r="AK354" s="39" t="e">
        <f>VLOOKUP(A354,'[1]Externe MAJ Nov'!$A:$H,8,0)</f>
        <v>#N/A</v>
      </c>
      <c r="AL354" s="61"/>
      <c r="AM354" s="61"/>
      <c r="AN354" s="61"/>
      <c r="AO354" s="58">
        <v>44185</v>
      </c>
      <c r="AP354" s="29" t="e">
        <f>VLOOKUP(A354,'[2]External Scan 02_21'!$B:$J,9,0)</f>
        <v>#N/A</v>
      </c>
      <c r="AQ354" s="29" t="s">
        <v>28</v>
      </c>
      <c r="AR354" s="21"/>
      <c r="AS354" s="21" t="str">
        <f>VLOOKUP(AE354,'ref statu'!A:B,2,0)</f>
        <v>Fixed</v>
      </c>
      <c r="AT354" s="8" t="e">
        <f>VLOOKUP(A354,chk!A:B,2,0)</f>
        <v>#N/A</v>
      </c>
      <c r="AU354" s="29" t="e">
        <f>VLOOKUP(A354,checker!A:B,2,0)</f>
        <v>#N/A</v>
      </c>
      <c r="AV354" s="29" t="e">
        <f>VLOOKUP(A354,checker!B:C,2,0)</f>
        <v>#N/A</v>
      </c>
    </row>
    <row r="355" spans="1:48" x14ac:dyDescent="0.3">
      <c r="A355" s="29" t="str">
        <f t="shared" si="5"/>
        <v>96.692.66.646/0/unix-partition-mounting-weakness</v>
      </c>
      <c r="B355" s="61" t="s">
        <v>2997</v>
      </c>
      <c r="C355" s="61" t="s">
        <v>528</v>
      </c>
      <c r="D355" s="61" t="s">
        <v>2964</v>
      </c>
      <c r="E355" s="61" t="s">
        <v>28</v>
      </c>
      <c r="F355" s="61" t="s">
        <v>529</v>
      </c>
      <c r="G355" s="61" t="s">
        <v>530</v>
      </c>
      <c r="H355" s="61" t="s">
        <v>531</v>
      </c>
      <c r="I355" s="37" t="s">
        <v>532</v>
      </c>
      <c r="J355" s="37">
        <v>0</v>
      </c>
      <c r="K355" s="61" t="s">
        <v>258</v>
      </c>
      <c r="L355" s="61" t="s">
        <v>31</v>
      </c>
      <c r="M355" s="9">
        <v>2</v>
      </c>
      <c r="N355" s="9" t="s">
        <v>42</v>
      </c>
      <c r="O355" s="61" t="s">
        <v>2417</v>
      </c>
      <c r="P355" s="61" t="s">
        <v>2418</v>
      </c>
      <c r="Q355" s="61" t="s">
        <v>2419</v>
      </c>
      <c r="R355" s="61" t="s">
        <v>2420</v>
      </c>
      <c r="S355" s="61" t="s">
        <v>2421</v>
      </c>
      <c r="T355" s="61" t="s">
        <v>31</v>
      </c>
      <c r="U355" s="61" t="s">
        <v>31</v>
      </c>
      <c r="V355" s="61" t="s">
        <v>31</v>
      </c>
      <c r="W355" s="62">
        <v>38367</v>
      </c>
      <c r="X355" s="37" t="s">
        <v>36</v>
      </c>
      <c r="Y355" s="37">
        <v>0</v>
      </c>
      <c r="Z355" s="37" t="s">
        <v>31</v>
      </c>
      <c r="AA355" s="37" t="s">
        <v>31</v>
      </c>
      <c r="AB355" s="37" t="s">
        <v>513</v>
      </c>
      <c r="AC355" s="61"/>
      <c r="AD355" s="34"/>
      <c r="AE355" s="98" t="s">
        <v>28</v>
      </c>
      <c r="AF355" s="36">
        <v>44191</v>
      </c>
      <c r="AG355" s="36">
        <v>44191</v>
      </c>
      <c r="AH355" s="37"/>
      <c r="AI355" s="72">
        <v>44185</v>
      </c>
      <c r="AJ355" s="38" t="s">
        <v>27</v>
      </c>
      <c r="AK355" s="39" t="e">
        <f>VLOOKUP(A355,'[1]Externe MAJ Nov'!$A:$H,8,0)</f>
        <v>#N/A</v>
      </c>
      <c r="AL355" s="61"/>
      <c r="AM355" s="61"/>
      <c r="AN355" s="61"/>
      <c r="AO355" s="58">
        <v>44185</v>
      </c>
      <c r="AP355" s="29" t="e">
        <f>VLOOKUP(A355,'[2]External Scan 02_21'!$B:$J,9,0)</f>
        <v>#N/A</v>
      </c>
      <c r="AQ355" s="29" t="s">
        <v>28</v>
      </c>
      <c r="AR355" s="21"/>
      <c r="AS355" s="21" t="str">
        <f>VLOOKUP(AE355,'ref statu'!A:B,2,0)</f>
        <v>Fixed</v>
      </c>
      <c r="AT355" s="8" t="e">
        <f>VLOOKUP(A355,chk!A:B,2,0)</f>
        <v>#N/A</v>
      </c>
      <c r="AU355" s="29" t="e">
        <f>VLOOKUP(A355,checker!A:B,2,0)</f>
        <v>#N/A</v>
      </c>
      <c r="AV355" s="29" t="e">
        <f>VLOOKUP(A355,checker!B:C,2,0)</f>
        <v>#N/A</v>
      </c>
    </row>
    <row r="356" spans="1:48" x14ac:dyDescent="0.3">
      <c r="A356" s="29" t="str">
        <f t="shared" si="5"/>
        <v>96.692.66.646/0/unix-umask-unsafe</v>
      </c>
      <c r="B356" s="61" t="s">
        <v>2997</v>
      </c>
      <c r="C356" s="61" t="s">
        <v>528</v>
      </c>
      <c r="D356" s="61" t="s">
        <v>2964</v>
      </c>
      <c r="E356" s="61" t="s">
        <v>28</v>
      </c>
      <c r="F356" s="61" t="s">
        <v>529</v>
      </c>
      <c r="G356" s="61" t="s">
        <v>530</v>
      </c>
      <c r="H356" s="61" t="s">
        <v>531</v>
      </c>
      <c r="I356" s="37" t="s">
        <v>532</v>
      </c>
      <c r="J356" s="37">
        <v>0</v>
      </c>
      <c r="K356" s="61" t="s">
        <v>258</v>
      </c>
      <c r="L356" s="61" t="s">
        <v>31</v>
      </c>
      <c r="M356" s="9">
        <v>4</v>
      </c>
      <c r="N356" s="9" t="s">
        <v>29</v>
      </c>
      <c r="O356" s="61" t="s">
        <v>2422</v>
      </c>
      <c r="P356" s="61" t="s">
        <v>2423</v>
      </c>
      <c r="Q356" s="61" t="s">
        <v>2424</v>
      </c>
      <c r="R356" s="61" t="s">
        <v>2425</v>
      </c>
      <c r="S356" s="61" t="s">
        <v>2426</v>
      </c>
      <c r="T356" s="61" t="s">
        <v>31</v>
      </c>
      <c r="U356" s="61" t="s">
        <v>31</v>
      </c>
      <c r="V356" s="61" t="s">
        <v>31</v>
      </c>
      <c r="W356" s="62">
        <v>38367</v>
      </c>
      <c r="X356" s="37" t="s">
        <v>36</v>
      </c>
      <c r="Y356" s="37">
        <v>0</v>
      </c>
      <c r="Z356" s="37" t="s">
        <v>31</v>
      </c>
      <c r="AA356" s="37" t="s">
        <v>31</v>
      </c>
      <c r="AB356" s="37" t="s">
        <v>513</v>
      </c>
      <c r="AC356" s="61"/>
      <c r="AD356" s="34"/>
      <c r="AE356" s="98" t="s">
        <v>28</v>
      </c>
      <c r="AF356" s="36">
        <v>44191</v>
      </c>
      <c r="AG356" s="36">
        <v>44191</v>
      </c>
      <c r="AH356" s="37"/>
      <c r="AI356" s="72">
        <v>44185</v>
      </c>
      <c r="AJ356" s="38" t="s">
        <v>27</v>
      </c>
      <c r="AK356" s="39" t="e">
        <f>VLOOKUP(A356,'[1]Externe MAJ Nov'!$A:$H,8,0)</f>
        <v>#N/A</v>
      </c>
      <c r="AL356" s="61"/>
      <c r="AM356" s="61"/>
      <c r="AN356" s="61"/>
      <c r="AO356" s="58">
        <v>44185</v>
      </c>
      <c r="AP356" s="29" t="e">
        <f>VLOOKUP(A356,'[2]External Scan 02_21'!$B:$J,9,0)</f>
        <v>#N/A</v>
      </c>
      <c r="AQ356" s="29" t="s">
        <v>28</v>
      </c>
      <c r="AR356" s="21"/>
      <c r="AS356" s="21" t="str">
        <f>VLOOKUP(AE356,'ref statu'!A:B,2,0)</f>
        <v>Fixed</v>
      </c>
      <c r="AT356" s="8" t="e">
        <f>VLOOKUP(A356,chk!A:B,2,0)</f>
        <v>#N/A</v>
      </c>
      <c r="AU356" s="29" t="e">
        <f>VLOOKUP(A356,checker!A:B,2,0)</f>
        <v>#N/A</v>
      </c>
      <c r="AV356" s="29" t="e">
        <f>VLOOKUP(A356,checker!B:C,2,0)</f>
        <v>#N/A</v>
      </c>
    </row>
    <row r="357" spans="1:48" x14ac:dyDescent="0.3">
      <c r="A357" s="29" t="str">
        <f t="shared" si="5"/>
        <v>96.692.66.646/0/unix-unowned-files-or-dirs</v>
      </c>
      <c r="B357" s="61" t="s">
        <v>2997</v>
      </c>
      <c r="C357" s="61" t="s">
        <v>528</v>
      </c>
      <c r="D357" s="61" t="s">
        <v>2964</v>
      </c>
      <c r="E357" s="61" t="s">
        <v>28</v>
      </c>
      <c r="F357" s="61" t="s">
        <v>529</v>
      </c>
      <c r="G357" s="61" t="s">
        <v>530</v>
      </c>
      <c r="H357" s="61" t="s">
        <v>531</v>
      </c>
      <c r="I357" s="37" t="s">
        <v>532</v>
      </c>
      <c r="J357" s="37">
        <v>0</v>
      </c>
      <c r="K357" s="61" t="s">
        <v>258</v>
      </c>
      <c r="L357" s="61" t="s">
        <v>31</v>
      </c>
      <c r="M357" s="9">
        <v>2</v>
      </c>
      <c r="N357" s="9" t="s">
        <v>42</v>
      </c>
      <c r="O357" s="61" t="s">
        <v>2427</v>
      </c>
      <c r="P357" s="61" t="s">
        <v>2428</v>
      </c>
      <c r="Q357" s="61" t="s">
        <v>2429</v>
      </c>
      <c r="R357" s="61" t="s">
        <v>2430</v>
      </c>
      <c r="S357" s="61" t="s">
        <v>2431</v>
      </c>
      <c r="T357" s="61" t="s">
        <v>31</v>
      </c>
      <c r="U357" s="61" t="s">
        <v>31</v>
      </c>
      <c r="V357" s="61" t="s">
        <v>31</v>
      </c>
      <c r="W357" s="62">
        <v>38367</v>
      </c>
      <c r="X357" s="37" t="s">
        <v>36</v>
      </c>
      <c r="Y357" s="37">
        <v>0</v>
      </c>
      <c r="Z357" s="37" t="s">
        <v>31</v>
      </c>
      <c r="AA357" s="37" t="s">
        <v>31</v>
      </c>
      <c r="AB357" s="37" t="s">
        <v>513</v>
      </c>
      <c r="AC357" s="61"/>
      <c r="AD357" s="33"/>
      <c r="AE357" s="98" t="s">
        <v>28</v>
      </c>
      <c r="AF357" s="36">
        <v>44191</v>
      </c>
      <c r="AG357" s="36">
        <v>44191</v>
      </c>
      <c r="AH357" s="37"/>
      <c r="AI357" s="72">
        <v>44185</v>
      </c>
      <c r="AJ357" s="38" t="s">
        <v>27</v>
      </c>
      <c r="AK357" s="39" t="e">
        <f>VLOOKUP(A357,'[1]Externe MAJ Nov'!$A:$H,8,0)</f>
        <v>#N/A</v>
      </c>
      <c r="AL357" s="61"/>
      <c r="AM357" s="61"/>
      <c r="AN357" s="61"/>
      <c r="AO357" s="58">
        <v>44185</v>
      </c>
      <c r="AP357" s="29" t="e">
        <f>VLOOKUP(A357,'[2]External Scan 02_21'!$B:$J,9,0)</f>
        <v>#N/A</v>
      </c>
      <c r="AQ357" s="29" t="s">
        <v>28</v>
      </c>
      <c r="AR357" s="21"/>
      <c r="AS357" s="21" t="str">
        <f>VLOOKUP(AE357,'ref statu'!A:B,2,0)</f>
        <v>Fixed</v>
      </c>
      <c r="AT357" s="8" t="e">
        <f>VLOOKUP(A357,chk!A:B,2,0)</f>
        <v>#N/A</v>
      </c>
      <c r="AU357" s="29" t="e">
        <f>VLOOKUP(A357,checker!A:B,2,0)</f>
        <v>#N/A</v>
      </c>
      <c r="AV357" s="29" t="e">
        <f>VLOOKUP(A357,checker!B:C,2,0)</f>
        <v>#N/A</v>
      </c>
    </row>
    <row r="358" spans="1:48" x14ac:dyDescent="0.3">
      <c r="A358" s="29" t="str">
        <f t="shared" si="5"/>
        <v>96.692.66.646/0/unix-world-writable-files</v>
      </c>
      <c r="B358" s="61" t="s">
        <v>2997</v>
      </c>
      <c r="C358" s="61" t="s">
        <v>528</v>
      </c>
      <c r="D358" s="61" t="s">
        <v>2964</v>
      </c>
      <c r="E358" s="61" t="s">
        <v>28</v>
      </c>
      <c r="F358" s="61" t="s">
        <v>529</v>
      </c>
      <c r="G358" s="61" t="s">
        <v>530</v>
      </c>
      <c r="H358" s="61" t="s">
        <v>531</v>
      </c>
      <c r="I358" s="37" t="s">
        <v>532</v>
      </c>
      <c r="J358" s="37">
        <v>0</v>
      </c>
      <c r="K358" s="61" t="s">
        <v>258</v>
      </c>
      <c r="L358" s="61" t="s">
        <v>31</v>
      </c>
      <c r="M358" s="9">
        <v>4</v>
      </c>
      <c r="N358" s="9" t="s">
        <v>29</v>
      </c>
      <c r="O358" s="61" t="s">
        <v>2432</v>
      </c>
      <c r="P358" s="61" t="s">
        <v>2433</v>
      </c>
      <c r="Q358" s="61" t="s">
        <v>2434</v>
      </c>
      <c r="R358" s="61" t="s">
        <v>2435</v>
      </c>
      <c r="S358" s="61" t="s">
        <v>2436</v>
      </c>
      <c r="T358" s="61" t="s">
        <v>31</v>
      </c>
      <c r="U358" s="61" t="s">
        <v>31</v>
      </c>
      <c r="V358" s="61" t="s">
        <v>31</v>
      </c>
      <c r="W358" s="62">
        <v>38367</v>
      </c>
      <c r="X358" s="37" t="s">
        <v>36</v>
      </c>
      <c r="Y358" s="37">
        <v>0</v>
      </c>
      <c r="Z358" s="37" t="s">
        <v>31</v>
      </c>
      <c r="AA358" s="37" t="s">
        <v>31</v>
      </c>
      <c r="AB358" s="37" t="s">
        <v>513</v>
      </c>
      <c r="AC358" s="61"/>
      <c r="AD358" s="34"/>
      <c r="AE358" s="98" t="s">
        <v>28</v>
      </c>
      <c r="AF358" s="36">
        <v>44191</v>
      </c>
      <c r="AG358" s="36">
        <v>44191</v>
      </c>
      <c r="AH358" s="37"/>
      <c r="AI358" s="72">
        <v>44185</v>
      </c>
      <c r="AJ358" s="38" t="s">
        <v>27</v>
      </c>
      <c r="AK358" s="39" t="e">
        <f>VLOOKUP(A358,'[1]Externe MAJ Nov'!$A:$H,8,0)</f>
        <v>#N/A</v>
      </c>
      <c r="AL358" s="61"/>
      <c r="AM358" s="61"/>
      <c r="AN358" s="61"/>
      <c r="AO358" s="58">
        <v>44185</v>
      </c>
      <c r="AP358" s="29" t="e">
        <f>VLOOKUP(A358,'[2]External Scan 02_21'!$B:$J,9,0)</f>
        <v>#N/A</v>
      </c>
      <c r="AQ358" s="29" t="s">
        <v>28</v>
      </c>
      <c r="AR358" s="21"/>
      <c r="AS358" s="21" t="str">
        <f>VLOOKUP(AE358,'ref statu'!A:B,2,0)</f>
        <v>Fixed</v>
      </c>
      <c r="AT358" s="8" t="e">
        <f>VLOOKUP(A358,chk!A:B,2,0)</f>
        <v>#N/A</v>
      </c>
      <c r="AU358" s="29" t="e">
        <f>VLOOKUP(A358,checker!A:B,2,0)</f>
        <v>#N/A</v>
      </c>
      <c r="AV358" s="29" t="e">
        <f>VLOOKUP(A358,checker!B:C,2,0)</f>
        <v>#N/A</v>
      </c>
    </row>
    <row r="359" spans="1:48" x14ac:dyDescent="0.3">
      <c r="A359" s="29" t="str">
        <f t="shared" si="5"/>
        <v>96.692.66.646/22/ssh-default-account-root-password-root</v>
      </c>
      <c r="B359" s="61" t="s">
        <v>2997</v>
      </c>
      <c r="C359" s="61" t="s">
        <v>528</v>
      </c>
      <c r="D359" s="61" t="s">
        <v>2964</v>
      </c>
      <c r="E359" s="61" t="s">
        <v>28</v>
      </c>
      <c r="F359" s="61" t="s">
        <v>529</v>
      </c>
      <c r="G359" s="61" t="s">
        <v>530</v>
      </c>
      <c r="H359" s="61" t="s">
        <v>531</v>
      </c>
      <c r="I359" s="37" t="s">
        <v>532</v>
      </c>
      <c r="J359" s="37">
        <v>22</v>
      </c>
      <c r="K359" s="61" t="s">
        <v>268</v>
      </c>
      <c r="L359" s="61" t="s">
        <v>391</v>
      </c>
      <c r="M359" s="9">
        <v>10</v>
      </c>
      <c r="N359" s="10" t="s">
        <v>164</v>
      </c>
      <c r="O359" s="61" t="s">
        <v>2437</v>
      </c>
      <c r="P359" s="61" t="s">
        <v>2438</v>
      </c>
      <c r="Q359" s="61" t="s">
        <v>2439</v>
      </c>
      <c r="R359" s="61" t="s">
        <v>2440</v>
      </c>
      <c r="S359" s="61" t="s">
        <v>2441</v>
      </c>
      <c r="T359" s="61" t="s">
        <v>31</v>
      </c>
      <c r="U359" s="61" t="s">
        <v>31</v>
      </c>
      <c r="V359" s="61" t="s">
        <v>31</v>
      </c>
      <c r="W359" s="62">
        <v>40311</v>
      </c>
      <c r="X359" s="37" t="s">
        <v>36</v>
      </c>
      <c r="Y359" s="37">
        <v>0</v>
      </c>
      <c r="Z359" s="37" t="s">
        <v>31</v>
      </c>
      <c r="AA359" s="37" t="s">
        <v>31</v>
      </c>
      <c r="AB359" s="37" t="s">
        <v>513</v>
      </c>
      <c r="AC359" s="61"/>
      <c r="AD359" s="34"/>
      <c r="AE359" s="98" t="s">
        <v>28</v>
      </c>
      <c r="AF359" s="36">
        <v>44191</v>
      </c>
      <c r="AG359" s="36">
        <v>44191</v>
      </c>
      <c r="AH359" s="37"/>
      <c r="AI359" s="72">
        <v>44185</v>
      </c>
      <c r="AJ359" s="38" t="s">
        <v>27</v>
      </c>
      <c r="AK359" s="39" t="e">
        <f>VLOOKUP(A359,'[1]Externe MAJ Nov'!$A:$H,8,0)</f>
        <v>#N/A</v>
      </c>
      <c r="AL359" s="61"/>
      <c r="AM359" s="61"/>
      <c r="AN359" s="61"/>
      <c r="AO359" s="58">
        <v>44185</v>
      </c>
      <c r="AP359" s="29" t="e">
        <f>VLOOKUP(A359,'[2]External Scan 02_21'!$B:$J,9,0)</f>
        <v>#N/A</v>
      </c>
      <c r="AQ359" s="29" t="s">
        <v>28</v>
      </c>
      <c r="AR359" s="21"/>
      <c r="AS359" s="21" t="str">
        <f>VLOOKUP(AE359,'ref statu'!A:B,2,0)</f>
        <v>Fixed</v>
      </c>
      <c r="AT359" s="8" t="e">
        <f>VLOOKUP(A359,chk!A:B,2,0)</f>
        <v>#N/A</v>
      </c>
      <c r="AU359" s="29" t="e">
        <f>VLOOKUP(A359,checker!A:B,2,0)</f>
        <v>#N/A</v>
      </c>
      <c r="AV359" s="29" t="e">
        <f>VLOOKUP(A359,checker!B:C,2,0)</f>
        <v>#N/A</v>
      </c>
    </row>
    <row r="360" spans="1:48" x14ac:dyDescent="0.3">
      <c r="A360" s="29" t="str">
        <f t="shared" si="5"/>
        <v>96.692.66.643/0/generic-tcp-timestamp</v>
      </c>
      <c r="B360" s="61" t="s">
        <v>2998</v>
      </c>
      <c r="C360" s="61" t="s">
        <v>306</v>
      </c>
      <c r="D360" s="61" t="s">
        <v>2986</v>
      </c>
      <c r="E360" s="61" t="s">
        <v>494</v>
      </c>
      <c r="F360" s="61" t="s">
        <v>270</v>
      </c>
      <c r="G360" s="61" t="s">
        <v>309</v>
      </c>
      <c r="H360" s="61" t="s">
        <v>256</v>
      </c>
      <c r="I360" s="37" t="s">
        <v>310</v>
      </c>
      <c r="J360" s="37">
        <v>0</v>
      </c>
      <c r="K360" s="61" t="s">
        <v>258</v>
      </c>
      <c r="L360" s="61" t="s">
        <v>31</v>
      </c>
      <c r="M360" s="9">
        <v>1</v>
      </c>
      <c r="N360" s="9" t="s">
        <v>42</v>
      </c>
      <c r="O360" s="61" t="s">
        <v>78</v>
      </c>
      <c r="P360" s="61" t="s">
        <v>79</v>
      </c>
      <c r="Q360" s="61" t="s">
        <v>80</v>
      </c>
      <c r="R360" s="61" t="s">
        <v>81</v>
      </c>
      <c r="S360" s="61" t="s">
        <v>82</v>
      </c>
      <c r="T360" s="61" t="s">
        <v>83</v>
      </c>
      <c r="U360" s="61" t="s">
        <v>31</v>
      </c>
      <c r="V360" s="61" t="s">
        <v>31</v>
      </c>
      <c r="W360" s="62">
        <v>35643</v>
      </c>
      <c r="X360" s="37" t="s">
        <v>36</v>
      </c>
      <c r="Y360" s="37">
        <v>0</v>
      </c>
      <c r="Z360" s="37" t="s">
        <v>31</v>
      </c>
      <c r="AA360" s="37" t="s">
        <v>31</v>
      </c>
      <c r="AB360" s="37" t="s">
        <v>513</v>
      </c>
      <c r="AC360" s="61"/>
      <c r="AD360" s="33"/>
      <c r="AE360" s="95" t="s">
        <v>28</v>
      </c>
      <c r="AF360" s="37"/>
      <c r="AG360" s="36"/>
      <c r="AH360" s="40"/>
      <c r="AI360" s="72">
        <v>44185</v>
      </c>
      <c r="AJ360" s="38" t="s">
        <v>270</v>
      </c>
      <c r="AK360" s="39" t="e">
        <f>VLOOKUP(A360,'[1]Externe MAJ Nov'!$A:$H,8,0)</f>
        <v>#N/A</v>
      </c>
      <c r="AL360" s="61" t="s">
        <v>77</v>
      </c>
      <c r="AM360" s="61"/>
      <c r="AN360" s="61" t="s">
        <v>27</v>
      </c>
      <c r="AO360" s="58">
        <v>44185</v>
      </c>
      <c r="AP360" s="29" t="e">
        <f>VLOOKUP(A360,'[2]External Scan 02_21'!$B:$J,9,0)</f>
        <v>#N/A</v>
      </c>
      <c r="AQ360" s="29" t="s">
        <v>331</v>
      </c>
      <c r="AR360" s="75" t="s">
        <v>487</v>
      </c>
      <c r="AS360" s="21" t="str">
        <f>VLOOKUP(AE360,'ref statu'!A:B,2,0)</f>
        <v>Fixed</v>
      </c>
      <c r="AT360" s="8" t="e">
        <f>VLOOKUP(A360,chk!A:B,2,0)</f>
        <v>#N/A</v>
      </c>
      <c r="AU360" s="29" t="e">
        <f>VLOOKUP(A360,checker!A:B,2,0)</f>
        <v>#N/A</v>
      </c>
      <c r="AV360" s="29" t="e">
        <f>VLOOKUP(A360,checker!B:C,2,0)</f>
        <v>#N/A</v>
      </c>
    </row>
    <row r="361" spans="1:48" x14ac:dyDescent="0.3">
      <c r="A361" s="29" t="str">
        <f t="shared" si="5"/>
        <v>96.692.66.643/22/ssh-3des-ciphers</v>
      </c>
      <c r="B361" s="29" t="s">
        <v>2998</v>
      </c>
      <c r="C361" s="29" t="s">
        <v>306</v>
      </c>
      <c r="D361" s="8" t="s">
        <v>2986</v>
      </c>
      <c r="E361" s="8" t="s">
        <v>307</v>
      </c>
      <c r="F361" s="29" t="s">
        <v>308</v>
      </c>
      <c r="G361" s="21" t="s">
        <v>309</v>
      </c>
      <c r="H361" s="29" t="s">
        <v>256</v>
      </c>
      <c r="I361" s="8" t="s">
        <v>310</v>
      </c>
      <c r="J361" s="8">
        <v>22</v>
      </c>
      <c r="K361" s="29" t="s">
        <v>268</v>
      </c>
      <c r="L361" s="29" t="s">
        <v>269</v>
      </c>
      <c r="M361" s="9">
        <v>1</v>
      </c>
      <c r="N361" s="9" t="s">
        <v>42</v>
      </c>
      <c r="O361" s="29" t="s">
        <v>49</v>
      </c>
      <c r="P361" s="29" t="s">
        <v>50</v>
      </c>
      <c r="Q361" s="29" t="s">
        <v>51</v>
      </c>
      <c r="R361" s="29" t="s">
        <v>52</v>
      </c>
      <c r="S361" s="29" t="s">
        <v>53</v>
      </c>
      <c r="T361" s="29" t="s">
        <v>54</v>
      </c>
      <c r="U361" s="29" t="s">
        <v>31</v>
      </c>
      <c r="V361" s="29" t="s">
        <v>31</v>
      </c>
      <c r="W361" s="29">
        <v>39845</v>
      </c>
      <c r="X361" s="8" t="s">
        <v>30</v>
      </c>
      <c r="Y361" s="8">
        <v>0</v>
      </c>
      <c r="Z361" s="8" t="s">
        <v>31</v>
      </c>
      <c r="AA361" s="8" t="s">
        <v>31</v>
      </c>
      <c r="AB361" s="8" t="s">
        <v>260</v>
      </c>
      <c r="AC361" s="29"/>
      <c r="AD361" s="29"/>
      <c r="AE361" s="95" t="s">
        <v>28</v>
      </c>
      <c r="AF361" s="30">
        <v>44150</v>
      </c>
      <c r="AG361" s="30">
        <v>44150</v>
      </c>
      <c r="AH361" s="25">
        <v>44150</v>
      </c>
      <c r="AI361" s="72">
        <v>44124</v>
      </c>
      <c r="AJ361" s="23" t="s">
        <v>27</v>
      </c>
      <c r="AK361" s="8" t="e">
        <f>VLOOKUP(A361,'[1]Externe MAJ Nov'!$A:$H,8,0)</f>
        <v>#N/A</v>
      </c>
      <c r="AL361" s="29" t="e">
        <f>VLOOKUP(A361,'[1]Externe MAJ Nov'!$A:$G,7,0)</f>
        <v>#N/A</v>
      </c>
      <c r="AM361" s="29" t="s">
        <v>28</v>
      </c>
      <c r="AN361" s="29" t="s">
        <v>27</v>
      </c>
      <c r="AO361" s="58">
        <v>44124</v>
      </c>
      <c r="AP361" s="29" t="e">
        <f>VLOOKUP(A361,'[2]External Scan 02_21'!$B:$J,9,0)</f>
        <v>#N/A</v>
      </c>
      <c r="AQ361" s="29" t="s">
        <v>28</v>
      </c>
      <c r="AR361" s="75" t="s">
        <v>487</v>
      </c>
      <c r="AS361" s="21" t="str">
        <f>VLOOKUP(AE361,'ref statu'!A:B,2,0)</f>
        <v>Fixed</v>
      </c>
      <c r="AT361" s="8" t="e">
        <f>VLOOKUP(A361,chk!A:B,2,0)</f>
        <v>#N/A</v>
      </c>
      <c r="AU361" s="29" t="e">
        <f>VLOOKUP(A361,checker!A:B,2,0)</f>
        <v>#N/A</v>
      </c>
      <c r="AV361" s="29" t="e">
        <f>VLOOKUP(A361,checker!B:C,2,0)</f>
        <v>#N/A</v>
      </c>
    </row>
    <row r="362" spans="1:48" x14ac:dyDescent="0.3">
      <c r="A362" s="29" t="str">
        <f t="shared" si="5"/>
        <v>96.692.66.643/22/ssh-cbc-ciphers</v>
      </c>
      <c r="B362" s="29" t="s">
        <v>2998</v>
      </c>
      <c r="C362" s="29" t="s">
        <v>306</v>
      </c>
      <c r="D362" s="8" t="s">
        <v>2986</v>
      </c>
      <c r="E362" s="8" t="s">
        <v>307</v>
      </c>
      <c r="F362" s="29" t="s">
        <v>308</v>
      </c>
      <c r="G362" s="21" t="s">
        <v>309</v>
      </c>
      <c r="H362" s="29" t="s">
        <v>256</v>
      </c>
      <c r="I362" s="8" t="s">
        <v>310</v>
      </c>
      <c r="J362" s="8">
        <v>22</v>
      </c>
      <c r="K362" s="29" t="s">
        <v>268</v>
      </c>
      <c r="L362" s="29" t="s">
        <v>269</v>
      </c>
      <c r="M362" s="9">
        <v>3</v>
      </c>
      <c r="N362" s="9" t="s">
        <v>42</v>
      </c>
      <c r="O362" s="29" t="s">
        <v>55</v>
      </c>
      <c r="P362" s="29" t="s">
        <v>56</v>
      </c>
      <c r="Q362" s="29" t="s">
        <v>57</v>
      </c>
      <c r="R362" s="29" t="s">
        <v>58</v>
      </c>
      <c r="S362" s="29" t="s">
        <v>271</v>
      </c>
      <c r="T362" s="29" t="s">
        <v>59</v>
      </c>
      <c r="U362" s="29" t="s">
        <v>31</v>
      </c>
      <c r="V362" s="29" t="s">
        <v>31</v>
      </c>
      <c r="W362" s="29">
        <v>41313</v>
      </c>
      <c r="X362" s="8" t="s">
        <v>30</v>
      </c>
      <c r="Y362" s="8">
        <v>0</v>
      </c>
      <c r="Z362" s="8" t="s">
        <v>31</v>
      </c>
      <c r="AA362" s="8" t="s">
        <v>31</v>
      </c>
      <c r="AB362" s="8" t="s">
        <v>260</v>
      </c>
      <c r="AC362" s="29"/>
      <c r="AD362" s="29"/>
      <c r="AE362" s="95" t="s">
        <v>28</v>
      </c>
      <c r="AF362" s="30">
        <v>44150</v>
      </c>
      <c r="AG362" s="30">
        <v>44150</v>
      </c>
      <c r="AH362" s="25">
        <v>44150</v>
      </c>
      <c r="AI362" s="72">
        <v>44124</v>
      </c>
      <c r="AJ362" s="23" t="s">
        <v>27</v>
      </c>
      <c r="AK362" s="8" t="e">
        <f>VLOOKUP(A362,'[1]Externe MAJ Nov'!$A:$H,8,0)</f>
        <v>#N/A</v>
      </c>
      <c r="AL362" s="29" t="e">
        <f>VLOOKUP(A362,'[1]Externe MAJ Nov'!$A:$G,7,0)</f>
        <v>#N/A</v>
      </c>
      <c r="AM362" s="29" t="s">
        <v>28</v>
      </c>
      <c r="AN362" s="29" t="s">
        <v>27</v>
      </c>
      <c r="AO362" s="58">
        <v>44124</v>
      </c>
      <c r="AP362" s="29" t="e">
        <f>VLOOKUP(A362,'[2]External Scan 02_21'!$B:$J,9,0)</f>
        <v>#N/A</v>
      </c>
      <c r="AQ362" s="29" t="s">
        <v>28</v>
      </c>
      <c r="AR362" s="75" t="s">
        <v>487</v>
      </c>
      <c r="AS362" s="21" t="str">
        <f>VLOOKUP(AE362,'ref statu'!A:B,2,0)</f>
        <v>Fixed</v>
      </c>
      <c r="AT362" s="8" t="e">
        <f>VLOOKUP(A362,chk!A:B,2,0)</f>
        <v>#N/A</v>
      </c>
      <c r="AU362" s="29" t="e">
        <f>VLOOKUP(A362,checker!A:B,2,0)</f>
        <v>#N/A</v>
      </c>
      <c r="AV362" s="29" t="e">
        <f>VLOOKUP(A362,checker!B:C,2,0)</f>
        <v>#N/A</v>
      </c>
    </row>
    <row r="363" spans="1:48" x14ac:dyDescent="0.3">
      <c r="A363" s="29" t="str">
        <f t="shared" si="5"/>
        <v>96.692.66.643/22/ssh-cve-2015-4000</v>
      </c>
      <c r="B363" s="29" t="s">
        <v>2998</v>
      </c>
      <c r="C363" s="29" t="s">
        <v>306</v>
      </c>
      <c r="D363" s="8" t="s">
        <v>2986</v>
      </c>
      <c r="E363" s="8" t="s">
        <v>311</v>
      </c>
      <c r="F363" s="29" t="s">
        <v>308</v>
      </c>
      <c r="G363" s="21" t="s">
        <v>309</v>
      </c>
      <c r="H363" s="29" t="s">
        <v>256</v>
      </c>
      <c r="I363" s="8" t="s">
        <v>310</v>
      </c>
      <c r="J363" s="8">
        <v>22</v>
      </c>
      <c r="K363" s="29" t="s">
        <v>268</v>
      </c>
      <c r="L363" s="29" t="s">
        <v>269</v>
      </c>
      <c r="M363" s="9">
        <v>4</v>
      </c>
      <c r="N363" s="9" t="s">
        <v>29</v>
      </c>
      <c r="O363" s="29" t="s">
        <v>60</v>
      </c>
      <c r="P363" s="29" t="s">
        <v>61</v>
      </c>
      <c r="Q363" s="29" t="s">
        <v>62</v>
      </c>
      <c r="R363" s="29" t="s">
        <v>63</v>
      </c>
      <c r="S363" s="29" t="s">
        <v>64</v>
      </c>
      <c r="T363" s="29" t="s">
        <v>65</v>
      </c>
      <c r="U363" s="29" t="s">
        <v>66</v>
      </c>
      <c r="V363" s="29" t="s">
        <v>273</v>
      </c>
      <c r="W363" s="29">
        <v>42144</v>
      </c>
      <c r="X363" s="8" t="s">
        <v>30</v>
      </c>
      <c r="Y363" s="8">
        <v>0</v>
      </c>
      <c r="Z363" s="8" t="s">
        <v>31</v>
      </c>
      <c r="AA363" s="8" t="s">
        <v>31</v>
      </c>
      <c r="AB363" s="8" t="s">
        <v>260</v>
      </c>
      <c r="AC363" s="29"/>
      <c r="AD363" s="29"/>
      <c r="AE363" s="95" t="s">
        <v>28</v>
      </c>
      <c r="AF363" s="30">
        <v>44142</v>
      </c>
      <c r="AG363" s="30">
        <v>44142</v>
      </c>
      <c r="AH363" s="25">
        <v>44142</v>
      </c>
      <c r="AI363" s="72">
        <v>44124</v>
      </c>
      <c r="AJ363" s="23" t="s">
        <v>27</v>
      </c>
      <c r="AK363" s="8" t="e">
        <f>VLOOKUP(A363,'[1]Externe MAJ Nov'!$A:$H,8,0)</f>
        <v>#N/A</v>
      </c>
      <c r="AL363" s="29" t="e">
        <f>VLOOKUP(A363,'[1]Externe MAJ Nov'!$A:$G,7,0)</f>
        <v>#N/A</v>
      </c>
      <c r="AM363" s="29" t="s">
        <v>28</v>
      </c>
      <c r="AN363" s="29" t="s">
        <v>27</v>
      </c>
      <c r="AO363" s="58">
        <v>44124</v>
      </c>
      <c r="AP363" s="29" t="e">
        <f>VLOOKUP(A363,'[2]External Scan 02_21'!$B:$J,9,0)</f>
        <v>#N/A</v>
      </c>
      <c r="AQ363" s="29" t="s">
        <v>28</v>
      </c>
      <c r="AR363" s="75" t="s">
        <v>487</v>
      </c>
      <c r="AS363" s="21" t="str">
        <f>VLOOKUP(AE363,'ref statu'!A:B,2,0)</f>
        <v>Fixed</v>
      </c>
      <c r="AT363" s="8" t="e">
        <f>VLOOKUP(A363,chk!A:B,2,0)</f>
        <v>#N/A</v>
      </c>
      <c r="AU363" s="29" t="e">
        <f>VLOOKUP(A363,checker!A:B,2,0)</f>
        <v>#N/A</v>
      </c>
      <c r="AV363" s="29" t="e">
        <f>VLOOKUP(A363,checker!B:C,2,0)</f>
        <v>#N/A</v>
      </c>
    </row>
    <row r="364" spans="1:48" x14ac:dyDescent="0.3">
      <c r="A364" s="29" t="str">
        <f t="shared" si="5"/>
        <v>96.692.66.643/22/ssh-cve-2016-2183-sweet32</v>
      </c>
      <c r="B364" s="29" t="s">
        <v>2998</v>
      </c>
      <c r="C364" s="29" t="s">
        <v>306</v>
      </c>
      <c r="D364" s="8" t="s">
        <v>2986</v>
      </c>
      <c r="E364" s="8" t="s">
        <v>311</v>
      </c>
      <c r="F364" s="29" t="s">
        <v>308</v>
      </c>
      <c r="G364" s="21" t="s">
        <v>309</v>
      </c>
      <c r="H364" s="29" t="s">
        <v>256</v>
      </c>
      <c r="I364" s="8" t="s">
        <v>310</v>
      </c>
      <c r="J364" s="8">
        <v>22</v>
      </c>
      <c r="K364" s="29" t="s">
        <v>268</v>
      </c>
      <c r="L364" s="29" t="s">
        <v>269</v>
      </c>
      <c r="M364" s="9">
        <v>5</v>
      </c>
      <c r="N364" s="9" t="s">
        <v>29</v>
      </c>
      <c r="O364" s="29" t="s">
        <v>67</v>
      </c>
      <c r="P364" s="29" t="s">
        <v>68</v>
      </c>
      <c r="Q364" s="29" t="s">
        <v>69</v>
      </c>
      <c r="R364" s="29" t="s">
        <v>52</v>
      </c>
      <c r="S364" s="29" t="s">
        <v>53</v>
      </c>
      <c r="T364" s="29" t="s">
        <v>70</v>
      </c>
      <c r="U364" s="29" t="s">
        <v>71</v>
      </c>
      <c r="V364" s="29" t="s">
        <v>278</v>
      </c>
      <c r="W364" s="29">
        <v>42606</v>
      </c>
      <c r="X364" s="8" t="s">
        <v>30</v>
      </c>
      <c r="Y364" s="8">
        <v>1</v>
      </c>
      <c r="Z364" s="8" t="s">
        <v>279</v>
      </c>
      <c r="AA364" s="8" t="s">
        <v>280</v>
      </c>
      <c r="AB364" s="8" t="s">
        <v>260</v>
      </c>
      <c r="AC364" s="29"/>
      <c r="AD364" s="29"/>
      <c r="AE364" s="95" t="s">
        <v>28</v>
      </c>
      <c r="AF364" s="30">
        <v>44142</v>
      </c>
      <c r="AG364" s="30">
        <v>44142</v>
      </c>
      <c r="AH364" s="25">
        <v>44142</v>
      </c>
      <c r="AI364" s="72">
        <v>44124</v>
      </c>
      <c r="AJ364" s="23" t="s">
        <v>27</v>
      </c>
      <c r="AK364" s="8" t="e">
        <f>VLOOKUP(A364,'[1]Externe MAJ Nov'!$A:$H,8,0)</f>
        <v>#N/A</v>
      </c>
      <c r="AL364" s="29" t="e">
        <f>VLOOKUP(A364,'[1]Externe MAJ Nov'!$A:$G,7,0)</f>
        <v>#N/A</v>
      </c>
      <c r="AM364" s="29" t="s">
        <v>28</v>
      </c>
      <c r="AN364" s="29" t="s">
        <v>27</v>
      </c>
      <c r="AO364" s="58">
        <v>44124</v>
      </c>
      <c r="AP364" s="29" t="e">
        <f>VLOOKUP(A364,'[2]External Scan 02_21'!$B:$J,9,0)</f>
        <v>#N/A</v>
      </c>
      <c r="AQ364" s="29" t="s">
        <v>28</v>
      </c>
      <c r="AR364" s="75" t="s">
        <v>487</v>
      </c>
      <c r="AS364" s="21" t="str">
        <f>VLOOKUP(AE364,'ref statu'!A:B,2,0)</f>
        <v>Fixed</v>
      </c>
      <c r="AT364" s="8" t="e">
        <f>VLOOKUP(A364,chk!A:B,2,0)</f>
        <v>#N/A</v>
      </c>
      <c r="AU364" s="29" t="e">
        <f>VLOOKUP(A364,checker!A:B,2,0)</f>
        <v>#N/A</v>
      </c>
      <c r="AV364" s="29" t="e">
        <f>VLOOKUP(A364,checker!B:C,2,0)</f>
        <v>#N/A</v>
      </c>
    </row>
    <row r="365" spans="1:48" x14ac:dyDescent="0.3">
      <c r="A365" s="29" t="str">
        <f t="shared" si="5"/>
        <v>96.692.66.643/22/ssh-rc4-ciphers</v>
      </c>
      <c r="B365" s="29" t="s">
        <v>2998</v>
      </c>
      <c r="C365" s="29" t="s">
        <v>306</v>
      </c>
      <c r="D365" s="8" t="s">
        <v>2986</v>
      </c>
      <c r="E365" s="8" t="s">
        <v>311</v>
      </c>
      <c r="F365" s="29" t="s">
        <v>308</v>
      </c>
      <c r="G365" s="21" t="s">
        <v>309</v>
      </c>
      <c r="H365" s="29" t="s">
        <v>256</v>
      </c>
      <c r="I365" s="8" t="s">
        <v>310</v>
      </c>
      <c r="J365" s="8">
        <v>22</v>
      </c>
      <c r="K365" s="29" t="s">
        <v>268</v>
      </c>
      <c r="L365" s="29" t="s">
        <v>269</v>
      </c>
      <c r="M365" s="9">
        <v>4</v>
      </c>
      <c r="N365" s="9" t="s">
        <v>29</v>
      </c>
      <c r="O365" s="29" t="s">
        <v>84</v>
      </c>
      <c r="P365" s="29" t="s">
        <v>85</v>
      </c>
      <c r="Q365" s="29" t="s">
        <v>86</v>
      </c>
      <c r="R365" s="29" t="s">
        <v>87</v>
      </c>
      <c r="S365" s="29" t="s">
        <v>272</v>
      </c>
      <c r="T365" s="29" t="s">
        <v>88</v>
      </c>
      <c r="U365" s="29" t="s">
        <v>31</v>
      </c>
      <c r="V365" s="29" t="s">
        <v>31</v>
      </c>
      <c r="W365" s="29">
        <v>41345</v>
      </c>
      <c r="X365" s="8" t="s">
        <v>30</v>
      </c>
      <c r="Y365" s="8">
        <v>0</v>
      </c>
      <c r="Z365" s="8" t="s">
        <v>31</v>
      </c>
      <c r="AA365" s="8" t="s">
        <v>31</v>
      </c>
      <c r="AB365" s="8" t="s">
        <v>260</v>
      </c>
      <c r="AC365" s="29"/>
      <c r="AD365" s="29"/>
      <c r="AE365" s="95" t="s">
        <v>28</v>
      </c>
      <c r="AF365" s="30">
        <v>44142</v>
      </c>
      <c r="AG365" s="30">
        <v>44142</v>
      </c>
      <c r="AH365" s="25">
        <v>44142</v>
      </c>
      <c r="AI365" s="72">
        <v>44124</v>
      </c>
      <c r="AJ365" s="23" t="s">
        <v>27</v>
      </c>
      <c r="AK365" s="8" t="e">
        <f>VLOOKUP(A365,'[1]Externe MAJ Nov'!$A:$H,8,0)</f>
        <v>#N/A</v>
      </c>
      <c r="AL365" s="29" t="e">
        <f>VLOOKUP(A365,'[1]Externe MAJ Nov'!$A:$G,7,0)</f>
        <v>#N/A</v>
      </c>
      <c r="AM365" s="29" t="s">
        <v>28</v>
      </c>
      <c r="AN365" s="29" t="s">
        <v>27</v>
      </c>
      <c r="AO365" s="58">
        <v>44124</v>
      </c>
      <c r="AP365" s="29" t="e">
        <f>VLOOKUP(A365,'[2]External Scan 02_21'!$B:$J,9,0)</f>
        <v>#N/A</v>
      </c>
      <c r="AQ365" s="29" t="s">
        <v>28</v>
      </c>
      <c r="AR365" s="75" t="s">
        <v>487</v>
      </c>
      <c r="AS365" s="21" t="str">
        <f>VLOOKUP(AE365,'ref statu'!A:B,2,0)</f>
        <v>Fixed</v>
      </c>
      <c r="AT365" s="8" t="e">
        <f>VLOOKUP(A365,chk!A:B,2,0)</f>
        <v>#N/A</v>
      </c>
      <c r="AU365" s="29" t="e">
        <f>VLOOKUP(A365,checker!A:B,2,0)</f>
        <v>#N/A</v>
      </c>
      <c r="AV365" s="29" t="e">
        <f>VLOOKUP(A365,checker!B:C,2,0)</f>
        <v>#N/A</v>
      </c>
    </row>
    <row r="366" spans="1:48" x14ac:dyDescent="0.3">
      <c r="A366" s="29" t="str">
        <f t="shared" si="5"/>
        <v>96.692.66.643/22/ssh-weak-kex-algorithms</v>
      </c>
      <c r="B366" s="29" t="s">
        <v>2998</v>
      </c>
      <c r="C366" s="29" t="s">
        <v>306</v>
      </c>
      <c r="D366" s="8" t="s">
        <v>2986</v>
      </c>
      <c r="E366" s="8" t="s">
        <v>311</v>
      </c>
      <c r="F366" s="29" t="s">
        <v>308</v>
      </c>
      <c r="G366" s="21" t="s">
        <v>309</v>
      </c>
      <c r="H366" s="29" t="s">
        <v>256</v>
      </c>
      <c r="I366" s="8" t="s">
        <v>310</v>
      </c>
      <c r="J366" s="8">
        <v>22</v>
      </c>
      <c r="K366" s="29" t="s">
        <v>268</v>
      </c>
      <c r="L366" s="29" t="s">
        <v>269</v>
      </c>
      <c r="M366" s="9">
        <v>4</v>
      </c>
      <c r="N366" s="9" t="s">
        <v>29</v>
      </c>
      <c r="O366" s="29" t="s">
        <v>72</v>
      </c>
      <c r="P366" s="29" t="s">
        <v>73</v>
      </c>
      <c r="Q366" s="29" t="s">
        <v>74</v>
      </c>
      <c r="R366" s="29" t="s">
        <v>75</v>
      </c>
      <c r="S366" s="29" t="s">
        <v>244</v>
      </c>
      <c r="T366" s="29" t="s">
        <v>76</v>
      </c>
      <c r="U366" s="29" t="s">
        <v>31</v>
      </c>
      <c r="V366" s="29" t="s">
        <v>31</v>
      </c>
      <c r="W366" s="29">
        <v>42929</v>
      </c>
      <c r="X366" s="8" t="s">
        <v>30</v>
      </c>
      <c r="Y366" s="8">
        <v>0</v>
      </c>
      <c r="Z366" s="8" t="s">
        <v>31</v>
      </c>
      <c r="AA366" s="8" t="s">
        <v>31</v>
      </c>
      <c r="AB366" s="8" t="s">
        <v>260</v>
      </c>
      <c r="AC366" s="29"/>
      <c r="AD366" s="29"/>
      <c r="AE366" s="95" t="s">
        <v>28</v>
      </c>
      <c r="AF366" s="22"/>
      <c r="AG366" s="30">
        <v>44256</v>
      </c>
      <c r="AH366" s="67">
        <v>44142</v>
      </c>
      <c r="AI366" s="72">
        <v>44124</v>
      </c>
      <c r="AJ366" s="23" t="s">
        <v>270</v>
      </c>
      <c r="AK366" s="8" t="e">
        <f>VLOOKUP(A366,'[1]Externe MAJ Nov'!$A:$H,8,0)</f>
        <v>#N/A</v>
      </c>
      <c r="AL366" s="29" t="e">
        <f>VLOOKUP(A366,'[1]Externe MAJ Nov'!$A:$G,7,0)</f>
        <v>#N/A</v>
      </c>
      <c r="AM366" s="29" t="s">
        <v>95</v>
      </c>
      <c r="AN366" s="29" t="s">
        <v>27</v>
      </c>
      <c r="AO366" s="58">
        <v>44124</v>
      </c>
      <c r="AP366" s="29" t="e">
        <f>VLOOKUP(A366,'[2]External Scan 02_21'!$B:$J,9,0)</f>
        <v>#N/A</v>
      </c>
      <c r="AQ366" s="29" t="s">
        <v>524</v>
      </c>
      <c r="AR366" s="75" t="s">
        <v>487</v>
      </c>
      <c r="AS366" s="21" t="str">
        <f>VLOOKUP(AE366,'ref statu'!A:B,2,0)</f>
        <v>Fixed</v>
      </c>
      <c r="AT366" s="8" t="e">
        <f>VLOOKUP(A366,chk!A:B,2,0)</f>
        <v>#N/A</v>
      </c>
      <c r="AU366" s="29" t="e">
        <f>VLOOKUP(A366,checker!A:B,2,0)</f>
        <v>#N/A</v>
      </c>
      <c r="AV366" s="29" t="e">
        <f>VLOOKUP(A366,checker!B:C,2,0)</f>
        <v>#N/A</v>
      </c>
    </row>
    <row r="367" spans="1:48" x14ac:dyDescent="0.3">
      <c r="A367" s="29" t="str">
        <f t="shared" si="5"/>
        <v>96.692.66.643/22/ssh-weak-message-authentication-code-algorithms</v>
      </c>
      <c r="B367" s="21" t="s">
        <v>2998</v>
      </c>
      <c r="C367" s="21" t="s">
        <v>306</v>
      </c>
      <c r="D367" s="21" t="s">
        <v>2986</v>
      </c>
      <c r="E367" s="8" t="s">
        <v>311</v>
      </c>
      <c r="F367" s="29" t="s">
        <v>308</v>
      </c>
      <c r="G367" s="21" t="s">
        <v>309</v>
      </c>
      <c r="H367" s="29" t="s">
        <v>256</v>
      </c>
      <c r="I367" s="8" t="s">
        <v>310</v>
      </c>
      <c r="J367" s="8">
        <v>22</v>
      </c>
      <c r="K367" s="21" t="s">
        <v>268</v>
      </c>
      <c r="L367" s="21" t="s">
        <v>269</v>
      </c>
      <c r="M367" s="9">
        <v>4</v>
      </c>
      <c r="N367" s="19" t="s">
        <v>29</v>
      </c>
      <c r="O367" s="21" t="s">
        <v>89</v>
      </c>
      <c r="P367" s="29" t="s">
        <v>90</v>
      </c>
      <c r="Q367" s="29" t="s">
        <v>91</v>
      </c>
      <c r="R367" s="29" t="s">
        <v>92</v>
      </c>
      <c r="S367" s="29" t="s">
        <v>274</v>
      </c>
      <c r="T367" s="29" t="s">
        <v>93</v>
      </c>
      <c r="U367" s="29" t="s">
        <v>31</v>
      </c>
      <c r="V367" s="29" t="s">
        <v>31</v>
      </c>
      <c r="W367" s="29">
        <v>41645</v>
      </c>
      <c r="X367" s="8" t="s">
        <v>30</v>
      </c>
      <c r="Y367" s="8">
        <v>0</v>
      </c>
      <c r="Z367" s="8" t="s">
        <v>31</v>
      </c>
      <c r="AA367" s="8" t="s">
        <v>31</v>
      </c>
      <c r="AB367" s="8" t="s">
        <v>260</v>
      </c>
      <c r="AC367" s="21"/>
      <c r="AD367" s="29"/>
      <c r="AE367" s="95" t="s">
        <v>28</v>
      </c>
      <c r="AF367" s="30">
        <v>44142</v>
      </c>
      <c r="AG367" s="30">
        <v>44142</v>
      </c>
      <c r="AH367" s="25">
        <v>44142</v>
      </c>
      <c r="AI367" s="72">
        <v>44124</v>
      </c>
      <c r="AJ367" s="23" t="s">
        <v>27</v>
      </c>
      <c r="AK367" s="8" t="e">
        <f>VLOOKUP(A367,'[1]Externe MAJ Nov'!$A:$H,8,0)</f>
        <v>#N/A</v>
      </c>
      <c r="AL367" s="29" t="e">
        <f>VLOOKUP(A367,'[1]Externe MAJ Nov'!$A:$G,7,0)</f>
        <v>#N/A</v>
      </c>
      <c r="AM367" s="29" t="s">
        <v>28</v>
      </c>
      <c r="AN367" s="29" t="s">
        <v>27</v>
      </c>
      <c r="AO367" s="58">
        <v>44124</v>
      </c>
      <c r="AP367" s="29" t="e">
        <f>VLOOKUP(A367,'[2]External Scan 02_21'!$B:$J,9,0)</f>
        <v>#N/A</v>
      </c>
      <c r="AQ367" s="29" t="s">
        <v>28</v>
      </c>
      <c r="AR367" s="75" t="s">
        <v>487</v>
      </c>
      <c r="AS367" s="21" t="str">
        <f>VLOOKUP(AE367,'ref statu'!A:B,2,0)</f>
        <v>Fixed</v>
      </c>
      <c r="AT367" s="8" t="e">
        <f>VLOOKUP(A367,chk!A:B,2,0)</f>
        <v>#N/A</v>
      </c>
      <c r="AU367" s="29" t="e">
        <f>VLOOKUP(A367,checker!A:B,2,0)</f>
        <v>#N/A</v>
      </c>
      <c r="AV367" s="29" t="e">
        <f>VLOOKUP(A367,checker!B:C,2,0)</f>
        <v>#N/A</v>
      </c>
    </row>
    <row r="368" spans="1:48" x14ac:dyDescent="0.3">
      <c r="A368" s="29" t="str">
        <f t="shared" si="5"/>
        <v>96.692.66.647/0/generic-tcp-timestamp</v>
      </c>
      <c r="B368" s="29" t="s">
        <v>2999</v>
      </c>
      <c r="C368" s="29" t="s">
        <v>312</v>
      </c>
      <c r="D368" s="8" t="s">
        <v>2965</v>
      </c>
      <c r="E368" s="8" t="s">
        <v>307</v>
      </c>
      <c r="F368" s="29" t="s">
        <v>308</v>
      </c>
      <c r="G368" s="21" t="s">
        <v>313</v>
      </c>
      <c r="H368" s="29" t="s">
        <v>256</v>
      </c>
      <c r="I368" s="8" t="s">
        <v>257</v>
      </c>
      <c r="J368" s="8">
        <v>0</v>
      </c>
      <c r="K368" s="29" t="s">
        <v>258</v>
      </c>
      <c r="L368" s="29" t="s">
        <v>31</v>
      </c>
      <c r="M368" s="9">
        <v>1</v>
      </c>
      <c r="N368" s="9" t="s">
        <v>42</v>
      </c>
      <c r="O368" s="29" t="s">
        <v>78</v>
      </c>
      <c r="P368" s="29" t="s">
        <v>79</v>
      </c>
      <c r="Q368" s="29" t="s">
        <v>80</v>
      </c>
      <c r="R368" s="29" t="s">
        <v>81</v>
      </c>
      <c r="S368" s="29" t="s">
        <v>82</v>
      </c>
      <c r="T368" s="29" t="s">
        <v>83</v>
      </c>
      <c r="U368" s="29" t="s">
        <v>31</v>
      </c>
      <c r="V368" s="29" t="s">
        <v>31</v>
      </c>
      <c r="W368" s="29">
        <v>35643</v>
      </c>
      <c r="X368" s="8" t="s">
        <v>36</v>
      </c>
      <c r="Y368" s="8">
        <v>0</v>
      </c>
      <c r="Z368" s="8" t="s">
        <v>31</v>
      </c>
      <c r="AA368" s="8" t="s">
        <v>31</v>
      </c>
      <c r="AB368" s="8" t="s">
        <v>260</v>
      </c>
      <c r="AC368" s="29"/>
      <c r="AD368" s="29"/>
      <c r="AE368" s="95" t="s">
        <v>2561</v>
      </c>
      <c r="AF368" s="30">
        <v>44150</v>
      </c>
      <c r="AG368" s="30">
        <v>44150</v>
      </c>
      <c r="AH368" s="25">
        <v>44150</v>
      </c>
      <c r="AI368" s="72">
        <v>44124</v>
      </c>
      <c r="AJ368" s="23" t="s">
        <v>27</v>
      </c>
      <c r="AK368" s="8" t="e">
        <f>VLOOKUP(A368,'[1]Externe MAJ Nov'!$A:$H,8,0)</f>
        <v>#N/A</v>
      </c>
      <c r="AL368" s="29" t="e">
        <f>VLOOKUP(A368,'[1]Externe MAJ Nov'!$A:$G,7,0)</f>
        <v>#N/A</v>
      </c>
      <c r="AM368" s="29" t="s">
        <v>28</v>
      </c>
      <c r="AN368" s="29" t="s">
        <v>77</v>
      </c>
      <c r="AO368" s="58">
        <v>44124</v>
      </c>
      <c r="AP368" s="29" t="e">
        <f>VLOOKUP(A368,'[2]External Scan 02_21'!$B:$J,9,0)</f>
        <v>#N/A</v>
      </c>
      <c r="AQ368" s="29" t="s">
        <v>520</v>
      </c>
      <c r="AR368" s="21"/>
      <c r="AS368" s="21" t="str">
        <f>VLOOKUP(AE368,'ref statu'!A:B,2,0)</f>
        <v>(Dématérialisation Des Marchés) Safakat</v>
      </c>
      <c r="AT368" s="8" t="e">
        <f>VLOOKUP(A368,chk!A:B,2,0)</f>
        <v>#N/A</v>
      </c>
      <c r="AU368" s="29" t="e">
        <f>VLOOKUP(A368,checker!A:B,2,0)</f>
        <v>#N/A</v>
      </c>
      <c r="AV368" s="29" t="e">
        <f>VLOOKUP(A368,checker!B:C,2,0)</f>
        <v>#N/A</v>
      </c>
    </row>
    <row r="369" spans="1:48" x14ac:dyDescent="0.3">
      <c r="A369" s="29" t="str">
        <f t="shared" si="5"/>
        <v>96.692.66.647/443/certificate-common-name-mismatch</v>
      </c>
      <c r="B369" s="29" t="s">
        <v>2999</v>
      </c>
      <c r="C369" s="29" t="s">
        <v>312</v>
      </c>
      <c r="D369" s="8" t="s">
        <v>2965</v>
      </c>
      <c r="E369" s="8" t="s">
        <v>299</v>
      </c>
      <c r="F369" s="29" t="s">
        <v>319</v>
      </c>
      <c r="G369" s="21" t="s">
        <v>313</v>
      </c>
      <c r="H369" s="29" t="s">
        <v>256</v>
      </c>
      <c r="I369" s="8" t="s">
        <v>257</v>
      </c>
      <c r="J369" s="8">
        <v>443</v>
      </c>
      <c r="K369" s="29" t="s">
        <v>290</v>
      </c>
      <c r="L369" s="29" t="s">
        <v>314</v>
      </c>
      <c r="M369" s="9">
        <v>7</v>
      </c>
      <c r="N369" s="10" t="s">
        <v>2540</v>
      </c>
      <c r="O369" s="29" t="s">
        <v>148</v>
      </c>
      <c r="P369" s="29" t="s">
        <v>149</v>
      </c>
      <c r="Q369" s="29" t="s">
        <v>150</v>
      </c>
      <c r="R369" s="29" t="s">
        <v>151</v>
      </c>
      <c r="S369" s="29" t="s">
        <v>243</v>
      </c>
      <c r="T369" s="29" t="s">
        <v>31</v>
      </c>
      <c r="U369" s="29" t="s">
        <v>31</v>
      </c>
      <c r="V369" s="29" t="s">
        <v>31</v>
      </c>
      <c r="W369" s="29">
        <v>39297</v>
      </c>
      <c r="X369" s="8" t="s">
        <v>36</v>
      </c>
      <c r="Y369" s="8">
        <v>0</v>
      </c>
      <c r="Z369" s="8" t="s">
        <v>31</v>
      </c>
      <c r="AA369" s="8" t="s">
        <v>31</v>
      </c>
      <c r="AB369" s="8" t="s">
        <v>260</v>
      </c>
      <c r="AC369" s="29"/>
      <c r="AD369" s="29"/>
      <c r="AE369" s="95" t="s">
        <v>299</v>
      </c>
      <c r="AF369" s="30">
        <v>44142</v>
      </c>
      <c r="AG369" s="30">
        <v>44142</v>
      </c>
      <c r="AH369" s="25">
        <v>44142</v>
      </c>
      <c r="AI369" s="72">
        <v>44124</v>
      </c>
      <c r="AJ369" s="23" t="s">
        <v>27</v>
      </c>
      <c r="AK369" s="8" t="e">
        <f>VLOOKUP(A369,'[1]Externe MAJ Nov'!$A:$H,8,0)</f>
        <v>#N/A</v>
      </c>
      <c r="AL369" s="29" t="e">
        <f>VLOOKUP(A369,'[1]Externe MAJ Nov'!$A:$G,7,0)</f>
        <v>#N/A</v>
      </c>
      <c r="AM369" s="29" t="s">
        <v>299</v>
      </c>
      <c r="AN369" s="29" t="s">
        <v>77</v>
      </c>
      <c r="AO369" s="58">
        <v>44124</v>
      </c>
      <c r="AP369" s="29" t="e">
        <f>VLOOKUP(A369,'[2]External Scan 02_21'!$B:$J,9,0)</f>
        <v>#N/A</v>
      </c>
      <c r="AQ369" s="29" t="s">
        <v>299</v>
      </c>
      <c r="AR369" s="21"/>
      <c r="AS369" s="21" t="str">
        <f>VLOOKUP(AE369,'ref statu'!A:B,2,0)</f>
        <v>Faux Positive</v>
      </c>
      <c r="AT369" s="8" t="e">
        <f>VLOOKUP(A369,chk!A:B,2,0)</f>
        <v>#N/A</v>
      </c>
      <c r="AU369" s="29" t="e">
        <f>VLOOKUP(A369,checker!A:B,2,0)</f>
        <v>#N/A</v>
      </c>
      <c r="AV369" s="29" t="e">
        <f>VLOOKUP(A369,checker!B:C,2,0)</f>
        <v>#N/A</v>
      </c>
    </row>
    <row r="370" spans="1:48" x14ac:dyDescent="0.3">
      <c r="A370" s="29" t="str">
        <f t="shared" si="5"/>
        <v>96.692.66.647/443/http-cookie-http-only-flag</v>
      </c>
      <c r="B370" s="29" t="s">
        <v>2999</v>
      </c>
      <c r="C370" s="29" t="s">
        <v>312</v>
      </c>
      <c r="D370" s="8" t="s">
        <v>2965</v>
      </c>
      <c r="E370" s="8" t="s">
        <v>311</v>
      </c>
      <c r="F370" s="29" t="s">
        <v>308</v>
      </c>
      <c r="G370" s="21" t="s">
        <v>313</v>
      </c>
      <c r="H370" s="29" t="s">
        <v>256</v>
      </c>
      <c r="I370" s="8" t="s">
        <v>257</v>
      </c>
      <c r="J370" s="8">
        <v>443</v>
      </c>
      <c r="K370" s="29" t="s">
        <v>290</v>
      </c>
      <c r="L370" s="29" t="s">
        <v>314</v>
      </c>
      <c r="M370" s="9">
        <v>5</v>
      </c>
      <c r="N370" s="9" t="s">
        <v>29</v>
      </c>
      <c r="O370" s="29" t="s">
        <v>203</v>
      </c>
      <c r="P370" s="29" t="s">
        <v>204</v>
      </c>
      <c r="Q370" s="29" t="s">
        <v>205</v>
      </c>
      <c r="R370" s="29" t="s">
        <v>206</v>
      </c>
      <c r="S370" s="29" t="s">
        <v>315</v>
      </c>
      <c r="T370" s="29" t="s">
        <v>207</v>
      </c>
      <c r="U370" s="29" t="s">
        <v>31</v>
      </c>
      <c r="V370" s="29" t="s">
        <v>31</v>
      </c>
      <c r="W370" s="29">
        <v>40694</v>
      </c>
      <c r="X370" s="8" t="s">
        <v>36</v>
      </c>
      <c r="Y370" s="8">
        <v>0</v>
      </c>
      <c r="Z370" s="8" t="s">
        <v>31</v>
      </c>
      <c r="AA370" s="8" t="s">
        <v>31</v>
      </c>
      <c r="AB370" s="8" t="s">
        <v>260</v>
      </c>
      <c r="AC370" s="29"/>
      <c r="AD370" s="29"/>
      <c r="AE370" s="95" t="s">
        <v>28</v>
      </c>
      <c r="AF370" s="30">
        <v>44142</v>
      </c>
      <c r="AG370" s="30">
        <v>44142</v>
      </c>
      <c r="AH370" s="25">
        <v>44142</v>
      </c>
      <c r="AI370" s="72">
        <v>44124</v>
      </c>
      <c r="AJ370" s="23" t="s">
        <v>27</v>
      </c>
      <c r="AK370" s="8" t="e">
        <f>VLOOKUP(A370,'[1]Externe MAJ Nov'!$A:$H,8,0)</f>
        <v>#N/A</v>
      </c>
      <c r="AL370" s="29" t="e">
        <f>VLOOKUP(A370,'[1]Externe MAJ Nov'!$A:$G,7,0)</f>
        <v>#N/A</v>
      </c>
      <c r="AM370" s="29" t="s">
        <v>95</v>
      </c>
      <c r="AN370" s="29" t="s">
        <v>77</v>
      </c>
      <c r="AO370" s="58">
        <v>44124</v>
      </c>
      <c r="AP370" s="29" t="e">
        <f>VLOOKUP(A370,'[2]External Scan 02_21'!$B:$J,9,0)</f>
        <v>#N/A</v>
      </c>
      <c r="AQ370" s="29" t="s">
        <v>28</v>
      </c>
      <c r="AR370" s="21"/>
      <c r="AS370" s="21" t="str">
        <f>VLOOKUP(AE370,'ref statu'!A:B,2,0)</f>
        <v>Fixed</v>
      </c>
      <c r="AT370" s="8" t="e">
        <f>VLOOKUP(A370,chk!A:B,2,0)</f>
        <v>#N/A</v>
      </c>
      <c r="AU370" s="29" t="e">
        <f>VLOOKUP(A370,checker!A:B,2,0)</f>
        <v>#N/A</v>
      </c>
      <c r="AV370" s="29" t="e">
        <f>VLOOKUP(A370,checker!B:C,2,0)</f>
        <v>#N/A</v>
      </c>
    </row>
    <row r="371" spans="1:48" x14ac:dyDescent="0.3">
      <c r="A371" s="29" t="str">
        <f t="shared" si="5"/>
        <v>96.692.66.647/443/http-cookie-secure-flag</v>
      </c>
      <c r="B371" s="29" t="s">
        <v>2999</v>
      </c>
      <c r="C371" s="29" t="s">
        <v>312</v>
      </c>
      <c r="D371" s="8" t="s">
        <v>2965</v>
      </c>
      <c r="E371" s="8" t="s">
        <v>311</v>
      </c>
      <c r="F371" s="29" t="s">
        <v>308</v>
      </c>
      <c r="G371" s="21" t="s">
        <v>313</v>
      </c>
      <c r="H371" s="29" t="s">
        <v>256</v>
      </c>
      <c r="I371" s="8" t="s">
        <v>257</v>
      </c>
      <c r="J371" s="8">
        <v>443</v>
      </c>
      <c r="K371" s="29" t="s">
        <v>290</v>
      </c>
      <c r="L371" s="29" t="s">
        <v>314</v>
      </c>
      <c r="M371" s="9">
        <v>5</v>
      </c>
      <c r="N371" s="9" t="s">
        <v>29</v>
      </c>
      <c r="O371" s="29" t="s">
        <v>226</v>
      </c>
      <c r="P371" s="29" t="s">
        <v>227</v>
      </c>
      <c r="Q371" s="29" t="s">
        <v>228</v>
      </c>
      <c r="R371" s="29" t="s">
        <v>229</v>
      </c>
      <c r="S371" s="29" t="s">
        <v>316</v>
      </c>
      <c r="T371" s="29" t="s">
        <v>230</v>
      </c>
      <c r="U371" s="29" t="s">
        <v>31</v>
      </c>
      <c r="V371" s="29" t="s">
        <v>31</v>
      </c>
      <c r="W371" s="29">
        <v>40694</v>
      </c>
      <c r="X371" s="8" t="s">
        <v>36</v>
      </c>
      <c r="Y371" s="8">
        <v>0</v>
      </c>
      <c r="Z371" s="8" t="s">
        <v>31</v>
      </c>
      <c r="AA371" s="8" t="s">
        <v>31</v>
      </c>
      <c r="AB371" s="8" t="s">
        <v>260</v>
      </c>
      <c r="AC371" s="29"/>
      <c r="AD371" s="29"/>
      <c r="AE371" s="95" t="s">
        <v>28</v>
      </c>
      <c r="AF371" s="30">
        <v>44142</v>
      </c>
      <c r="AG371" s="30">
        <v>44142</v>
      </c>
      <c r="AH371" s="25">
        <v>44142</v>
      </c>
      <c r="AI371" s="72">
        <v>44124</v>
      </c>
      <c r="AJ371" s="23" t="s">
        <v>27</v>
      </c>
      <c r="AK371" s="8" t="e">
        <f>VLOOKUP(A371,'[1]Externe MAJ Nov'!$A:$H,8,0)</f>
        <v>#N/A</v>
      </c>
      <c r="AL371" s="29" t="e">
        <f>VLOOKUP(A371,'[1]Externe MAJ Nov'!$A:$G,7,0)</f>
        <v>#N/A</v>
      </c>
      <c r="AM371" s="29" t="s">
        <v>95</v>
      </c>
      <c r="AN371" s="29" t="s">
        <v>77</v>
      </c>
      <c r="AO371" s="58">
        <v>44124</v>
      </c>
      <c r="AP371" s="29" t="e">
        <f>VLOOKUP(A371,'[2]External Scan 02_21'!$B:$J,9,0)</f>
        <v>#N/A</v>
      </c>
      <c r="AQ371" s="29" t="s">
        <v>28</v>
      </c>
      <c r="AR371" s="21"/>
      <c r="AS371" s="21" t="str">
        <f>VLOOKUP(AE371,'ref statu'!A:B,2,0)</f>
        <v>Fixed</v>
      </c>
      <c r="AT371" s="8" t="e">
        <f>VLOOKUP(A371,chk!A:B,2,0)</f>
        <v>#N/A</v>
      </c>
      <c r="AU371" s="29" t="e">
        <f>VLOOKUP(A371,checker!A:B,2,0)</f>
        <v>#N/A</v>
      </c>
      <c r="AV371" s="29" t="e">
        <f>VLOOKUP(A371,checker!B:C,2,0)</f>
        <v>#N/A</v>
      </c>
    </row>
    <row r="372" spans="1:48" x14ac:dyDescent="0.3">
      <c r="A372" s="29" t="str">
        <f t="shared" si="5"/>
        <v>96.692.66.647/443/http-trace-method-enabled</v>
      </c>
      <c r="B372" s="29" t="s">
        <v>2999</v>
      </c>
      <c r="C372" s="29" t="s">
        <v>312</v>
      </c>
      <c r="D372" s="8" t="s">
        <v>2965</v>
      </c>
      <c r="E372" s="8" t="s">
        <v>311</v>
      </c>
      <c r="F372" s="29" t="s">
        <v>308</v>
      </c>
      <c r="G372" s="21" t="s">
        <v>313</v>
      </c>
      <c r="H372" s="29" t="s">
        <v>256</v>
      </c>
      <c r="I372" s="8" t="s">
        <v>257</v>
      </c>
      <c r="J372" s="8">
        <v>443</v>
      </c>
      <c r="K372" s="29" t="s">
        <v>290</v>
      </c>
      <c r="L372" s="29" t="s">
        <v>314</v>
      </c>
      <c r="M372" s="9">
        <v>6</v>
      </c>
      <c r="N372" s="9" t="s">
        <v>29</v>
      </c>
      <c r="O372" s="29" t="s">
        <v>187</v>
      </c>
      <c r="P372" s="29" t="s">
        <v>188</v>
      </c>
      <c r="Q372" s="29" t="s">
        <v>189</v>
      </c>
      <c r="R372" s="29" t="s">
        <v>282</v>
      </c>
      <c r="S372" s="29" t="s">
        <v>317</v>
      </c>
      <c r="T372" s="29" t="s">
        <v>190</v>
      </c>
      <c r="U372" s="29" t="s">
        <v>191</v>
      </c>
      <c r="V372" s="29" t="s">
        <v>284</v>
      </c>
      <c r="W372" s="29">
        <v>38292</v>
      </c>
      <c r="X372" s="8" t="s">
        <v>36</v>
      </c>
      <c r="Y372" s="8">
        <v>2</v>
      </c>
      <c r="Z372" s="8" t="s">
        <v>241</v>
      </c>
      <c r="AA372" s="8" t="s">
        <v>242</v>
      </c>
      <c r="AB372" s="8" t="s">
        <v>318</v>
      </c>
      <c r="AC372" s="29"/>
      <c r="AD372" s="29"/>
      <c r="AE372" s="95" t="s">
        <v>28</v>
      </c>
      <c r="AF372" s="30">
        <v>44142</v>
      </c>
      <c r="AG372" s="30">
        <v>44142</v>
      </c>
      <c r="AH372" s="25">
        <v>44142</v>
      </c>
      <c r="AI372" s="72">
        <v>44124</v>
      </c>
      <c r="AJ372" s="23" t="s">
        <v>27</v>
      </c>
      <c r="AK372" s="8" t="e">
        <f>VLOOKUP(A372,'[1]Externe MAJ Nov'!$A:$H,8,0)</f>
        <v>#N/A</v>
      </c>
      <c r="AL372" s="29" t="e">
        <f>VLOOKUP(A372,'[1]Externe MAJ Nov'!$A:$G,7,0)</f>
        <v>#N/A</v>
      </c>
      <c r="AM372" s="29" t="s">
        <v>28</v>
      </c>
      <c r="AN372" s="29" t="s">
        <v>77</v>
      </c>
      <c r="AO372" s="58">
        <v>44124</v>
      </c>
      <c r="AP372" s="29" t="e">
        <f>VLOOKUP(A372,'[2]External Scan 02_21'!$B:$J,9,0)</f>
        <v>#N/A</v>
      </c>
      <c r="AQ372" s="29" t="s">
        <v>28</v>
      </c>
      <c r="AR372" s="21"/>
      <c r="AS372" s="21" t="str">
        <f>VLOOKUP(AE372,'ref statu'!A:B,2,0)</f>
        <v>Fixed</v>
      </c>
      <c r="AT372" s="8" t="e">
        <f>VLOOKUP(A372,chk!A:B,2,0)</f>
        <v>#N/A</v>
      </c>
      <c r="AU372" s="29" t="e">
        <f>VLOOKUP(A372,checker!A:B,2,0)</f>
        <v>#N/A</v>
      </c>
      <c r="AV372" s="29" t="e">
        <f>VLOOKUP(A372,checker!B:C,2,0)</f>
        <v>#N/A</v>
      </c>
    </row>
    <row r="373" spans="1:48" x14ac:dyDescent="0.3">
      <c r="A373" s="29" t="str">
        <f t="shared" si="5"/>
        <v>96.692.66.647/443/jquery-cve-2011-4969</v>
      </c>
      <c r="B373" s="29" t="s">
        <v>2999</v>
      </c>
      <c r="C373" s="29" t="s">
        <v>312</v>
      </c>
      <c r="D373" s="41"/>
      <c r="E373" s="39" t="s">
        <v>494</v>
      </c>
      <c r="H373" s="43" t="s">
        <v>256</v>
      </c>
      <c r="I373" s="39" t="s">
        <v>257</v>
      </c>
      <c r="J373" s="39" t="s">
        <v>2494</v>
      </c>
      <c r="K373" s="41" t="s">
        <v>290</v>
      </c>
      <c r="L373" s="41" t="s">
        <v>314</v>
      </c>
      <c r="M373" s="9">
        <v>4</v>
      </c>
      <c r="N373" s="19" t="s">
        <v>29</v>
      </c>
      <c r="O373" s="41" t="s">
        <v>231</v>
      </c>
      <c r="P373" s="43" t="s">
        <v>231</v>
      </c>
      <c r="Q373" s="43" t="s">
        <v>232</v>
      </c>
      <c r="R373" s="43" t="s">
        <v>233</v>
      </c>
      <c r="S373" s="43" t="s">
        <v>234</v>
      </c>
      <c r="T373" s="43" t="s">
        <v>2506</v>
      </c>
      <c r="U373" s="43" t="s">
        <v>31</v>
      </c>
      <c r="V373" s="43" t="s">
        <v>235</v>
      </c>
      <c r="W373" s="43" t="s">
        <v>2519</v>
      </c>
      <c r="AB373" s="39" t="s">
        <v>513</v>
      </c>
      <c r="AE373" s="95" t="s">
        <v>2561</v>
      </c>
      <c r="AF373" s="22"/>
      <c r="AI373" s="72">
        <v>44247</v>
      </c>
      <c r="AK373" s="39" t="s">
        <v>27</v>
      </c>
      <c r="AL373" s="43"/>
      <c r="AM373" s="43"/>
      <c r="AN373" s="43"/>
      <c r="AP373" s="29" t="e">
        <f>VLOOKUP(A373,'[2]External Scan 02_21'!$B:$J,9,0)</f>
        <v>#N/A</v>
      </c>
      <c r="AQ373" s="29" t="e">
        <v>#N/A</v>
      </c>
      <c r="AR373" s="21"/>
      <c r="AS373" s="21" t="str">
        <f>VLOOKUP(AE373,'ref statu'!A:B,2,0)</f>
        <v>(Dématérialisation Des Marchés) Safakat</v>
      </c>
      <c r="AT373" s="8" t="e">
        <f>VLOOKUP(A373,chk!A:B,2,0)</f>
        <v>#N/A</v>
      </c>
      <c r="AU373" s="29" t="e">
        <f>VLOOKUP(A373,checker!A:B,2,0)</f>
        <v>#N/A</v>
      </c>
      <c r="AV373" s="29" t="e">
        <f>VLOOKUP(A373,checker!B:C,2,0)</f>
        <v>#N/A</v>
      </c>
    </row>
    <row r="374" spans="1:48" x14ac:dyDescent="0.3">
      <c r="A374" s="29" t="str">
        <f t="shared" si="5"/>
        <v>96.692.66.647/443/jquery-cve-2012-6708</v>
      </c>
      <c r="B374" s="29" t="s">
        <v>2999</v>
      </c>
      <c r="C374" s="29" t="s">
        <v>312</v>
      </c>
      <c r="D374" s="41"/>
      <c r="E374" s="39" t="s">
        <v>494</v>
      </c>
      <c r="H374" s="43" t="s">
        <v>256</v>
      </c>
      <c r="I374" s="39" t="s">
        <v>257</v>
      </c>
      <c r="J374" s="39" t="s">
        <v>2494</v>
      </c>
      <c r="K374" s="41" t="s">
        <v>290</v>
      </c>
      <c r="L374" s="41" t="s">
        <v>314</v>
      </c>
      <c r="M374" s="9">
        <v>4</v>
      </c>
      <c r="N374" s="19" t="s">
        <v>29</v>
      </c>
      <c r="O374" s="41" t="s">
        <v>192</v>
      </c>
      <c r="P374" s="43" t="s">
        <v>192</v>
      </c>
      <c r="Q374" s="43" t="s">
        <v>193</v>
      </c>
      <c r="R374" s="43" t="s">
        <v>194</v>
      </c>
      <c r="S374" s="43" t="s">
        <v>195</v>
      </c>
      <c r="T374" s="43" t="s">
        <v>2506</v>
      </c>
      <c r="U374" s="43" t="s">
        <v>196</v>
      </c>
      <c r="V374" s="43" t="s">
        <v>197</v>
      </c>
      <c r="W374" s="43" t="s">
        <v>2518</v>
      </c>
      <c r="AB374" s="39" t="s">
        <v>513</v>
      </c>
      <c r="AE374" s="95" t="s">
        <v>2561</v>
      </c>
      <c r="AF374" s="22"/>
      <c r="AI374" s="72">
        <v>44247</v>
      </c>
      <c r="AK374" s="39" t="s">
        <v>27</v>
      </c>
      <c r="AL374" s="43"/>
      <c r="AM374" s="43"/>
      <c r="AN374" s="43"/>
      <c r="AP374" s="29" t="e">
        <f>VLOOKUP(A374,'[2]External Scan 02_21'!$B:$J,9,0)</f>
        <v>#N/A</v>
      </c>
      <c r="AQ374" s="29" t="e">
        <v>#N/A</v>
      </c>
      <c r="AR374" s="21"/>
      <c r="AS374" s="21" t="str">
        <f>VLOOKUP(AE374,'ref statu'!A:B,2,0)</f>
        <v>(Dématérialisation Des Marchés) Safakat</v>
      </c>
      <c r="AT374" s="8" t="e">
        <f>VLOOKUP(A374,chk!A:B,2,0)</f>
        <v>#N/A</v>
      </c>
      <c r="AU374" s="29" t="e">
        <f>VLOOKUP(A374,checker!A:B,2,0)</f>
        <v>#N/A</v>
      </c>
      <c r="AV374" s="29" t="e">
        <f>VLOOKUP(A374,checker!B:C,2,0)</f>
        <v>#N/A</v>
      </c>
    </row>
    <row r="375" spans="1:48" x14ac:dyDescent="0.3">
      <c r="A375" s="29" t="str">
        <f t="shared" si="5"/>
        <v>96.692.66.647/443/jquery-cve-2014-6071</v>
      </c>
      <c r="B375" s="29" t="s">
        <v>2999</v>
      </c>
      <c r="C375" s="29" t="s">
        <v>312</v>
      </c>
      <c r="D375" s="41"/>
      <c r="E375" s="39" t="s">
        <v>494</v>
      </c>
      <c r="H375" s="43" t="s">
        <v>256</v>
      </c>
      <c r="I375" s="39" t="s">
        <v>257</v>
      </c>
      <c r="J375" s="39" t="s">
        <v>2494</v>
      </c>
      <c r="K375" s="41" t="s">
        <v>290</v>
      </c>
      <c r="L375" s="41" t="s">
        <v>314</v>
      </c>
      <c r="M375" s="9">
        <v>4</v>
      </c>
      <c r="N375" s="19" t="s">
        <v>29</v>
      </c>
      <c r="O375" s="41" t="s">
        <v>198</v>
      </c>
      <c r="P375" s="43" t="s">
        <v>198</v>
      </c>
      <c r="Q375" s="43" t="s">
        <v>199</v>
      </c>
      <c r="R375" s="43" t="s">
        <v>200</v>
      </c>
      <c r="S375" s="43" t="s">
        <v>201</v>
      </c>
      <c r="T375" s="43" t="s">
        <v>2506</v>
      </c>
      <c r="U375" s="43" t="s">
        <v>31</v>
      </c>
      <c r="V375" s="43" t="s">
        <v>202</v>
      </c>
      <c r="W375" s="43" t="s">
        <v>2513</v>
      </c>
      <c r="AB375" s="39" t="s">
        <v>513</v>
      </c>
      <c r="AE375" s="95" t="s">
        <v>2561</v>
      </c>
      <c r="AF375" s="22"/>
      <c r="AI375" s="72">
        <v>44247</v>
      </c>
      <c r="AK375" s="39" t="s">
        <v>27</v>
      </c>
      <c r="AL375" s="43"/>
      <c r="AM375" s="43"/>
      <c r="AN375" s="43"/>
      <c r="AP375" s="29" t="e">
        <f>VLOOKUP(A375,'[2]External Scan 02_21'!$B:$J,9,0)</f>
        <v>#N/A</v>
      </c>
      <c r="AQ375" s="29" t="e">
        <v>#N/A</v>
      </c>
      <c r="AR375" s="21"/>
      <c r="AS375" s="21" t="str">
        <f>VLOOKUP(AE375,'ref statu'!A:B,2,0)</f>
        <v>(Dématérialisation Des Marchés) Safakat</v>
      </c>
      <c r="AT375" s="8" t="e">
        <f>VLOOKUP(A375,chk!A:B,2,0)</f>
        <v>#N/A</v>
      </c>
      <c r="AU375" s="29" t="e">
        <f>VLOOKUP(A375,checker!A:B,2,0)</f>
        <v>#N/A</v>
      </c>
      <c r="AV375" s="29" t="e">
        <f>VLOOKUP(A375,checker!B:C,2,0)</f>
        <v>#N/A</v>
      </c>
    </row>
    <row r="376" spans="1:48" x14ac:dyDescent="0.3">
      <c r="A376" s="29" t="str">
        <f t="shared" si="5"/>
        <v>96.692.66.647/443/jquery-cve-2020-7656</v>
      </c>
      <c r="B376" s="29" t="s">
        <v>2999</v>
      </c>
      <c r="C376" s="29" t="s">
        <v>312</v>
      </c>
      <c r="D376" s="41"/>
      <c r="E376" s="39" t="s">
        <v>494</v>
      </c>
      <c r="H376" s="43" t="s">
        <v>256</v>
      </c>
      <c r="I376" s="39" t="s">
        <v>257</v>
      </c>
      <c r="J376" s="39" t="s">
        <v>2494</v>
      </c>
      <c r="K376" s="41" t="s">
        <v>290</v>
      </c>
      <c r="L376" s="41" t="s">
        <v>314</v>
      </c>
      <c r="M376" s="9">
        <v>4</v>
      </c>
      <c r="N376" s="19" t="s">
        <v>29</v>
      </c>
      <c r="O376" s="41" t="s">
        <v>471</v>
      </c>
      <c r="P376" s="43" t="s">
        <v>471</v>
      </c>
      <c r="Q376" s="43" t="s">
        <v>472</v>
      </c>
      <c r="R376" s="43" t="s">
        <v>473</v>
      </c>
      <c r="S376" s="43" t="s">
        <v>195</v>
      </c>
      <c r="T376" s="43" t="s">
        <v>2506</v>
      </c>
      <c r="U376" s="43" t="s">
        <v>31</v>
      </c>
      <c r="V376" s="43" t="s">
        <v>474</v>
      </c>
      <c r="W376" s="43" t="s">
        <v>2517</v>
      </c>
      <c r="AB376" s="39" t="s">
        <v>513</v>
      </c>
      <c r="AE376" s="95" t="s">
        <v>2561</v>
      </c>
      <c r="AF376" s="22"/>
      <c r="AI376" s="72">
        <v>44247</v>
      </c>
      <c r="AK376" s="39" t="s">
        <v>27</v>
      </c>
      <c r="AL376" s="43"/>
      <c r="AM376" s="43"/>
      <c r="AN376" s="43"/>
      <c r="AP376" s="29" t="e">
        <f>VLOOKUP(A376,'[2]External Scan 02_21'!$B:$J,9,0)</f>
        <v>#N/A</v>
      </c>
      <c r="AQ376" s="29" t="e">
        <v>#N/A</v>
      </c>
      <c r="AR376" s="21"/>
      <c r="AS376" s="21" t="str">
        <f>VLOOKUP(AE376,'ref statu'!A:B,2,0)</f>
        <v>(Dématérialisation Des Marchés) Safakat</v>
      </c>
      <c r="AT376" s="8" t="e">
        <f>VLOOKUP(A376,chk!A:B,2,0)</f>
        <v>#N/A</v>
      </c>
      <c r="AU376" s="29" t="e">
        <f>VLOOKUP(A376,checker!A:B,2,0)</f>
        <v>#N/A</v>
      </c>
      <c r="AV376" s="29" t="e">
        <f>VLOOKUP(A376,checker!B:C,2,0)</f>
        <v>#N/A</v>
      </c>
    </row>
    <row r="377" spans="1:48" x14ac:dyDescent="0.3">
      <c r="A377" s="29" t="str">
        <f t="shared" si="5"/>
        <v>96.692.66.647/443/ssl-3des-ciphers</v>
      </c>
      <c r="B377" s="24" t="s">
        <v>2999</v>
      </c>
      <c r="C377" s="24" t="s">
        <v>312</v>
      </c>
      <c r="D377" s="26" t="s">
        <v>2965</v>
      </c>
      <c r="E377" s="26" t="s">
        <v>307</v>
      </c>
      <c r="F377" s="24" t="s">
        <v>308</v>
      </c>
      <c r="G377" s="27" t="s">
        <v>313</v>
      </c>
      <c r="H377" s="24" t="s">
        <v>256</v>
      </c>
      <c r="I377" s="26" t="s">
        <v>257</v>
      </c>
      <c r="J377" s="26">
        <v>443</v>
      </c>
      <c r="K377" s="24" t="s">
        <v>290</v>
      </c>
      <c r="L377" s="24" t="s">
        <v>314</v>
      </c>
      <c r="M377" s="9">
        <v>1</v>
      </c>
      <c r="N377" s="9" t="s">
        <v>42</v>
      </c>
      <c r="O377" s="24" t="s">
        <v>100</v>
      </c>
      <c r="P377" s="24" t="s">
        <v>101</v>
      </c>
      <c r="Q377" s="24" t="s">
        <v>102</v>
      </c>
      <c r="R377" s="24" t="s">
        <v>103</v>
      </c>
      <c r="S377" s="24" t="s">
        <v>490</v>
      </c>
      <c r="T377" s="24" t="s">
        <v>104</v>
      </c>
      <c r="U377" s="24" t="s">
        <v>31</v>
      </c>
      <c r="V377" s="24" t="s">
        <v>31</v>
      </c>
      <c r="W377" s="24">
        <v>39845</v>
      </c>
      <c r="X377" s="26" t="s">
        <v>36</v>
      </c>
      <c r="Y377" s="26">
        <v>0</v>
      </c>
      <c r="Z377" s="26" t="s">
        <v>31</v>
      </c>
      <c r="AA377" s="26" t="s">
        <v>31</v>
      </c>
      <c r="AB377" s="26" t="s">
        <v>260</v>
      </c>
      <c r="AC377" s="24"/>
      <c r="AD377" s="24"/>
      <c r="AE377" s="95" t="s">
        <v>28</v>
      </c>
      <c r="AF377" s="30">
        <v>44150</v>
      </c>
      <c r="AG377" s="68">
        <v>44150</v>
      </c>
      <c r="AH377" s="28">
        <v>44150</v>
      </c>
      <c r="AI377" s="72">
        <v>44124</v>
      </c>
      <c r="AJ377" s="23" t="s">
        <v>27</v>
      </c>
      <c r="AK377" s="26" t="e">
        <f>VLOOKUP(A377,'[1]Externe MAJ Nov'!$A:$H,8,0)</f>
        <v>#N/A</v>
      </c>
      <c r="AL377" s="29" t="e">
        <f>VLOOKUP(A377,'[1]Externe MAJ Nov'!$A:$G,7,0)</f>
        <v>#N/A</v>
      </c>
      <c r="AM377" s="24" t="s">
        <v>493</v>
      </c>
      <c r="AN377" s="24" t="s">
        <v>77</v>
      </c>
      <c r="AO377" s="58">
        <v>44124</v>
      </c>
      <c r="AP377" s="29" t="e">
        <f>VLOOKUP(A377,'[2]External Scan 02_21'!$B:$J,9,0)</f>
        <v>#N/A</v>
      </c>
      <c r="AQ377" s="29" t="s">
        <v>28</v>
      </c>
      <c r="AR377" s="21"/>
      <c r="AS377" s="21" t="str">
        <f>VLOOKUP(AE377,'ref statu'!A:B,2,0)</f>
        <v>Fixed</v>
      </c>
      <c r="AT377" s="8" t="e">
        <f>VLOOKUP(A377,chk!A:B,2,0)</f>
        <v>#N/A</v>
      </c>
      <c r="AU377" s="29" t="e">
        <f>VLOOKUP(A377,checker!A:B,2,0)</f>
        <v>#N/A</v>
      </c>
      <c r="AV377" s="29" t="e">
        <f>VLOOKUP(A377,checker!B:C,2,0)</f>
        <v>#N/A</v>
      </c>
    </row>
    <row r="378" spans="1:48" x14ac:dyDescent="0.3">
      <c r="A378" s="29" t="str">
        <f t="shared" si="5"/>
        <v>96.692.66.647/443/ssl-cve-2016-2183-sweet32</v>
      </c>
      <c r="B378" s="29" t="s">
        <v>2999</v>
      </c>
      <c r="C378" s="29" t="s">
        <v>312</v>
      </c>
      <c r="D378" s="8" t="s">
        <v>2965</v>
      </c>
      <c r="E378" s="8" t="s">
        <v>311</v>
      </c>
      <c r="F378" s="29" t="s">
        <v>308</v>
      </c>
      <c r="G378" s="21" t="s">
        <v>313</v>
      </c>
      <c r="H378" s="29" t="s">
        <v>256</v>
      </c>
      <c r="I378" s="8" t="s">
        <v>257</v>
      </c>
      <c r="J378" s="8">
        <v>443</v>
      </c>
      <c r="K378" s="29" t="s">
        <v>290</v>
      </c>
      <c r="L378" s="29" t="s">
        <v>314</v>
      </c>
      <c r="M378" s="9">
        <v>5</v>
      </c>
      <c r="N378" s="9" t="s">
        <v>29</v>
      </c>
      <c r="O378" s="29" t="s">
        <v>111</v>
      </c>
      <c r="P378" s="29" t="s">
        <v>112</v>
      </c>
      <c r="Q378" s="29" t="s">
        <v>113</v>
      </c>
      <c r="R378" s="29" t="s">
        <v>103</v>
      </c>
      <c r="S378" s="29" t="s">
        <v>208</v>
      </c>
      <c r="T378" s="29" t="s">
        <v>114</v>
      </c>
      <c r="U378" s="29" t="s">
        <v>71</v>
      </c>
      <c r="V378" s="29" t="s">
        <v>278</v>
      </c>
      <c r="W378" s="29">
        <v>42606</v>
      </c>
      <c r="X378" s="8" t="s">
        <v>36</v>
      </c>
      <c r="Y378" s="8">
        <v>1</v>
      </c>
      <c r="Z378" s="8" t="s">
        <v>279</v>
      </c>
      <c r="AA378" s="8" t="s">
        <v>280</v>
      </c>
      <c r="AB378" s="8" t="s">
        <v>260</v>
      </c>
      <c r="AC378" s="29"/>
      <c r="AD378" s="29"/>
      <c r="AE378" s="95" t="s">
        <v>28</v>
      </c>
      <c r="AF378" s="30">
        <v>44142</v>
      </c>
      <c r="AG378" s="30">
        <v>44142</v>
      </c>
      <c r="AH378" s="25">
        <v>44142</v>
      </c>
      <c r="AI378" s="72">
        <v>44124</v>
      </c>
      <c r="AJ378" s="23" t="s">
        <v>27</v>
      </c>
      <c r="AK378" s="8" t="e">
        <f>VLOOKUP(A378,'[1]Externe MAJ Nov'!$A:$H,8,0)</f>
        <v>#N/A</v>
      </c>
      <c r="AL378" s="29" t="e">
        <f>VLOOKUP(A378,'[1]Externe MAJ Nov'!$A:$G,7,0)</f>
        <v>#N/A</v>
      </c>
      <c r="AM378" s="29" t="s">
        <v>95</v>
      </c>
      <c r="AN378" s="29" t="s">
        <v>77</v>
      </c>
      <c r="AO378" s="58">
        <v>44124</v>
      </c>
      <c r="AP378" s="29" t="e">
        <f>VLOOKUP(A378,'[2]External Scan 02_21'!$B:$J,9,0)</f>
        <v>#N/A</v>
      </c>
      <c r="AQ378" s="29" t="s">
        <v>28</v>
      </c>
      <c r="AR378" s="21"/>
      <c r="AS378" s="21" t="str">
        <f>VLOOKUP(AE378,'ref statu'!A:B,2,0)</f>
        <v>Fixed</v>
      </c>
      <c r="AT378" s="8" t="e">
        <f>VLOOKUP(A378,chk!A:B,2,0)</f>
        <v>#N/A</v>
      </c>
      <c r="AU378" s="29" t="e">
        <f>VLOOKUP(A378,checker!A:B,2,0)</f>
        <v>#N/A</v>
      </c>
      <c r="AV378" s="29" t="e">
        <f>VLOOKUP(A378,checker!B:C,2,0)</f>
        <v>#N/A</v>
      </c>
    </row>
    <row r="379" spans="1:48" x14ac:dyDescent="0.3">
      <c r="A379" s="29" t="str">
        <f t="shared" si="5"/>
        <v>96.692.66.647/443/ssl-static-key-ciphers</v>
      </c>
      <c r="B379" s="29" t="s">
        <v>2999</v>
      </c>
      <c r="C379" s="29" t="s">
        <v>312</v>
      </c>
      <c r="D379" s="8" t="s">
        <v>2965</v>
      </c>
      <c r="E379" s="8" t="s">
        <v>307</v>
      </c>
      <c r="F379" s="29" t="s">
        <v>308</v>
      </c>
      <c r="G379" s="21" t="s">
        <v>313</v>
      </c>
      <c r="H379" s="29" t="s">
        <v>256</v>
      </c>
      <c r="I379" s="8" t="s">
        <v>257</v>
      </c>
      <c r="J379" s="8">
        <v>443</v>
      </c>
      <c r="K379" s="29" t="s">
        <v>290</v>
      </c>
      <c r="L379" s="29" t="s">
        <v>314</v>
      </c>
      <c r="M379" s="9">
        <v>3</v>
      </c>
      <c r="N379" s="9" t="s">
        <v>42</v>
      </c>
      <c r="O379" s="29" t="s">
        <v>120</v>
      </c>
      <c r="P379" s="29" t="s">
        <v>121</v>
      </c>
      <c r="Q379" s="29" t="s">
        <v>122</v>
      </c>
      <c r="R379" s="29" t="s">
        <v>123</v>
      </c>
      <c r="S379" s="29" t="s">
        <v>209</v>
      </c>
      <c r="T379" s="29" t="s">
        <v>124</v>
      </c>
      <c r="U379" s="29" t="s">
        <v>31</v>
      </c>
      <c r="V379" s="29" t="s">
        <v>31</v>
      </c>
      <c r="W379" s="29">
        <v>42036</v>
      </c>
      <c r="X379" s="8" t="s">
        <v>36</v>
      </c>
      <c r="Y379" s="8">
        <v>0</v>
      </c>
      <c r="Z379" s="8" t="s">
        <v>31</v>
      </c>
      <c r="AA379" s="8" t="s">
        <v>31</v>
      </c>
      <c r="AB379" s="8" t="s">
        <v>260</v>
      </c>
      <c r="AC379" s="29"/>
      <c r="AD379" s="29"/>
      <c r="AE379" s="95" t="s">
        <v>28</v>
      </c>
      <c r="AF379" s="30">
        <v>44150</v>
      </c>
      <c r="AG379" s="30">
        <v>44150</v>
      </c>
      <c r="AH379" s="25">
        <v>44150</v>
      </c>
      <c r="AI379" s="72">
        <v>44124</v>
      </c>
      <c r="AJ379" s="23" t="s">
        <v>27</v>
      </c>
      <c r="AK379" s="8" t="e">
        <f>VLOOKUP(A379,'[1]Externe MAJ Nov'!$A:$H,8,0)</f>
        <v>#N/A</v>
      </c>
      <c r="AL379" s="29" t="e">
        <f>VLOOKUP(A379,'[1]Externe MAJ Nov'!$A:$G,7,0)</f>
        <v>#N/A</v>
      </c>
      <c r="AM379" s="29" t="s">
        <v>493</v>
      </c>
      <c r="AN379" s="29" t="s">
        <v>77</v>
      </c>
      <c r="AO379" s="58">
        <v>44124</v>
      </c>
      <c r="AP379" s="29" t="e">
        <f>VLOOKUP(A379,'[2]External Scan 02_21'!$B:$J,9,0)</f>
        <v>#N/A</v>
      </c>
      <c r="AQ379" s="29" t="s">
        <v>28</v>
      </c>
      <c r="AR379" s="21"/>
      <c r="AS379" s="21" t="str">
        <f>VLOOKUP(AE379,'ref statu'!A:B,2,0)</f>
        <v>Fixed</v>
      </c>
      <c r="AT379" s="8" t="e">
        <f>VLOOKUP(A379,chk!A:B,2,0)</f>
        <v>#N/A</v>
      </c>
      <c r="AU379" s="29" t="e">
        <f>VLOOKUP(A379,checker!A:B,2,0)</f>
        <v>#N/A</v>
      </c>
      <c r="AV379" s="29" t="e">
        <f>VLOOKUP(A379,checker!B:C,2,0)</f>
        <v>#N/A</v>
      </c>
    </row>
    <row r="380" spans="1:48" x14ac:dyDescent="0.3">
      <c r="A380" s="29" t="str">
        <f t="shared" si="5"/>
        <v>96.692.66.649/0/generic-tcp-timestamp</v>
      </c>
      <c r="B380" s="59" t="s">
        <v>3000</v>
      </c>
      <c r="C380" s="59" t="s">
        <v>320</v>
      </c>
      <c r="D380" s="31" t="s">
        <v>2987</v>
      </c>
      <c r="E380" s="31" t="s">
        <v>494</v>
      </c>
      <c r="F380" s="8" t="s">
        <v>262</v>
      </c>
      <c r="G380" s="32" t="s">
        <v>321</v>
      </c>
      <c r="H380" s="29" t="s">
        <v>322</v>
      </c>
      <c r="I380" s="31" t="s">
        <v>257</v>
      </c>
      <c r="J380" s="31">
        <v>0</v>
      </c>
      <c r="K380" s="59" t="s">
        <v>258</v>
      </c>
      <c r="L380" s="59" t="s">
        <v>31</v>
      </c>
      <c r="M380" s="9">
        <v>1</v>
      </c>
      <c r="N380" s="9" t="s">
        <v>42</v>
      </c>
      <c r="O380" s="59" t="s">
        <v>78</v>
      </c>
      <c r="P380" s="59" t="s">
        <v>79</v>
      </c>
      <c r="Q380" s="59" t="s">
        <v>80</v>
      </c>
      <c r="R380" s="59" t="s">
        <v>81</v>
      </c>
      <c r="S380" s="59" t="s">
        <v>82</v>
      </c>
      <c r="T380" s="59" t="s">
        <v>83</v>
      </c>
      <c r="U380" s="59" t="s">
        <v>31</v>
      </c>
      <c r="V380" s="59" t="s">
        <v>31</v>
      </c>
      <c r="W380" s="63">
        <v>35643</v>
      </c>
      <c r="X380" s="31" t="s">
        <v>36</v>
      </c>
      <c r="Y380" s="31">
        <v>0</v>
      </c>
      <c r="Z380" s="31" t="s">
        <v>31</v>
      </c>
      <c r="AA380" s="31" t="s">
        <v>31</v>
      </c>
      <c r="AB380" s="31" t="s">
        <v>497</v>
      </c>
      <c r="AC380" s="59"/>
      <c r="AD380" s="33" t="s">
        <v>2487</v>
      </c>
      <c r="AE380" s="99" t="s">
        <v>28</v>
      </c>
      <c r="AF380" s="22">
        <v>44224</v>
      </c>
      <c r="AG380" s="35">
        <v>44224</v>
      </c>
      <c r="AH380" s="31"/>
      <c r="AI380" s="72">
        <v>44155</v>
      </c>
      <c r="AJ380" s="23" t="s">
        <v>262</v>
      </c>
      <c r="AK380" s="8" t="e">
        <f>VLOOKUP(A380,'[1]Externe MAJ Nov'!$A:$H,8,0)</f>
        <v>#N/A</v>
      </c>
      <c r="AL380" s="29" t="e">
        <f>VLOOKUP(A380,'[1]Externe MAJ Nov'!$A:$G,7,0)</f>
        <v>#N/A</v>
      </c>
      <c r="AM380" s="59"/>
      <c r="AN380" s="59"/>
      <c r="AO380" s="58">
        <v>44155</v>
      </c>
      <c r="AP380" s="29" t="e">
        <f>VLOOKUP(A380,'[2]External Scan 02_21'!$B:$J,9,0)</f>
        <v>#N/A</v>
      </c>
      <c r="AQ380" s="29" t="s">
        <v>28</v>
      </c>
      <c r="AR380" s="75" t="s">
        <v>487</v>
      </c>
      <c r="AS380" s="21" t="str">
        <f>VLOOKUP(AE380,'ref statu'!A:B,2,0)</f>
        <v>Fixed</v>
      </c>
      <c r="AT380" s="8" t="e">
        <f>VLOOKUP(A380,chk!A:B,2,0)</f>
        <v>#N/A</v>
      </c>
      <c r="AU380" s="29" t="e">
        <f>VLOOKUP(A380,checker!A:B,2,0)</f>
        <v>#N/A</v>
      </c>
      <c r="AV380" s="29" t="e">
        <f>VLOOKUP(A380,checker!B:C,2,0)</f>
        <v>#N/A</v>
      </c>
    </row>
    <row r="381" spans="1:48" x14ac:dyDescent="0.3">
      <c r="A381" s="29" t="str">
        <f t="shared" si="5"/>
        <v>96.692.66.649/443/certificate-common-name-mismatch</v>
      </c>
      <c r="B381" s="29" t="s">
        <v>3000</v>
      </c>
      <c r="C381" s="29" t="s">
        <v>320</v>
      </c>
      <c r="D381" s="8" t="s">
        <v>2988</v>
      </c>
      <c r="E381" s="8" t="s">
        <v>299</v>
      </c>
      <c r="F381" s="29" t="s">
        <v>327</v>
      </c>
      <c r="G381" s="21" t="s">
        <v>321</v>
      </c>
      <c r="H381" s="29" t="s">
        <v>322</v>
      </c>
      <c r="I381" s="8" t="s">
        <v>257</v>
      </c>
      <c r="J381" s="8">
        <v>443</v>
      </c>
      <c r="K381" s="29" t="s">
        <v>290</v>
      </c>
      <c r="L381" s="29" t="s">
        <v>291</v>
      </c>
      <c r="M381" s="9">
        <v>7</v>
      </c>
      <c r="N381" s="10" t="s">
        <v>2540</v>
      </c>
      <c r="O381" s="29" t="s">
        <v>148</v>
      </c>
      <c r="P381" s="29" t="s">
        <v>149</v>
      </c>
      <c r="Q381" s="29" t="s">
        <v>150</v>
      </c>
      <c r="R381" s="29" t="s">
        <v>151</v>
      </c>
      <c r="S381" s="29" t="s">
        <v>243</v>
      </c>
      <c r="T381" s="29" t="s">
        <v>31</v>
      </c>
      <c r="U381" s="29" t="s">
        <v>31</v>
      </c>
      <c r="V381" s="29" t="s">
        <v>31</v>
      </c>
      <c r="W381" s="57">
        <v>39297</v>
      </c>
      <c r="X381" s="8" t="s">
        <v>36</v>
      </c>
      <c r="Y381" s="8">
        <v>0</v>
      </c>
      <c r="Z381" s="8" t="s">
        <v>31</v>
      </c>
      <c r="AA381" s="8" t="s">
        <v>31</v>
      </c>
      <c r="AB381" s="8" t="s">
        <v>260</v>
      </c>
      <c r="AC381" s="29"/>
      <c r="AD381" s="29"/>
      <c r="AE381" s="95" t="s">
        <v>299</v>
      </c>
      <c r="AF381" s="22"/>
      <c r="AG381" s="30"/>
      <c r="AH381" s="66"/>
      <c r="AI381" s="72">
        <v>44124</v>
      </c>
      <c r="AJ381" s="23" t="s">
        <v>262</v>
      </c>
      <c r="AK381" s="8" t="e">
        <f>VLOOKUP(A381,'[1]Externe MAJ Nov'!$A:$H,8,0)</f>
        <v>#N/A</v>
      </c>
      <c r="AL381" s="29" t="e">
        <f>VLOOKUP(A381,'[1]Externe MAJ Nov'!$A:$G,7,0)</f>
        <v>#N/A</v>
      </c>
      <c r="AM381" s="29" t="s">
        <v>299</v>
      </c>
      <c r="AN381" s="29" t="s">
        <v>77</v>
      </c>
      <c r="AO381" s="58">
        <v>44124</v>
      </c>
      <c r="AP381" s="29" t="e">
        <f>VLOOKUP(A381,'[2]External Scan 02_21'!$B:$J,9,0)</f>
        <v>#N/A</v>
      </c>
      <c r="AQ381" s="29" t="s">
        <v>299</v>
      </c>
      <c r="AR381" s="75" t="s">
        <v>487</v>
      </c>
      <c r="AS381" s="21" t="str">
        <f>VLOOKUP(AE381,'ref statu'!A:B,2,0)</f>
        <v>Faux Positive</v>
      </c>
      <c r="AT381" s="8" t="e">
        <f>VLOOKUP(A381,chk!A:B,2,0)</f>
        <v>#N/A</v>
      </c>
      <c r="AU381" s="29" t="e">
        <f>VLOOKUP(A381,checker!A:B,2,0)</f>
        <v>#N/A</v>
      </c>
      <c r="AV381" s="29" t="e">
        <f>VLOOKUP(A381,checker!B:C,2,0)</f>
        <v>#N/A</v>
      </c>
    </row>
    <row r="382" spans="1:48" x14ac:dyDescent="0.3">
      <c r="A382" s="29" t="str">
        <f t="shared" si="5"/>
        <v>96.692.66.649/443/http-generic-click-jacking</v>
      </c>
      <c r="B382" s="29" t="s">
        <v>3000</v>
      </c>
      <c r="C382" s="29" t="s">
        <v>320</v>
      </c>
      <c r="D382" s="8" t="s">
        <v>2988</v>
      </c>
      <c r="E382" s="8" t="s">
        <v>311</v>
      </c>
      <c r="F382" s="29" t="s">
        <v>323</v>
      </c>
      <c r="G382" s="21" t="s">
        <v>321</v>
      </c>
      <c r="H382" s="29" t="s">
        <v>322</v>
      </c>
      <c r="I382" s="8" t="s">
        <v>257</v>
      </c>
      <c r="J382" s="8">
        <v>443</v>
      </c>
      <c r="K382" s="29" t="s">
        <v>290</v>
      </c>
      <c r="L382" s="29" t="s">
        <v>291</v>
      </c>
      <c r="M382" s="9">
        <v>4</v>
      </c>
      <c r="N382" s="9" t="s">
        <v>29</v>
      </c>
      <c r="O382" s="29" t="s">
        <v>37</v>
      </c>
      <c r="P382" s="29" t="s">
        <v>38</v>
      </c>
      <c r="Q382" s="29" t="s">
        <v>39</v>
      </c>
      <c r="R382" s="29" t="s">
        <v>40</v>
      </c>
      <c r="S382" s="29" t="s">
        <v>324</v>
      </c>
      <c r="T382" s="29" t="s">
        <v>41</v>
      </c>
      <c r="U382" s="29" t="s">
        <v>31</v>
      </c>
      <c r="V382" s="29" t="s">
        <v>31</v>
      </c>
      <c r="W382" s="57">
        <v>39708</v>
      </c>
      <c r="X382" s="8" t="s">
        <v>36</v>
      </c>
      <c r="Y382" s="8">
        <v>0</v>
      </c>
      <c r="Z382" s="8" t="s">
        <v>31</v>
      </c>
      <c r="AA382" s="8" t="s">
        <v>31</v>
      </c>
      <c r="AB382" s="8" t="s">
        <v>318</v>
      </c>
      <c r="AC382" s="29"/>
      <c r="AD382" s="29"/>
      <c r="AE382" s="95" t="s">
        <v>526</v>
      </c>
      <c r="AF382" s="22"/>
      <c r="AG382" s="30"/>
      <c r="AH382" s="67"/>
      <c r="AI382" s="72">
        <v>44124</v>
      </c>
      <c r="AJ382" s="23" t="s">
        <v>262</v>
      </c>
      <c r="AK382" s="8" t="e">
        <f>VLOOKUP(A382,'[1]Externe MAJ Nov'!$A:$H,8,0)</f>
        <v>#N/A</v>
      </c>
      <c r="AL382" s="29" t="e">
        <f>VLOOKUP(A382,'[1]Externe MAJ Nov'!$A:$G,7,0)</f>
        <v>#N/A</v>
      </c>
      <c r="AM382" s="29" t="s">
        <v>95</v>
      </c>
      <c r="AN382" s="29" t="s">
        <v>77</v>
      </c>
      <c r="AO382" s="58">
        <v>44124</v>
      </c>
      <c r="AP382" s="29" t="e">
        <f>VLOOKUP(A382,'[2]External Scan 02_21'!$B:$J,9,0)</f>
        <v>#N/A</v>
      </c>
      <c r="AQ382" s="29" t="s">
        <v>526</v>
      </c>
      <c r="AR382" s="75" t="s">
        <v>487</v>
      </c>
      <c r="AS382" s="21" t="str">
        <f>VLOOKUP(AE382,'ref statu'!A:B,2,0)</f>
        <v>(HFM)</v>
      </c>
      <c r="AT382" s="8" t="e">
        <f>VLOOKUP(A382,chk!A:B,2,0)</f>
        <v>#N/A</v>
      </c>
      <c r="AU382" s="29" t="e">
        <f>VLOOKUP(A382,checker!A:B,2,0)</f>
        <v>#N/A</v>
      </c>
      <c r="AV382" s="29" t="e">
        <f>VLOOKUP(A382,checker!B:C,2,0)</f>
        <v>#N/A</v>
      </c>
    </row>
    <row r="383" spans="1:48" x14ac:dyDescent="0.3">
      <c r="A383" s="29" t="str">
        <f t="shared" si="5"/>
        <v>96.692.66.649/443/http-options-method-enabled</v>
      </c>
      <c r="B383" s="29" t="s">
        <v>3000</v>
      </c>
      <c r="C383" s="29" t="s">
        <v>320</v>
      </c>
      <c r="D383" s="8" t="s">
        <v>2988</v>
      </c>
      <c r="E383" s="8" t="s">
        <v>311</v>
      </c>
      <c r="F383" s="29" t="s">
        <v>323</v>
      </c>
      <c r="G383" s="21" t="s">
        <v>321</v>
      </c>
      <c r="H383" s="29" t="s">
        <v>322</v>
      </c>
      <c r="I383" s="8" t="s">
        <v>257</v>
      </c>
      <c r="J383" s="8">
        <v>443</v>
      </c>
      <c r="K383" s="29" t="s">
        <v>290</v>
      </c>
      <c r="L383" s="29" t="s">
        <v>291</v>
      </c>
      <c r="M383" s="9">
        <v>3</v>
      </c>
      <c r="N383" s="9" t="s">
        <v>42</v>
      </c>
      <c r="O383" s="29" t="s">
        <v>43</v>
      </c>
      <c r="P383" s="29" t="s">
        <v>44</v>
      </c>
      <c r="Q383" s="29" t="s">
        <v>45</v>
      </c>
      <c r="R383" s="29" t="s">
        <v>46</v>
      </c>
      <c r="S383" s="29" t="s">
        <v>47</v>
      </c>
      <c r="T383" s="29" t="s">
        <v>48</v>
      </c>
      <c r="U383" s="29" t="s">
        <v>31</v>
      </c>
      <c r="V383" s="29" t="s">
        <v>31</v>
      </c>
      <c r="W383" s="57">
        <v>38632</v>
      </c>
      <c r="X383" s="8" t="s">
        <v>36</v>
      </c>
      <c r="Y383" s="8">
        <v>0</v>
      </c>
      <c r="Z383" s="8" t="s">
        <v>31</v>
      </c>
      <c r="AA383" s="8" t="s">
        <v>31</v>
      </c>
      <c r="AB383" s="8" t="s">
        <v>318</v>
      </c>
      <c r="AC383" s="29"/>
      <c r="AD383" s="29"/>
      <c r="AE383" s="95" t="s">
        <v>526</v>
      </c>
      <c r="AF383" s="22"/>
      <c r="AG383" s="30"/>
      <c r="AH383" s="67"/>
      <c r="AI383" s="72">
        <v>44124</v>
      </c>
      <c r="AJ383" s="23" t="s">
        <v>262</v>
      </c>
      <c r="AK383" s="8" t="e">
        <f>VLOOKUP(A383,'[1]Externe MAJ Nov'!$A:$H,8,0)</f>
        <v>#N/A</v>
      </c>
      <c r="AL383" s="29" t="e">
        <f>VLOOKUP(A383,'[1]Externe MAJ Nov'!$A:$G,7,0)</f>
        <v>#N/A</v>
      </c>
      <c r="AM383" s="29" t="s">
        <v>95</v>
      </c>
      <c r="AN383" s="29" t="s">
        <v>77</v>
      </c>
      <c r="AO383" s="58">
        <v>44124</v>
      </c>
      <c r="AP383" s="29" t="e">
        <f>VLOOKUP(A383,'[2]External Scan 02_21'!$B:$J,9,0)</f>
        <v>#N/A</v>
      </c>
      <c r="AQ383" s="29" t="s">
        <v>526</v>
      </c>
      <c r="AR383" s="75" t="s">
        <v>487</v>
      </c>
      <c r="AS383" s="21" t="str">
        <f>VLOOKUP(AE383,'ref statu'!A:B,2,0)</f>
        <v>(HFM)</v>
      </c>
      <c r="AT383" s="8" t="e">
        <f>VLOOKUP(A383,chk!A:B,2,0)</f>
        <v>#N/A</v>
      </c>
      <c r="AU383" s="29" t="e">
        <f>VLOOKUP(A383,checker!A:B,2,0)</f>
        <v>#N/A</v>
      </c>
      <c r="AV383" s="29" t="e">
        <f>VLOOKUP(A383,checker!B:C,2,0)</f>
        <v>#N/A</v>
      </c>
    </row>
    <row r="384" spans="1:48" x14ac:dyDescent="0.3">
      <c r="A384" s="29" t="str">
        <f t="shared" si="5"/>
        <v>96.692.66.649/443/http-trace-method-enabled</v>
      </c>
      <c r="B384" s="29" t="s">
        <v>3000</v>
      </c>
      <c r="C384" s="29" t="s">
        <v>320</v>
      </c>
      <c r="D384" s="8" t="s">
        <v>2988</v>
      </c>
      <c r="E384" s="8" t="s">
        <v>307</v>
      </c>
      <c r="F384" s="29" t="s">
        <v>325</v>
      </c>
      <c r="G384" s="21" t="s">
        <v>321</v>
      </c>
      <c r="H384" s="29" t="s">
        <v>322</v>
      </c>
      <c r="I384" s="8" t="s">
        <v>257</v>
      </c>
      <c r="J384" s="8">
        <v>443</v>
      </c>
      <c r="K384" s="29" t="s">
        <v>290</v>
      </c>
      <c r="L384" s="29" t="s">
        <v>291</v>
      </c>
      <c r="M384" s="9">
        <v>6</v>
      </c>
      <c r="N384" s="9" t="s">
        <v>29</v>
      </c>
      <c r="O384" s="29" t="s">
        <v>187</v>
      </c>
      <c r="P384" s="29" t="s">
        <v>188</v>
      </c>
      <c r="Q384" s="29" t="s">
        <v>189</v>
      </c>
      <c r="R384" s="29" t="s">
        <v>282</v>
      </c>
      <c r="S384" s="29" t="s">
        <v>326</v>
      </c>
      <c r="T384" s="29" t="s">
        <v>190</v>
      </c>
      <c r="U384" s="29" t="s">
        <v>191</v>
      </c>
      <c r="V384" s="29" t="s">
        <v>284</v>
      </c>
      <c r="W384" s="57">
        <v>38292</v>
      </c>
      <c r="X384" s="8" t="s">
        <v>36</v>
      </c>
      <c r="Y384" s="8">
        <v>2</v>
      </c>
      <c r="Z384" s="8" t="s">
        <v>241</v>
      </c>
      <c r="AA384" s="8" t="s">
        <v>242</v>
      </c>
      <c r="AB384" s="8" t="s">
        <v>318</v>
      </c>
      <c r="AC384" s="29"/>
      <c r="AD384" s="29"/>
      <c r="AE384" s="95" t="s">
        <v>526</v>
      </c>
      <c r="AF384" s="22"/>
      <c r="AG384" s="30"/>
      <c r="AH384" s="21"/>
      <c r="AI384" s="72">
        <v>44124</v>
      </c>
      <c r="AJ384" s="23" t="s">
        <v>262</v>
      </c>
      <c r="AK384" s="8" t="e">
        <f>VLOOKUP(A384,'[1]Externe MAJ Nov'!$A:$H,8,0)</f>
        <v>#N/A</v>
      </c>
      <c r="AL384" s="29" t="e">
        <f>VLOOKUP(A384,'[1]Externe MAJ Nov'!$A:$G,7,0)</f>
        <v>#N/A</v>
      </c>
      <c r="AM384" s="29" t="s">
        <v>95</v>
      </c>
      <c r="AN384" s="29" t="s">
        <v>77</v>
      </c>
      <c r="AO384" s="58">
        <v>44124</v>
      </c>
      <c r="AP384" s="29" t="e">
        <f>VLOOKUP(A384,'[2]External Scan 02_21'!$B:$J,9,0)</f>
        <v>#N/A</v>
      </c>
      <c r="AQ384" s="29" t="s">
        <v>526</v>
      </c>
      <c r="AR384" s="75" t="s">
        <v>487</v>
      </c>
      <c r="AS384" s="21" t="str">
        <f>VLOOKUP(AE384,'ref statu'!A:B,2,0)</f>
        <v>(HFM)</v>
      </c>
      <c r="AT384" s="8" t="e">
        <f>VLOOKUP(A384,chk!A:B,2,0)</f>
        <v>#N/A</v>
      </c>
      <c r="AU384" s="29" t="e">
        <f>VLOOKUP(A384,checker!A:B,2,0)</f>
        <v>#N/A</v>
      </c>
      <c r="AV384" s="29" t="e">
        <f>VLOOKUP(A384,checker!B:C,2,0)</f>
        <v>#N/A</v>
      </c>
    </row>
    <row r="385" spans="1:48" x14ac:dyDescent="0.3">
      <c r="A385" s="29" t="str">
        <f t="shared" si="5"/>
        <v>96.692.66.649/443/ssl-3des-ciphers</v>
      </c>
      <c r="B385" s="29" t="s">
        <v>3000</v>
      </c>
      <c r="C385" s="29" t="s">
        <v>320</v>
      </c>
      <c r="D385" s="8" t="s">
        <v>2988</v>
      </c>
      <c r="E385" s="8" t="s">
        <v>311</v>
      </c>
      <c r="F385" s="29"/>
      <c r="G385" s="21" t="s">
        <v>321</v>
      </c>
      <c r="H385" s="29" t="s">
        <v>322</v>
      </c>
      <c r="I385" s="8" t="s">
        <v>257</v>
      </c>
      <c r="J385" s="8">
        <v>443</v>
      </c>
      <c r="K385" s="29" t="s">
        <v>290</v>
      </c>
      <c r="L385" s="29" t="s">
        <v>291</v>
      </c>
      <c r="M385" s="9">
        <v>1</v>
      </c>
      <c r="N385" s="9" t="s">
        <v>42</v>
      </c>
      <c r="O385" s="29" t="s">
        <v>100</v>
      </c>
      <c r="P385" s="29" t="s">
        <v>101</v>
      </c>
      <c r="Q385" s="29" t="s">
        <v>102</v>
      </c>
      <c r="R385" s="29" t="s">
        <v>103</v>
      </c>
      <c r="S385" s="29" t="s">
        <v>292</v>
      </c>
      <c r="T385" s="29" t="s">
        <v>104</v>
      </c>
      <c r="U385" s="29" t="s">
        <v>31</v>
      </c>
      <c r="V385" s="29" t="s">
        <v>31</v>
      </c>
      <c r="W385" s="57">
        <v>39845</v>
      </c>
      <c r="X385" s="8" t="s">
        <v>36</v>
      </c>
      <c r="Y385" s="8">
        <v>0</v>
      </c>
      <c r="Z385" s="8" t="s">
        <v>31</v>
      </c>
      <c r="AA385" s="8" t="s">
        <v>31</v>
      </c>
      <c r="AB385" s="8" t="s">
        <v>260</v>
      </c>
      <c r="AC385" s="29"/>
      <c r="AD385" s="29"/>
      <c r="AE385" s="95" t="s">
        <v>28</v>
      </c>
      <c r="AF385" s="30">
        <v>44146</v>
      </c>
      <c r="AG385" s="30">
        <v>44146</v>
      </c>
      <c r="AH385" s="25">
        <v>44146</v>
      </c>
      <c r="AI385" s="72">
        <v>44124</v>
      </c>
      <c r="AJ385" s="23" t="s">
        <v>262</v>
      </c>
      <c r="AK385" s="8" t="e">
        <f>VLOOKUP(A385,'[1]Externe MAJ Nov'!$A:$H,8,0)</f>
        <v>#N/A</v>
      </c>
      <c r="AL385" s="29" t="e">
        <f>VLOOKUP(A385,'[1]Externe MAJ Nov'!$A:$G,7,0)</f>
        <v>#N/A</v>
      </c>
      <c r="AM385" s="29" t="s">
        <v>28</v>
      </c>
      <c r="AN385" s="29" t="s">
        <v>77</v>
      </c>
      <c r="AO385" s="58">
        <v>44124</v>
      </c>
      <c r="AP385" s="29" t="e">
        <f>VLOOKUP(A385,'[2]External Scan 02_21'!$B:$J,9,0)</f>
        <v>#N/A</v>
      </c>
      <c r="AQ385" s="29" t="s">
        <v>28</v>
      </c>
      <c r="AR385" s="75" t="s">
        <v>487</v>
      </c>
      <c r="AS385" s="21" t="str">
        <f>VLOOKUP(AE385,'ref statu'!A:B,2,0)</f>
        <v>Fixed</v>
      </c>
      <c r="AT385" s="8" t="e">
        <f>VLOOKUP(A385,chk!A:B,2,0)</f>
        <v>#N/A</v>
      </c>
      <c r="AU385" s="29" t="e">
        <f>VLOOKUP(A385,checker!A:B,2,0)</f>
        <v>#N/A</v>
      </c>
      <c r="AV385" s="29" t="e">
        <f>VLOOKUP(A385,checker!B:C,2,0)</f>
        <v>#N/A</v>
      </c>
    </row>
    <row r="386" spans="1:48" x14ac:dyDescent="0.3">
      <c r="A386" s="29" t="str">
        <f t="shared" ref="A386:A449" si="6">B386&amp;"/"&amp;J386&amp;"/"&amp;O386</f>
        <v>96.692.66.649/443/ssl-cve-2011-3389-beast</v>
      </c>
      <c r="B386" s="29" t="s">
        <v>3000</v>
      </c>
      <c r="C386" s="29" t="s">
        <v>320</v>
      </c>
      <c r="D386" s="8" t="s">
        <v>2988</v>
      </c>
      <c r="E386" s="8" t="s">
        <v>311</v>
      </c>
      <c r="F386" s="29" t="s">
        <v>323</v>
      </c>
      <c r="G386" s="21" t="s">
        <v>321</v>
      </c>
      <c r="H386" s="29" t="s">
        <v>322</v>
      </c>
      <c r="I386" s="8" t="s">
        <v>257</v>
      </c>
      <c r="J386" s="8">
        <v>443</v>
      </c>
      <c r="K386" s="29" t="s">
        <v>290</v>
      </c>
      <c r="L386" s="29" t="s">
        <v>291</v>
      </c>
      <c r="M386" s="9">
        <v>4</v>
      </c>
      <c r="N386" s="9" t="s">
        <v>29</v>
      </c>
      <c r="O386" s="29" t="s">
        <v>105</v>
      </c>
      <c r="P386" s="29" t="s">
        <v>106</v>
      </c>
      <c r="Q386" s="29" t="s">
        <v>107</v>
      </c>
      <c r="R386" s="29" t="s">
        <v>108</v>
      </c>
      <c r="S386" s="29" t="s">
        <v>296</v>
      </c>
      <c r="T386" s="29" t="s">
        <v>109</v>
      </c>
      <c r="U386" s="29" t="s">
        <v>110</v>
      </c>
      <c r="V386" s="29" t="s">
        <v>297</v>
      </c>
      <c r="W386" s="57">
        <v>40792</v>
      </c>
      <c r="X386" s="8" t="s">
        <v>36</v>
      </c>
      <c r="Y386" s="8">
        <v>0</v>
      </c>
      <c r="Z386" s="8" t="s">
        <v>31</v>
      </c>
      <c r="AA386" s="8" t="s">
        <v>31</v>
      </c>
      <c r="AB386" s="8" t="s">
        <v>260</v>
      </c>
      <c r="AC386" s="29"/>
      <c r="AD386" s="29"/>
      <c r="AE386" s="95" t="s">
        <v>28</v>
      </c>
      <c r="AF386" s="30">
        <v>44146</v>
      </c>
      <c r="AG386" s="30">
        <v>44146</v>
      </c>
      <c r="AH386" s="25"/>
      <c r="AI386" s="72">
        <v>44124</v>
      </c>
      <c r="AJ386" s="23" t="s">
        <v>262</v>
      </c>
      <c r="AK386" s="8" t="e">
        <f>VLOOKUP(A386,'[1]Externe MAJ Nov'!$A:$H,8,0)</f>
        <v>#N/A</v>
      </c>
      <c r="AL386" s="29" t="e">
        <f>VLOOKUP(A386,'[1]Externe MAJ Nov'!$A:$G,7,0)</f>
        <v>#N/A</v>
      </c>
      <c r="AM386" s="29" t="s">
        <v>28</v>
      </c>
      <c r="AN386" s="29" t="s">
        <v>77</v>
      </c>
      <c r="AO386" s="58">
        <v>44124</v>
      </c>
      <c r="AP386" s="29" t="e">
        <f>VLOOKUP(A386,'[2]External Scan 02_21'!$B:$J,9,0)</f>
        <v>#N/A</v>
      </c>
      <c r="AQ386" s="29" t="s">
        <v>28</v>
      </c>
      <c r="AR386" s="75" t="s">
        <v>487</v>
      </c>
      <c r="AS386" s="21" t="str">
        <f>VLOOKUP(AE386,'ref statu'!A:B,2,0)</f>
        <v>Fixed</v>
      </c>
      <c r="AT386" s="8" t="e">
        <f>VLOOKUP(A386,chk!A:B,2,0)</f>
        <v>#N/A</v>
      </c>
      <c r="AU386" s="29" t="e">
        <f>VLOOKUP(A386,checker!A:B,2,0)</f>
        <v>#N/A</v>
      </c>
      <c r="AV386" s="29" t="e">
        <f>VLOOKUP(A386,checker!B:C,2,0)</f>
        <v>#N/A</v>
      </c>
    </row>
    <row r="387" spans="1:48" x14ac:dyDescent="0.3">
      <c r="A387" s="29" t="str">
        <f t="shared" si="6"/>
        <v>96.692.66.649/443/ssl-cve-2016-2183-sweet32</v>
      </c>
      <c r="B387" s="29" t="s">
        <v>3000</v>
      </c>
      <c r="C387" s="29" t="s">
        <v>320</v>
      </c>
      <c r="D387" s="8" t="s">
        <v>2988</v>
      </c>
      <c r="E387" s="8" t="s">
        <v>311</v>
      </c>
      <c r="F387" s="29"/>
      <c r="G387" s="21" t="s">
        <v>321</v>
      </c>
      <c r="H387" s="29" t="s">
        <v>322</v>
      </c>
      <c r="I387" s="8" t="s">
        <v>257</v>
      </c>
      <c r="J387" s="8">
        <v>443</v>
      </c>
      <c r="K387" s="29" t="s">
        <v>290</v>
      </c>
      <c r="L387" s="29" t="s">
        <v>291</v>
      </c>
      <c r="M387" s="9">
        <v>5</v>
      </c>
      <c r="N387" s="9" t="s">
        <v>29</v>
      </c>
      <c r="O387" s="29" t="s">
        <v>111</v>
      </c>
      <c r="P387" s="29" t="s">
        <v>112</v>
      </c>
      <c r="Q387" s="29" t="s">
        <v>113</v>
      </c>
      <c r="R387" s="29" t="s">
        <v>103</v>
      </c>
      <c r="S387" s="29" t="s">
        <v>292</v>
      </c>
      <c r="T387" s="29" t="s">
        <v>114</v>
      </c>
      <c r="U387" s="29" t="s">
        <v>71</v>
      </c>
      <c r="V387" s="29" t="s">
        <v>278</v>
      </c>
      <c r="W387" s="57">
        <v>42606</v>
      </c>
      <c r="X387" s="8" t="s">
        <v>36</v>
      </c>
      <c r="Y387" s="8">
        <v>1</v>
      </c>
      <c r="Z387" s="8" t="s">
        <v>279</v>
      </c>
      <c r="AA387" s="8" t="s">
        <v>280</v>
      </c>
      <c r="AB387" s="8" t="s">
        <v>260</v>
      </c>
      <c r="AC387" s="29"/>
      <c r="AD387" s="29"/>
      <c r="AE387" s="95" t="s">
        <v>28</v>
      </c>
      <c r="AF387" s="30">
        <v>44146</v>
      </c>
      <c r="AG387" s="30">
        <v>44146</v>
      </c>
      <c r="AH387" s="8"/>
      <c r="AI387" s="72">
        <v>44124</v>
      </c>
      <c r="AJ387" s="23" t="s">
        <v>262</v>
      </c>
      <c r="AK387" s="8" t="e">
        <f>VLOOKUP(A387,'[1]Externe MAJ Nov'!$A:$H,8,0)</f>
        <v>#N/A</v>
      </c>
      <c r="AL387" s="29" t="e">
        <f>VLOOKUP(A387,'[1]Externe MAJ Nov'!$A:$G,7,0)</f>
        <v>#N/A</v>
      </c>
      <c r="AM387" s="29" t="s">
        <v>28</v>
      </c>
      <c r="AN387" s="29" t="s">
        <v>77</v>
      </c>
      <c r="AO387" s="58">
        <v>44124</v>
      </c>
      <c r="AP387" s="29" t="e">
        <f>VLOOKUP(A387,'[2]External Scan 02_21'!$B:$J,9,0)</f>
        <v>#N/A</v>
      </c>
      <c r="AQ387" s="29" t="s">
        <v>28</v>
      </c>
      <c r="AR387" s="75" t="s">
        <v>487</v>
      </c>
      <c r="AS387" s="21" t="str">
        <f>VLOOKUP(AE387,'ref statu'!A:B,2,0)</f>
        <v>Fixed</v>
      </c>
      <c r="AT387" s="8" t="e">
        <f>VLOOKUP(A387,chk!A:B,2,0)</f>
        <v>#N/A</v>
      </c>
      <c r="AU387" s="29" t="e">
        <f>VLOOKUP(A387,checker!A:B,2,0)</f>
        <v>#N/A</v>
      </c>
      <c r="AV387" s="29" t="e">
        <f>VLOOKUP(A387,checker!B:C,2,0)</f>
        <v>#N/A</v>
      </c>
    </row>
    <row r="388" spans="1:48" x14ac:dyDescent="0.3">
      <c r="A388" s="29" t="str">
        <f t="shared" si="6"/>
        <v>96.692.66.649/443/ssl-static-key-ciphers</v>
      </c>
      <c r="B388" s="29" t="s">
        <v>3000</v>
      </c>
      <c r="C388" s="29" t="s">
        <v>320</v>
      </c>
      <c r="D388" s="8" t="s">
        <v>2988</v>
      </c>
      <c r="E388" s="8" t="s">
        <v>311</v>
      </c>
      <c r="F388" s="29"/>
      <c r="G388" s="21" t="s">
        <v>321</v>
      </c>
      <c r="H388" s="29" t="s">
        <v>322</v>
      </c>
      <c r="I388" s="8" t="s">
        <v>257</v>
      </c>
      <c r="J388" s="8">
        <v>443</v>
      </c>
      <c r="K388" s="29" t="s">
        <v>290</v>
      </c>
      <c r="L388" s="29" t="s">
        <v>291</v>
      </c>
      <c r="M388" s="9">
        <v>3</v>
      </c>
      <c r="N388" s="9" t="s">
        <v>42</v>
      </c>
      <c r="O388" s="29" t="s">
        <v>120</v>
      </c>
      <c r="P388" s="29" t="s">
        <v>121</v>
      </c>
      <c r="Q388" s="29" t="s">
        <v>122</v>
      </c>
      <c r="R388" s="29" t="s">
        <v>123</v>
      </c>
      <c r="S388" s="29" t="s">
        <v>295</v>
      </c>
      <c r="T388" s="29" t="s">
        <v>124</v>
      </c>
      <c r="U388" s="29" t="s">
        <v>31</v>
      </c>
      <c r="V388" s="29" t="s">
        <v>31</v>
      </c>
      <c r="W388" s="57">
        <v>42036</v>
      </c>
      <c r="X388" s="8" t="s">
        <v>36</v>
      </c>
      <c r="Y388" s="8">
        <v>0</v>
      </c>
      <c r="Z388" s="8" t="s">
        <v>31</v>
      </c>
      <c r="AA388" s="8" t="s">
        <v>31</v>
      </c>
      <c r="AB388" s="8" t="s">
        <v>260</v>
      </c>
      <c r="AC388" s="29"/>
      <c r="AD388" s="29"/>
      <c r="AE388" s="95" t="s">
        <v>28</v>
      </c>
      <c r="AF388" s="30">
        <v>44146</v>
      </c>
      <c r="AG388" s="30">
        <v>44146</v>
      </c>
      <c r="AH388" s="8"/>
      <c r="AI388" s="72">
        <v>44124</v>
      </c>
      <c r="AJ388" s="23" t="s">
        <v>262</v>
      </c>
      <c r="AK388" s="8" t="e">
        <f>VLOOKUP(A388,'[1]Externe MAJ Nov'!$A:$H,8,0)</f>
        <v>#N/A</v>
      </c>
      <c r="AL388" s="29" t="e">
        <f>VLOOKUP(A388,'[1]Externe MAJ Nov'!$A:$G,7,0)</f>
        <v>#N/A</v>
      </c>
      <c r="AM388" s="29" t="s">
        <v>28</v>
      </c>
      <c r="AN388" s="29" t="s">
        <v>77</v>
      </c>
      <c r="AO388" s="58">
        <v>44124</v>
      </c>
      <c r="AP388" s="29" t="e">
        <f>VLOOKUP(A388,'[2]External Scan 02_21'!$B:$J,9,0)</f>
        <v>#N/A</v>
      </c>
      <c r="AQ388" s="29" t="s">
        <v>28</v>
      </c>
      <c r="AR388" s="75" t="s">
        <v>487</v>
      </c>
      <c r="AS388" s="21" t="str">
        <f>VLOOKUP(AE388,'ref statu'!A:B,2,0)</f>
        <v>Fixed</v>
      </c>
      <c r="AT388" s="8" t="e">
        <f>VLOOKUP(A388,chk!A:B,2,0)</f>
        <v>#N/A</v>
      </c>
      <c r="AU388" s="29" t="e">
        <f>VLOOKUP(A388,checker!A:B,2,0)</f>
        <v>#N/A</v>
      </c>
      <c r="AV388" s="29" t="e">
        <f>VLOOKUP(A388,checker!B:C,2,0)</f>
        <v>#N/A</v>
      </c>
    </row>
    <row r="389" spans="1:48" x14ac:dyDescent="0.3">
      <c r="A389" s="29" t="str">
        <f t="shared" si="6"/>
        <v>96.692.66.649/443/tlsv1_0-enabled</v>
      </c>
      <c r="B389" s="29" t="s">
        <v>3000</v>
      </c>
      <c r="C389" s="29" t="s">
        <v>320</v>
      </c>
      <c r="D389" s="8" t="s">
        <v>2988</v>
      </c>
      <c r="E389" s="8" t="s">
        <v>311</v>
      </c>
      <c r="F389" s="29" t="s">
        <v>323</v>
      </c>
      <c r="G389" s="21" t="s">
        <v>321</v>
      </c>
      <c r="H389" s="29" t="s">
        <v>322</v>
      </c>
      <c r="I389" s="8" t="s">
        <v>257</v>
      </c>
      <c r="J389" s="8">
        <v>443</v>
      </c>
      <c r="K389" s="29" t="s">
        <v>290</v>
      </c>
      <c r="L389" s="29" t="s">
        <v>291</v>
      </c>
      <c r="M389" s="9">
        <v>4</v>
      </c>
      <c r="N389" s="9" t="s">
        <v>29</v>
      </c>
      <c r="O389" s="29" t="s">
        <v>136</v>
      </c>
      <c r="P389" s="29" t="s">
        <v>137</v>
      </c>
      <c r="Q389" s="29" t="s">
        <v>138</v>
      </c>
      <c r="R389" s="29" t="s">
        <v>139</v>
      </c>
      <c r="S389" s="29" t="s">
        <v>140</v>
      </c>
      <c r="T389" s="29" t="s">
        <v>141</v>
      </c>
      <c r="U389" s="29" t="s">
        <v>31</v>
      </c>
      <c r="V389" s="29" t="s">
        <v>31</v>
      </c>
      <c r="W389" s="57">
        <v>41926</v>
      </c>
      <c r="X389" s="8" t="s">
        <v>36</v>
      </c>
      <c r="Y389" s="8">
        <v>0</v>
      </c>
      <c r="Z389" s="8" t="s">
        <v>31</v>
      </c>
      <c r="AA389" s="8" t="s">
        <v>31</v>
      </c>
      <c r="AB389" s="8" t="s">
        <v>260</v>
      </c>
      <c r="AC389" s="29"/>
      <c r="AD389" s="29"/>
      <c r="AE389" s="95" t="s">
        <v>28</v>
      </c>
      <c r="AF389" s="30">
        <v>44146</v>
      </c>
      <c r="AG389" s="30">
        <v>44146</v>
      </c>
      <c r="AH389" s="25"/>
      <c r="AI389" s="72">
        <v>44124</v>
      </c>
      <c r="AJ389" s="23" t="s">
        <v>262</v>
      </c>
      <c r="AK389" s="8" t="e">
        <f>VLOOKUP(A389,'[1]Externe MAJ Nov'!$A:$H,8,0)</f>
        <v>#N/A</v>
      </c>
      <c r="AL389" s="29" t="e">
        <f>VLOOKUP(A389,'[1]Externe MAJ Nov'!$A:$G,7,0)</f>
        <v>#N/A</v>
      </c>
      <c r="AM389" s="29" t="s">
        <v>28</v>
      </c>
      <c r="AN389" s="29" t="s">
        <v>77</v>
      </c>
      <c r="AO389" s="58">
        <v>44124</v>
      </c>
      <c r="AP389" s="29" t="e">
        <f>VLOOKUP(A389,'[2]External Scan 02_21'!$B:$J,9,0)</f>
        <v>#N/A</v>
      </c>
      <c r="AQ389" s="29" t="s">
        <v>28</v>
      </c>
      <c r="AR389" s="75" t="s">
        <v>487</v>
      </c>
      <c r="AS389" s="21" t="str">
        <f>VLOOKUP(AE389,'ref statu'!A:B,2,0)</f>
        <v>Fixed</v>
      </c>
      <c r="AT389" s="8" t="e">
        <f>VLOOKUP(A389,chk!A:B,2,0)</f>
        <v>#N/A</v>
      </c>
      <c r="AU389" s="29" t="e">
        <f>VLOOKUP(A389,checker!A:B,2,0)</f>
        <v>#N/A</v>
      </c>
      <c r="AV389" s="29" t="e">
        <f>VLOOKUP(A389,checker!B:C,2,0)</f>
        <v>#N/A</v>
      </c>
    </row>
    <row r="390" spans="1:48" x14ac:dyDescent="0.3">
      <c r="A390" s="29" t="str">
        <f t="shared" si="6"/>
        <v>96.692.66.649/443/tlsv1_1-enabled</v>
      </c>
      <c r="B390" s="29" t="s">
        <v>3000</v>
      </c>
      <c r="C390" s="29" t="s">
        <v>320</v>
      </c>
      <c r="D390" s="8" t="s">
        <v>2988</v>
      </c>
      <c r="E390" s="8" t="s">
        <v>311</v>
      </c>
      <c r="F390" s="29" t="s">
        <v>323</v>
      </c>
      <c r="G390" s="21" t="s">
        <v>321</v>
      </c>
      <c r="H390" s="29" t="s">
        <v>322</v>
      </c>
      <c r="I390" s="8" t="s">
        <v>257</v>
      </c>
      <c r="J390" s="8">
        <v>443</v>
      </c>
      <c r="K390" s="29" t="s">
        <v>290</v>
      </c>
      <c r="L390" s="29" t="s">
        <v>291</v>
      </c>
      <c r="M390" s="9">
        <v>3</v>
      </c>
      <c r="N390" s="9" t="s">
        <v>42</v>
      </c>
      <c r="O390" s="29" t="s">
        <v>142</v>
      </c>
      <c r="P390" s="29" t="s">
        <v>143</v>
      </c>
      <c r="Q390" s="29" t="s">
        <v>138</v>
      </c>
      <c r="R390" s="29" t="s">
        <v>139</v>
      </c>
      <c r="S390" s="29" t="s">
        <v>144</v>
      </c>
      <c r="T390" s="29" t="s">
        <v>141</v>
      </c>
      <c r="U390" s="29" t="s">
        <v>31</v>
      </c>
      <c r="V390" s="29" t="s">
        <v>31</v>
      </c>
      <c r="W390" s="57">
        <v>41926</v>
      </c>
      <c r="X390" s="8" t="s">
        <v>36</v>
      </c>
      <c r="Y390" s="8">
        <v>0</v>
      </c>
      <c r="Z390" s="8" t="s">
        <v>31</v>
      </c>
      <c r="AA390" s="8" t="s">
        <v>31</v>
      </c>
      <c r="AB390" s="8" t="s">
        <v>260</v>
      </c>
      <c r="AC390" s="29"/>
      <c r="AD390" s="29"/>
      <c r="AE390" s="95" t="s">
        <v>28</v>
      </c>
      <c r="AF390" s="30">
        <v>44146</v>
      </c>
      <c r="AG390" s="30">
        <v>44146</v>
      </c>
      <c r="AH390" s="25"/>
      <c r="AI390" s="72">
        <v>44124</v>
      </c>
      <c r="AJ390" s="23" t="s">
        <v>262</v>
      </c>
      <c r="AK390" s="8" t="e">
        <f>VLOOKUP(A390,'[1]Externe MAJ Nov'!$A:$H,8,0)</f>
        <v>#N/A</v>
      </c>
      <c r="AL390" s="29" t="e">
        <f>VLOOKUP(A390,'[1]Externe MAJ Nov'!$A:$G,7,0)</f>
        <v>#N/A</v>
      </c>
      <c r="AM390" s="29" t="s">
        <v>28</v>
      </c>
      <c r="AN390" s="29" t="s">
        <v>77</v>
      </c>
      <c r="AO390" s="58">
        <v>44124</v>
      </c>
      <c r="AP390" s="29" t="e">
        <f>VLOOKUP(A390,'[2]External Scan 02_21'!$B:$J,9,0)</f>
        <v>#N/A</v>
      </c>
      <c r="AQ390" s="29" t="s">
        <v>28</v>
      </c>
      <c r="AR390" s="75" t="s">
        <v>487</v>
      </c>
      <c r="AS390" s="21" t="str">
        <f>VLOOKUP(AE390,'ref statu'!A:B,2,0)</f>
        <v>Fixed</v>
      </c>
      <c r="AT390" s="8" t="e">
        <f>VLOOKUP(A390,chk!A:B,2,0)</f>
        <v>#N/A</v>
      </c>
      <c r="AU390" s="29" t="e">
        <f>VLOOKUP(A390,checker!A:B,2,0)</f>
        <v>#N/A</v>
      </c>
      <c r="AV390" s="29" t="e">
        <f>VLOOKUP(A390,checker!B:C,2,0)</f>
        <v>#N/A</v>
      </c>
    </row>
    <row r="391" spans="1:48" x14ac:dyDescent="0.3">
      <c r="A391" s="29" t="str">
        <f t="shared" si="6"/>
        <v>96.692.66.656/0/drupal-cve-2020-11022</v>
      </c>
      <c r="B391" s="29" t="s">
        <v>3001</v>
      </c>
      <c r="C391" s="29" t="s">
        <v>328</v>
      </c>
      <c r="D391" s="148" t="s">
        <v>2977</v>
      </c>
      <c r="E391" s="8" t="s">
        <v>253</v>
      </c>
      <c r="F391" s="29"/>
      <c r="G391" s="21" t="s">
        <v>330</v>
      </c>
      <c r="H391" s="29" t="s">
        <v>256</v>
      </c>
      <c r="I391" s="8" t="s">
        <v>257</v>
      </c>
      <c r="J391" s="8">
        <v>0</v>
      </c>
      <c r="K391" s="29" t="s">
        <v>258</v>
      </c>
      <c r="L391" s="29" t="s">
        <v>31</v>
      </c>
      <c r="M391" s="9">
        <v>4</v>
      </c>
      <c r="N391" s="9" t="s">
        <v>29</v>
      </c>
      <c r="O391" s="29" t="s">
        <v>349</v>
      </c>
      <c r="P391" s="29" t="s">
        <v>350</v>
      </c>
      <c r="Q391" s="29" t="s">
        <v>351</v>
      </c>
      <c r="R391" s="29" t="s">
        <v>352</v>
      </c>
      <c r="S391" s="29" t="s">
        <v>336</v>
      </c>
      <c r="T391" s="29" t="s">
        <v>353</v>
      </c>
      <c r="U391" s="29" t="s">
        <v>354</v>
      </c>
      <c r="V391" s="29" t="s">
        <v>355</v>
      </c>
      <c r="W391" s="57">
        <v>43950</v>
      </c>
      <c r="X391" s="8" t="s">
        <v>30</v>
      </c>
      <c r="Y391" s="8">
        <v>0</v>
      </c>
      <c r="Z391" s="8" t="s">
        <v>31</v>
      </c>
      <c r="AA391" s="8" t="s">
        <v>31</v>
      </c>
      <c r="AB391" s="8" t="s">
        <v>348</v>
      </c>
      <c r="AC391" s="29"/>
      <c r="AD391" s="29"/>
      <c r="AE391" s="95" t="s">
        <v>28</v>
      </c>
      <c r="AF391" s="22"/>
      <c r="AG391" s="30">
        <v>44256</v>
      </c>
      <c r="AH391" s="67"/>
      <c r="AI391" s="72">
        <v>44124</v>
      </c>
      <c r="AJ391" s="23" t="s">
        <v>270</v>
      </c>
      <c r="AK391" s="8" t="e">
        <f>VLOOKUP(A391,'[1]Externe MAJ Nov'!$A:$H,8,0)</f>
        <v>#N/A</v>
      </c>
      <c r="AL391" s="29" t="e">
        <f>VLOOKUP(A391,'[1]Externe MAJ Nov'!$A:$G,7,0)</f>
        <v>#N/A</v>
      </c>
      <c r="AM391" s="29" t="s">
        <v>95</v>
      </c>
      <c r="AN391" s="29" t="s">
        <v>27</v>
      </c>
      <c r="AO391" s="58">
        <v>44124</v>
      </c>
      <c r="AP391" s="29" t="e">
        <f>VLOOKUP(A391,'[2]External Scan 02_21'!$B:$J,9,0)</f>
        <v>#N/A</v>
      </c>
      <c r="AQ391" s="29" t="s">
        <v>331</v>
      </c>
      <c r="AR391" s="21"/>
      <c r="AS391" s="21" t="str">
        <f>VLOOKUP(AE391,'ref statu'!A:B,2,0)</f>
        <v>Fixed</v>
      </c>
      <c r="AT391" s="8" t="e">
        <f>VLOOKUP(A391,chk!A:B,2,0)</f>
        <v>#N/A</v>
      </c>
      <c r="AU391" s="29" t="e">
        <f>VLOOKUP(A391,checker!A:B,2,0)</f>
        <v>#N/A</v>
      </c>
      <c r="AV391" s="29" t="e">
        <f>VLOOKUP(A391,checker!B:C,2,0)</f>
        <v>#N/A</v>
      </c>
    </row>
    <row r="392" spans="1:48" x14ac:dyDescent="0.3">
      <c r="A392" s="29" t="str">
        <f t="shared" si="6"/>
        <v>96.692.66.656/0/drupal-cve-2020-11023</v>
      </c>
      <c r="B392" s="29" t="s">
        <v>3001</v>
      </c>
      <c r="C392" s="29" t="s">
        <v>328</v>
      </c>
      <c r="D392" s="148" t="s">
        <v>2977</v>
      </c>
      <c r="E392" s="8" t="s">
        <v>253</v>
      </c>
      <c r="F392" s="29"/>
      <c r="G392" s="21" t="s">
        <v>330</v>
      </c>
      <c r="H392" s="29" t="s">
        <v>256</v>
      </c>
      <c r="I392" s="8" t="s">
        <v>257</v>
      </c>
      <c r="J392" s="8">
        <v>0</v>
      </c>
      <c r="K392" s="29" t="s">
        <v>258</v>
      </c>
      <c r="L392" s="29" t="s">
        <v>31</v>
      </c>
      <c r="M392" s="9">
        <v>4</v>
      </c>
      <c r="N392" s="9" t="s">
        <v>29</v>
      </c>
      <c r="O392" s="29" t="s">
        <v>356</v>
      </c>
      <c r="P392" s="29" t="s">
        <v>357</v>
      </c>
      <c r="Q392" s="29" t="s">
        <v>358</v>
      </c>
      <c r="R392" s="29" t="s">
        <v>352</v>
      </c>
      <c r="S392" s="29" t="s">
        <v>336</v>
      </c>
      <c r="T392" s="29" t="s">
        <v>353</v>
      </c>
      <c r="U392" s="29" t="s">
        <v>359</v>
      </c>
      <c r="V392" s="29" t="s">
        <v>360</v>
      </c>
      <c r="W392" s="57">
        <v>43950</v>
      </c>
      <c r="X392" s="8" t="s">
        <v>30</v>
      </c>
      <c r="Y392" s="8">
        <v>0</v>
      </c>
      <c r="Z392" s="8" t="s">
        <v>31</v>
      </c>
      <c r="AA392" s="8" t="s">
        <v>31</v>
      </c>
      <c r="AB392" s="8" t="s">
        <v>348</v>
      </c>
      <c r="AC392" s="29"/>
      <c r="AD392" s="29"/>
      <c r="AE392" s="95" t="s">
        <v>28</v>
      </c>
      <c r="AF392" s="22"/>
      <c r="AG392" s="30">
        <v>44256</v>
      </c>
      <c r="AH392" s="67"/>
      <c r="AI392" s="72">
        <v>44124</v>
      </c>
      <c r="AJ392" s="23" t="s">
        <v>270</v>
      </c>
      <c r="AK392" s="8" t="e">
        <f>VLOOKUP(A392,'[1]Externe MAJ Nov'!$A:$H,8,0)</f>
        <v>#N/A</v>
      </c>
      <c r="AL392" s="29" t="e">
        <f>VLOOKUP(A392,'[1]Externe MAJ Nov'!$A:$G,7,0)</f>
        <v>#N/A</v>
      </c>
      <c r="AM392" s="29" t="s">
        <v>95</v>
      </c>
      <c r="AN392" s="29" t="s">
        <v>27</v>
      </c>
      <c r="AO392" s="58">
        <v>44124</v>
      </c>
      <c r="AP392" s="29" t="e">
        <f>VLOOKUP(A392,'[2]External Scan 02_21'!$B:$J,9,0)</f>
        <v>#N/A</v>
      </c>
      <c r="AQ392" s="29" t="s">
        <v>331</v>
      </c>
      <c r="AR392" s="21"/>
      <c r="AS392" s="21" t="str">
        <f>VLOOKUP(AE392,'ref statu'!A:B,2,0)</f>
        <v>Fixed</v>
      </c>
      <c r="AT392" s="8" t="e">
        <f>VLOOKUP(A392,chk!A:B,2,0)</f>
        <v>#N/A</v>
      </c>
      <c r="AU392" s="29" t="e">
        <f>VLOOKUP(A392,checker!A:B,2,0)</f>
        <v>#N/A</v>
      </c>
      <c r="AV392" s="29" t="e">
        <f>VLOOKUP(A392,checker!B:C,2,0)</f>
        <v>#N/A</v>
      </c>
    </row>
    <row r="393" spans="1:48" x14ac:dyDescent="0.3">
      <c r="A393" s="29" t="str">
        <f t="shared" si="6"/>
        <v>96.692.66.656/0/drupal-cve-2020-13663</v>
      </c>
      <c r="B393" s="29" t="s">
        <v>3001</v>
      </c>
      <c r="C393" s="29" t="s">
        <v>328</v>
      </c>
      <c r="D393" s="148" t="s">
        <v>2977</v>
      </c>
      <c r="E393" s="8" t="s">
        <v>253</v>
      </c>
      <c r="F393" s="29"/>
      <c r="G393" s="21" t="s">
        <v>330</v>
      </c>
      <c r="H393" s="29" t="s">
        <v>256</v>
      </c>
      <c r="I393" s="8" t="s">
        <v>257</v>
      </c>
      <c r="J393" s="8">
        <v>0</v>
      </c>
      <c r="K393" s="29" t="s">
        <v>258</v>
      </c>
      <c r="L393" s="29" t="s">
        <v>31</v>
      </c>
      <c r="M393" s="9">
        <v>4</v>
      </c>
      <c r="N393" s="9" t="s">
        <v>29</v>
      </c>
      <c r="O393" s="29" t="s">
        <v>341</v>
      </c>
      <c r="P393" s="29" t="s">
        <v>342</v>
      </c>
      <c r="Q393" s="29" t="s">
        <v>343</v>
      </c>
      <c r="R393" s="29" t="s">
        <v>344</v>
      </c>
      <c r="S393" s="29" t="s">
        <v>336</v>
      </c>
      <c r="T393" s="29" t="s">
        <v>345</v>
      </c>
      <c r="U393" s="29" t="s">
        <v>346</v>
      </c>
      <c r="V393" s="29" t="s">
        <v>347</v>
      </c>
      <c r="W393" s="57">
        <v>44000</v>
      </c>
      <c r="X393" s="8" t="s">
        <v>30</v>
      </c>
      <c r="Y393" s="8">
        <v>0</v>
      </c>
      <c r="Z393" s="8" t="s">
        <v>31</v>
      </c>
      <c r="AA393" s="8" t="s">
        <v>31</v>
      </c>
      <c r="AB393" s="8" t="s">
        <v>348</v>
      </c>
      <c r="AC393" s="29"/>
      <c r="AD393" s="29"/>
      <c r="AE393" s="95" t="s">
        <v>28</v>
      </c>
      <c r="AF393" s="22"/>
      <c r="AG393" s="30">
        <v>44256</v>
      </c>
      <c r="AH393" s="67"/>
      <c r="AI393" s="72">
        <v>44124</v>
      </c>
      <c r="AJ393" s="23" t="s">
        <v>270</v>
      </c>
      <c r="AK393" s="8" t="e">
        <f>VLOOKUP(A393,'[1]Externe MAJ Nov'!$A:$H,8,0)</f>
        <v>#N/A</v>
      </c>
      <c r="AL393" s="29" t="e">
        <f>VLOOKUP(A393,'[1]Externe MAJ Nov'!$A:$G,7,0)</f>
        <v>#N/A</v>
      </c>
      <c r="AM393" s="29" t="s">
        <v>95</v>
      </c>
      <c r="AN393" s="29" t="s">
        <v>27</v>
      </c>
      <c r="AO393" s="58">
        <v>44124</v>
      </c>
      <c r="AP393" s="29" t="e">
        <f>VLOOKUP(A393,'[2]External Scan 02_21'!$B:$J,9,0)</f>
        <v>#N/A</v>
      </c>
      <c r="AQ393" s="29" t="s">
        <v>331</v>
      </c>
      <c r="AR393" s="21"/>
      <c r="AS393" s="21" t="str">
        <f>VLOOKUP(AE393,'ref statu'!A:B,2,0)</f>
        <v>Fixed</v>
      </c>
      <c r="AT393" s="8" t="e">
        <f>VLOOKUP(A393,chk!A:B,2,0)</f>
        <v>#N/A</v>
      </c>
      <c r="AU393" s="29" t="e">
        <f>VLOOKUP(A393,checker!A:B,2,0)</f>
        <v>#N/A</v>
      </c>
      <c r="AV393" s="29" t="e">
        <f>VLOOKUP(A393,checker!B:C,2,0)</f>
        <v>#N/A</v>
      </c>
    </row>
    <row r="394" spans="1:48" x14ac:dyDescent="0.3">
      <c r="A394" s="29" t="str">
        <f t="shared" si="6"/>
        <v>96.692.66.656/0/drupal-cve-2020-13666</v>
      </c>
      <c r="B394" s="29" t="s">
        <v>3001</v>
      </c>
      <c r="C394" s="29" t="s">
        <v>328</v>
      </c>
      <c r="D394" s="148" t="s">
        <v>2977</v>
      </c>
      <c r="E394" s="8" t="s">
        <v>253</v>
      </c>
      <c r="F394" s="29"/>
      <c r="G394" s="21" t="s">
        <v>330</v>
      </c>
      <c r="H394" s="29" t="s">
        <v>256</v>
      </c>
      <c r="I394" s="8" t="s">
        <v>257</v>
      </c>
      <c r="J394" s="8">
        <v>0</v>
      </c>
      <c r="K394" s="29" t="s">
        <v>258</v>
      </c>
      <c r="L394" s="29" t="s">
        <v>31</v>
      </c>
      <c r="M394" s="9">
        <v>4</v>
      </c>
      <c r="N394" s="9" t="s">
        <v>29</v>
      </c>
      <c r="O394" s="29" t="s">
        <v>332</v>
      </c>
      <c r="P394" s="29" t="s">
        <v>333</v>
      </c>
      <c r="Q394" s="29" t="s">
        <v>334</v>
      </c>
      <c r="R394" s="29" t="s">
        <v>335</v>
      </c>
      <c r="S394" s="29" t="s">
        <v>336</v>
      </c>
      <c r="T394" s="29" t="s">
        <v>337</v>
      </c>
      <c r="U394" s="29" t="s">
        <v>338</v>
      </c>
      <c r="V394" s="29" t="s">
        <v>339</v>
      </c>
      <c r="W394" s="57">
        <v>44091</v>
      </c>
      <c r="X394" s="8" t="s">
        <v>30</v>
      </c>
      <c r="Y394" s="8">
        <v>0</v>
      </c>
      <c r="Z394" s="8" t="s">
        <v>31</v>
      </c>
      <c r="AA394" s="8" t="s">
        <v>31</v>
      </c>
      <c r="AB394" s="8" t="s">
        <v>340</v>
      </c>
      <c r="AC394" s="29"/>
      <c r="AD394" s="29"/>
      <c r="AE394" s="95" t="s">
        <v>28</v>
      </c>
      <c r="AF394" s="22"/>
      <c r="AG394" s="30">
        <v>44256</v>
      </c>
      <c r="AH394" s="67"/>
      <c r="AI394" s="72">
        <v>44124</v>
      </c>
      <c r="AJ394" s="23" t="s">
        <v>270</v>
      </c>
      <c r="AK394" s="8" t="e">
        <f>VLOOKUP(A394,'[1]Externe MAJ Nov'!$A:$H,8,0)</f>
        <v>#N/A</v>
      </c>
      <c r="AL394" s="29" t="e">
        <f>VLOOKUP(A394,'[1]Externe MAJ Nov'!$A:$G,7,0)</f>
        <v>#N/A</v>
      </c>
      <c r="AM394" s="29" t="s">
        <v>95</v>
      </c>
      <c r="AN394" s="29" t="s">
        <v>27</v>
      </c>
      <c r="AO394" s="58">
        <v>44124</v>
      </c>
      <c r="AP394" s="29" t="e">
        <f>VLOOKUP(A394,'[2]External Scan 02_21'!$B:$J,9,0)</f>
        <v>#N/A</v>
      </c>
      <c r="AQ394" s="29" t="s">
        <v>331</v>
      </c>
      <c r="AR394" s="21"/>
      <c r="AS394" s="21" t="str">
        <f>VLOOKUP(AE394,'ref statu'!A:B,2,0)</f>
        <v>Fixed</v>
      </c>
      <c r="AT394" s="8" t="e">
        <f>VLOOKUP(A394,chk!A:B,2,0)</f>
        <v>#N/A</v>
      </c>
      <c r="AU394" s="29" t="e">
        <f>VLOOKUP(A394,checker!A:B,2,0)</f>
        <v>#N/A</v>
      </c>
      <c r="AV394" s="29" t="e">
        <f>VLOOKUP(A394,checker!B:C,2,0)</f>
        <v>#N/A</v>
      </c>
    </row>
    <row r="395" spans="1:48" x14ac:dyDescent="0.3">
      <c r="A395" s="29" t="str">
        <f t="shared" si="6"/>
        <v>96.692.66.656/0/drupal-cve-2020-13671</v>
      </c>
      <c r="B395" s="59" t="s">
        <v>3001</v>
      </c>
      <c r="C395" s="59" t="s">
        <v>328</v>
      </c>
      <c r="D395" s="149" t="s">
        <v>2977</v>
      </c>
      <c r="E395" s="31" t="s">
        <v>494</v>
      </c>
      <c r="F395" s="8" t="s">
        <v>27</v>
      </c>
      <c r="G395" s="32" t="s">
        <v>330</v>
      </c>
      <c r="H395" s="59" t="s">
        <v>256</v>
      </c>
      <c r="I395" s="31" t="s">
        <v>257</v>
      </c>
      <c r="J395" s="31">
        <v>0</v>
      </c>
      <c r="K395" s="59" t="s">
        <v>258</v>
      </c>
      <c r="L395" s="59" t="s">
        <v>31</v>
      </c>
      <c r="M395" s="9">
        <v>4</v>
      </c>
      <c r="N395" s="9" t="s">
        <v>29</v>
      </c>
      <c r="O395" s="59" t="s">
        <v>506</v>
      </c>
      <c r="P395" s="59" t="s">
        <v>507</v>
      </c>
      <c r="Q395" s="59" t="s">
        <v>508</v>
      </c>
      <c r="R395" s="59" t="s">
        <v>509</v>
      </c>
      <c r="S395" s="59" t="s">
        <v>336</v>
      </c>
      <c r="T395" s="59" t="s">
        <v>510</v>
      </c>
      <c r="U395" s="59" t="s">
        <v>511</v>
      </c>
      <c r="V395" s="59" t="s">
        <v>512</v>
      </c>
      <c r="W395" s="60">
        <v>44154</v>
      </c>
      <c r="X395" s="31" t="s">
        <v>30</v>
      </c>
      <c r="Y395" s="31">
        <v>0</v>
      </c>
      <c r="Z395" s="31" t="s">
        <v>31</v>
      </c>
      <c r="AA395" s="31" t="s">
        <v>31</v>
      </c>
      <c r="AB395" s="31" t="s">
        <v>340</v>
      </c>
      <c r="AC395" s="59"/>
      <c r="AD395" s="34"/>
      <c r="AE395" s="95" t="s">
        <v>28</v>
      </c>
      <c r="AF395" s="22"/>
      <c r="AG395" s="35">
        <v>44256</v>
      </c>
      <c r="AH395" s="32"/>
      <c r="AI395" s="72">
        <v>44155</v>
      </c>
      <c r="AJ395" s="23" t="s">
        <v>270</v>
      </c>
      <c r="AK395" s="8" t="e">
        <f>VLOOKUP(A395,'[1]Externe MAJ Nov'!$A:$H,8,0)</f>
        <v>#N/A</v>
      </c>
      <c r="AL395" s="29" t="e">
        <f>VLOOKUP(A395,'[1]Externe MAJ Nov'!$A:$G,7,0)</f>
        <v>#N/A</v>
      </c>
      <c r="AM395" s="59"/>
      <c r="AN395" s="59"/>
      <c r="AO395" s="58">
        <v>44155</v>
      </c>
      <c r="AP395" s="29" t="e">
        <f>VLOOKUP(A395,'[2]External Scan 02_21'!$B:$J,9,0)</f>
        <v>#N/A</v>
      </c>
      <c r="AQ395" s="29" t="s">
        <v>523</v>
      </c>
      <c r="AR395" s="21"/>
      <c r="AS395" s="21" t="str">
        <f>VLOOKUP(AE395,'ref statu'!A:B,2,0)</f>
        <v>Fixed</v>
      </c>
      <c r="AT395" s="8" t="e">
        <f>VLOOKUP(A395,chk!A:B,2,0)</f>
        <v>#N/A</v>
      </c>
      <c r="AU395" s="29" t="e">
        <f>VLOOKUP(A395,checker!A:B,2,0)</f>
        <v>#N/A</v>
      </c>
      <c r="AV395" s="29" t="e">
        <f>VLOOKUP(A395,checker!B:C,2,0)</f>
        <v>#N/A</v>
      </c>
    </row>
    <row r="396" spans="1:48" x14ac:dyDescent="0.3">
      <c r="A396" s="29" t="str">
        <f t="shared" si="6"/>
        <v>96.692.66.656/0/drupal-cve-2020-28948</v>
      </c>
      <c r="B396" s="61" t="s">
        <v>3001</v>
      </c>
      <c r="C396" s="61" t="s">
        <v>328</v>
      </c>
      <c r="D396" s="150" t="s">
        <v>2977</v>
      </c>
      <c r="E396" s="37" t="s">
        <v>494</v>
      </c>
      <c r="F396" s="61" t="s">
        <v>331</v>
      </c>
      <c r="G396" s="61" t="s">
        <v>330</v>
      </c>
      <c r="H396" s="61" t="s">
        <v>256</v>
      </c>
      <c r="I396" s="37" t="s">
        <v>390</v>
      </c>
      <c r="J396" s="37">
        <v>0</v>
      </c>
      <c r="K396" s="61" t="s">
        <v>258</v>
      </c>
      <c r="L396" s="61" t="s">
        <v>31</v>
      </c>
      <c r="M396" s="9">
        <v>7</v>
      </c>
      <c r="N396" s="10" t="s">
        <v>2540</v>
      </c>
      <c r="O396" s="61" t="s">
        <v>2442</v>
      </c>
      <c r="P396" s="61" t="s">
        <v>2443</v>
      </c>
      <c r="Q396" s="61" t="s">
        <v>2444</v>
      </c>
      <c r="R396" s="61" t="s">
        <v>2445</v>
      </c>
      <c r="S396" s="61" t="s">
        <v>336</v>
      </c>
      <c r="T396" s="61" t="s">
        <v>2446</v>
      </c>
      <c r="U396" s="61" t="s">
        <v>2447</v>
      </c>
      <c r="V396" s="61" t="s">
        <v>2448</v>
      </c>
      <c r="W396" s="62">
        <v>44154</v>
      </c>
      <c r="X396" s="37" t="s">
        <v>30</v>
      </c>
      <c r="Y396" s="37">
        <v>0</v>
      </c>
      <c r="Z396" s="37" t="s">
        <v>31</v>
      </c>
      <c r="AA396" s="37" t="s">
        <v>31</v>
      </c>
      <c r="AB396" s="37" t="s">
        <v>340</v>
      </c>
      <c r="AC396" s="61"/>
      <c r="AD396" s="34"/>
      <c r="AE396" s="95" t="s">
        <v>28</v>
      </c>
      <c r="AF396" s="22"/>
      <c r="AG396" s="35">
        <v>44256</v>
      </c>
      <c r="AH396" s="40"/>
      <c r="AI396" s="72">
        <v>44185</v>
      </c>
      <c r="AJ396" s="38" t="s">
        <v>270</v>
      </c>
      <c r="AK396" s="39" t="e">
        <f>VLOOKUP(A396,'[1]Externe MAJ Nov'!$A:$H,8,0)</f>
        <v>#N/A</v>
      </c>
      <c r="AL396" s="61"/>
      <c r="AM396" s="61"/>
      <c r="AN396" s="61"/>
      <c r="AO396" s="58">
        <v>44185</v>
      </c>
      <c r="AP396" s="29" t="e">
        <f>VLOOKUP(A396,'[2]External Scan 02_21'!$B:$J,9,0)</f>
        <v>#N/A</v>
      </c>
      <c r="AQ396" s="29" t="s">
        <v>331</v>
      </c>
      <c r="AR396" s="21"/>
      <c r="AS396" s="21" t="str">
        <f>VLOOKUP(AE396,'ref statu'!A:B,2,0)</f>
        <v>Fixed</v>
      </c>
      <c r="AT396" s="8" t="e">
        <f>VLOOKUP(A396,chk!A:B,2,0)</f>
        <v>#N/A</v>
      </c>
      <c r="AU396" s="29" t="e">
        <f>VLOOKUP(A396,checker!A:B,2,0)</f>
        <v>#N/A</v>
      </c>
      <c r="AV396" s="29" t="e">
        <f>VLOOKUP(A396,checker!B:C,2,0)</f>
        <v>#N/A</v>
      </c>
    </row>
    <row r="397" spans="1:48" x14ac:dyDescent="0.3">
      <c r="A397" s="29" t="str">
        <f t="shared" si="6"/>
        <v>96.692.66.656/0/drupal-cve-2020-28949</v>
      </c>
      <c r="B397" s="61" t="s">
        <v>3001</v>
      </c>
      <c r="C397" s="61" t="s">
        <v>328</v>
      </c>
      <c r="D397" s="150" t="s">
        <v>2977</v>
      </c>
      <c r="E397" s="37" t="s">
        <v>494</v>
      </c>
      <c r="F397" s="61" t="s">
        <v>331</v>
      </c>
      <c r="G397" s="61" t="s">
        <v>330</v>
      </c>
      <c r="H397" s="61" t="s">
        <v>256</v>
      </c>
      <c r="I397" s="37" t="s">
        <v>390</v>
      </c>
      <c r="J397" s="37">
        <v>0</v>
      </c>
      <c r="K397" s="61" t="s">
        <v>258</v>
      </c>
      <c r="L397" s="61" t="s">
        <v>31</v>
      </c>
      <c r="M397" s="9">
        <v>7</v>
      </c>
      <c r="N397" s="10" t="s">
        <v>2540</v>
      </c>
      <c r="O397" s="61" t="s">
        <v>2449</v>
      </c>
      <c r="P397" s="61" t="s">
        <v>2450</v>
      </c>
      <c r="Q397" s="61" t="s">
        <v>2451</v>
      </c>
      <c r="R397" s="61" t="s">
        <v>2445</v>
      </c>
      <c r="S397" s="61" t="s">
        <v>336</v>
      </c>
      <c r="T397" s="61" t="s">
        <v>2446</v>
      </c>
      <c r="U397" s="61" t="s">
        <v>2452</v>
      </c>
      <c r="V397" s="61" t="s">
        <v>2453</v>
      </c>
      <c r="W397" s="62">
        <v>44154</v>
      </c>
      <c r="X397" s="37" t="s">
        <v>30</v>
      </c>
      <c r="Y397" s="37">
        <v>0</v>
      </c>
      <c r="Z397" s="37" t="s">
        <v>31</v>
      </c>
      <c r="AA397" s="37" t="s">
        <v>31</v>
      </c>
      <c r="AB397" s="37" t="s">
        <v>340</v>
      </c>
      <c r="AC397" s="61"/>
      <c r="AD397" s="33"/>
      <c r="AE397" s="95" t="s">
        <v>28</v>
      </c>
      <c r="AF397" s="22"/>
      <c r="AG397" s="35">
        <v>44256</v>
      </c>
      <c r="AH397" s="40"/>
      <c r="AI397" s="72">
        <v>44185</v>
      </c>
      <c r="AJ397" s="38" t="s">
        <v>270</v>
      </c>
      <c r="AK397" s="39" t="e">
        <f>VLOOKUP(A397,'[1]Externe MAJ Nov'!$A:$H,8,0)</f>
        <v>#N/A</v>
      </c>
      <c r="AL397" s="61"/>
      <c r="AM397" s="61"/>
      <c r="AN397" s="61"/>
      <c r="AO397" s="58">
        <v>44185</v>
      </c>
      <c r="AP397" s="29" t="e">
        <f>VLOOKUP(A397,'[2]External Scan 02_21'!$B:$J,9,0)</f>
        <v>#N/A</v>
      </c>
      <c r="AQ397" s="29" t="s">
        <v>331</v>
      </c>
      <c r="AR397" s="21"/>
      <c r="AS397" s="21" t="str">
        <f>VLOOKUP(AE397,'ref statu'!A:B,2,0)</f>
        <v>Fixed</v>
      </c>
      <c r="AT397" s="8" t="e">
        <f>VLOOKUP(A397,chk!A:B,2,0)</f>
        <v>#N/A</v>
      </c>
      <c r="AU397" s="29" t="e">
        <f>VLOOKUP(A397,checker!A:B,2,0)</f>
        <v>#N/A</v>
      </c>
      <c r="AV397" s="29" t="e">
        <f>VLOOKUP(A397,checker!B:C,2,0)</f>
        <v>#N/A</v>
      </c>
    </row>
    <row r="398" spans="1:48" x14ac:dyDescent="0.3">
      <c r="A398" s="29" t="str">
        <f t="shared" si="6"/>
        <v>96.692.66.656/0/drupal-cve-2020-36193</v>
      </c>
      <c r="B398" s="61" t="s">
        <v>3001</v>
      </c>
      <c r="C398" s="29" t="s">
        <v>328</v>
      </c>
      <c r="E398" s="39" t="s">
        <v>494</v>
      </c>
      <c r="H398" s="43" t="s">
        <v>256</v>
      </c>
      <c r="I398" s="39" t="s">
        <v>2493</v>
      </c>
      <c r="J398" s="39" t="s">
        <v>2495</v>
      </c>
      <c r="K398" s="43" t="s">
        <v>258</v>
      </c>
      <c r="L398" s="43" t="s">
        <v>31</v>
      </c>
      <c r="M398" s="9" t="s">
        <v>2488</v>
      </c>
      <c r="N398" s="9" t="s">
        <v>29</v>
      </c>
      <c r="O398" s="43" t="s">
        <v>2500</v>
      </c>
      <c r="P398" s="43" t="s">
        <v>2500</v>
      </c>
      <c r="Q398" s="43" t="s">
        <v>2501</v>
      </c>
      <c r="R398" s="43" t="s">
        <v>2502</v>
      </c>
      <c r="S398" s="43" t="s">
        <v>2503</v>
      </c>
      <c r="T398" s="43" t="s">
        <v>336</v>
      </c>
      <c r="U398" s="43" t="s">
        <v>2504</v>
      </c>
      <c r="V398" s="43" t="s">
        <v>2505</v>
      </c>
      <c r="W398" s="43" t="s">
        <v>2516</v>
      </c>
      <c r="AB398" s="39" t="s">
        <v>340</v>
      </c>
      <c r="AC398" s="43"/>
      <c r="AE398" s="95" t="s">
        <v>28</v>
      </c>
      <c r="AF398" s="22"/>
      <c r="AI398" s="72">
        <v>44247</v>
      </c>
      <c r="AK398" s="39" t="s">
        <v>27</v>
      </c>
      <c r="AL398" s="43"/>
      <c r="AM398" s="43"/>
      <c r="AN398" s="43"/>
      <c r="AP398" s="29" t="e">
        <f>VLOOKUP(A398,'[2]External Scan 02_21'!$B:$J,9,0)</f>
        <v>#N/A</v>
      </c>
      <c r="AQ398" s="29" t="e">
        <v>#N/A</v>
      </c>
      <c r="AR398" s="21"/>
      <c r="AS398" s="21" t="str">
        <f>VLOOKUP(AE398,'ref statu'!A:B,2,0)</f>
        <v>Fixed</v>
      </c>
      <c r="AT398" s="8" t="e">
        <f>VLOOKUP(A398,chk!A:B,2,0)</f>
        <v>#N/A</v>
      </c>
      <c r="AU398" s="29" t="e">
        <f>VLOOKUP(A398,checker!A:B,2,0)</f>
        <v>#N/A</v>
      </c>
      <c r="AV398" s="29" t="e">
        <f>VLOOKUP(A398,checker!B:C,2,0)</f>
        <v>#N/A</v>
      </c>
    </row>
    <row r="399" spans="1:48" x14ac:dyDescent="0.3">
      <c r="A399" s="29" t="str">
        <f t="shared" si="6"/>
        <v>96.692.66.656/0/generic-tcp-timestamp</v>
      </c>
      <c r="B399" s="29" t="s">
        <v>3001</v>
      </c>
      <c r="C399" s="29" t="s">
        <v>328</v>
      </c>
      <c r="D399" s="148" t="s">
        <v>2977</v>
      </c>
      <c r="E399" s="8" t="s">
        <v>253</v>
      </c>
      <c r="F399" s="29"/>
      <c r="G399" s="21" t="s">
        <v>330</v>
      </c>
      <c r="H399" s="29" t="s">
        <v>256</v>
      </c>
      <c r="I399" s="8" t="s">
        <v>257</v>
      </c>
      <c r="J399" s="8">
        <v>0</v>
      </c>
      <c r="K399" s="29" t="s">
        <v>258</v>
      </c>
      <c r="L399" s="29" t="s">
        <v>31</v>
      </c>
      <c r="M399" s="9">
        <v>1</v>
      </c>
      <c r="N399" s="9" t="s">
        <v>42</v>
      </c>
      <c r="O399" s="29" t="s">
        <v>78</v>
      </c>
      <c r="P399" s="29" t="s">
        <v>79</v>
      </c>
      <c r="Q399" s="29" t="s">
        <v>80</v>
      </c>
      <c r="R399" s="29" t="s">
        <v>81</v>
      </c>
      <c r="S399" s="29" t="s">
        <v>82</v>
      </c>
      <c r="T399" s="29" t="s">
        <v>83</v>
      </c>
      <c r="U399" s="29" t="s">
        <v>31</v>
      </c>
      <c r="V399" s="29" t="s">
        <v>31</v>
      </c>
      <c r="W399" s="57">
        <v>35643</v>
      </c>
      <c r="X399" s="8" t="s">
        <v>36</v>
      </c>
      <c r="Y399" s="8">
        <v>0</v>
      </c>
      <c r="Z399" s="8" t="s">
        <v>31</v>
      </c>
      <c r="AA399" s="8" t="s">
        <v>31</v>
      </c>
      <c r="AB399" s="8" t="s">
        <v>260</v>
      </c>
      <c r="AC399" s="29"/>
      <c r="AD399" s="29"/>
      <c r="AE399" s="95" t="s">
        <v>28</v>
      </c>
      <c r="AF399" s="22"/>
      <c r="AG399" s="30">
        <v>44256</v>
      </c>
      <c r="AH399" s="66"/>
      <c r="AI399" s="72">
        <v>44124</v>
      </c>
      <c r="AJ399" s="23" t="s">
        <v>270</v>
      </c>
      <c r="AK399" s="8" t="e">
        <f>VLOOKUP(A399,'[1]Externe MAJ Nov'!$A:$H,8,0)</f>
        <v>#N/A</v>
      </c>
      <c r="AL399" s="29" t="e">
        <f>VLOOKUP(A399,'[1]Externe MAJ Nov'!$A:$G,7,0)</f>
        <v>#N/A</v>
      </c>
      <c r="AM399" s="29" t="s">
        <v>28</v>
      </c>
      <c r="AN399" s="29" t="s">
        <v>27</v>
      </c>
      <c r="AO399" s="58">
        <v>44124</v>
      </c>
      <c r="AP399" s="29" t="e">
        <f>VLOOKUP(A399,'[2]External Scan 02_21'!$B:$J,9,0)</f>
        <v>#N/A</v>
      </c>
      <c r="AQ399" s="29" t="s">
        <v>331</v>
      </c>
      <c r="AR399" s="21"/>
      <c r="AS399" s="21" t="str">
        <f>VLOOKUP(AE399,'ref statu'!A:B,2,0)</f>
        <v>Fixed</v>
      </c>
      <c r="AT399" s="8" t="e">
        <f>VLOOKUP(A399,chk!A:B,2,0)</f>
        <v>#N/A</v>
      </c>
      <c r="AU399" s="29" t="e">
        <f>VLOOKUP(A399,checker!A:B,2,0)</f>
        <v>#N/A</v>
      </c>
      <c r="AV399" s="29" t="e">
        <f>VLOOKUP(A399,checker!B:C,2,0)</f>
        <v>#N/A</v>
      </c>
    </row>
    <row r="400" spans="1:48" x14ac:dyDescent="0.3">
      <c r="A400" s="29" t="str">
        <f t="shared" si="6"/>
        <v>96.692.66.656/443/certificate-common-name-mismatch</v>
      </c>
      <c r="B400" s="29" t="s">
        <v>3001</v>
      </c>
      <c r="C400" s="29" t="s">
        <v>328</v>
      </c>
      <c r="E400" s="39" t="s">
        <v>299</v>
      </c>
      <c r="H400" s="43" t="s">
        <v>256</v>
      </c>
      <c r="I400" s="39" t="s">
        <v>2493</v>
      </c>
      <c r="J400" s="39" t="s">
        <v>2494</v>
      </c>
      <c r="K400" s="43" t="s">
        <v>290</v>
      </c>
      <c r="L400" s="43" t="s">
        <v>291</v>
      </c>
      <c r="M400" s="9">
        <v>7</v>
      </c>
      <c r="N400" s="10" t="s">
        <v>2540</v>
      </c>
      <c r="O400" s="43" t="s">
        <v>148</v>
      </c>
      <c r="P400" s="43" t="s">
        <v>148</v>
      </c>
      <c r="Q400" s="43" t="s">
        <v>149</v>
      </c>
      <c r="R400" s="43" t="s">
        <v>150</v>
      </c>
      <c r="S400" s="43" t="s">
        <v>151</v>
      </c>
      <c r="T400" s="43" t="s">
        <v>243</v>
      </c>
      <c r="U400" s="43" t="s">
        <v>31</v>
      </c>
      <c r="V400" s="43" t="s">
        <v>31</v>
      </c>
      <c r="W400" s="43" t="s">
        <v>2510</v>
      </c>
      <c r="AB400" s="39" t="s">
        <v>340</v>
      </c>
      <c r="AC400" s="43"/>
      <c r="AE400" s="100" t="s">
        <v>299</v>
      </c>
      <c r="AF400" s="22"/>
      <c r="AI400" s="72">
        <v>44247</v>
      </c>
      <c r="AK400" s="39" t="s">
        <v>27</v>
      </c>
      <c r="AL400" s="43"/>
      <c r="AM400" s="43"/>
      <c r="AN400" s="43"/>
      <c r="AP400" s="29" t="e">
        <f>VLOOKUP(A400,'[2]External Scan 02_21'!$B:$J,9,0)</f>
        <v>#N/A</v>
      </c>
      <c r="AQ400" s="29" t="e">
        <v>#N/A</v>
      </c>
      <c r="AR400" s="21"/>
      <c r="AS400" s="21" t="str">
        <f>VLOOKUP(AE400,'ref statu'!A:B,2,0)</f>
        <v>Faux Positive</v>
      </c>
      <c r="AT400" s="8" t="e">
        <f>VLOOKUP(A400,chk!A:B,2,0)</f>
        <v>#N/A</v>
      </c>
      <c r="AU400" s="29" t="e">
        <f>VLOOKUP(A400,checker!A:B,2,0)</f>
        <v>#N/A</v>
      </c>
      <c r="AV400" s="29" t="e">
        <f>VLOOKUP(A400,checker!B:C,2,0)</f>
        <v>#N/A</v>
      </c>
    </row>
    <row r="401" spans="1:48" x14ac:dyDescent="0.3">
      <c r="A401" s="29" t="str">
        <f t="shared" si="6"/>
        <v>96.692.66.656/443/ssl-3des-ciphers</v>
      </c>
      <c r="B401" s="29" t="s">
        <v>3001</v>
      </c>
      <c r="C401" s="29" t="s">
        <v>328</v>
      </c>
      <c r="D401" s="148" t="s">
        <v>2977</v>
      </c>
      <c r="E401" s="8" t="s">
        <v>307</v>
      </c>
      <c r="F401" s="29" t="s">
        <v>329</v>
      </c>
      <c r="G401" s="21" t="s">
        <v>330</v>
      </c>
      <c r="H401" s="29" t="s">
        <v>256</v>
      </c>
      <c r="I401" s="8" t="s">
        <v>257</v>
      </c>
      <c r="J401" s="8">
        <v>443</v>
      </c>
      <c r="K401" s="29" t="s">
        <v>290</v>
      </c>
      <c r="L401" s="29" t="s">
        <v>291</v>
      </c>
      <c r="M401" s="9">
        <v>1</v>
      </c>
      <c r="N401" s="9" t="s">
        <v>42</v>
      </c>
      <c r="O401" s="29" t="s">
        <v>100</v>
      </c>
      <c r="P401" s="29" t="s">
        <v>101</v>
      </c>
      <c r="Q401" s="29" t="s">
        <v>102</v>
      </c>
      <c r="R401" s="29" t="s">
        <v>103</v>
      </c>
      <c r="S401" s="29" t="s">
        <v>292</v>
      </c>
      <c r="T401" s="29" t="s">
        <v>104</v>
      </c>
      <c r="U401" s="29" t="s">
        <v>31</v>
      </c>
      <c r="V401" s="29" t="s">
        <v>31</v>
      </c>
      <c r="W401" s="57">
        <v>39845</v>
      </c>
      <c r="X401" s="8" t="s">
        <v>36</v>
      </c>
      <c r="Y401" s="8">
        <v>0</v>
      </c>
      <c r="Z401" s="8" t="s">
        <v>31</v>
      </c>
      <c r="AA401" s="8" t="s">
        <v>31</v>
      </c>
      <c r="AB401" s="8" t="s">
        <v>260</v>
      </c>
      <c r="AC401" s="29"/>
      <c r="AD401" s="29"/>
      <c r="AE401" s="95" t="s">
        <v>28</v>
      </c>
      <c r="AF401" s="22"/>
      <c r="AG401" s="30">
        <v>44256</v>
      </c>
      <c r="AH401" s="67"/>
      <c r="AI401" s="72">
        <v>44124</v>
      </c>
      <c r="AJ401" s="23" t="s">
        <v>270</v>
      </c>
      <c r="AK401" s="8" t="e">
        <f>VLOOKUP(A401,'[1]Externe MAJ Nov'!$A:$H,8,0)</f>
        <v>#N/A</v>
      </c>
      <c r="AL401" s="29" t="e">
        <f>VLOOKUP(A401,'[1]Externe MAJ Nov'!$A:$G,7,0)</f>
        <v>#N/A</v>
      </c>
      <c r="AM401" s="29" t="s">
        <v>493</v>
      </c>
      <c r="AN401" s="29" t="s">
        <v>27</v>
      </c>
      <c r="AO401" s="58">
        <v>44124</v>
      </c>
      <c r="AP401" s="29" t="e">
        <f>VLOOKUP(A401,'[2]External Scan 02_21'!$B:$J,9,0)</f>
        <v>#N/A</v>
      </c>
      <c r="AQ401" s="29" t="s">
        <v>331</v>
      </c>
      <c r="AR401" s="21"/>
      <c r="AS401" s="21" t="str">
        <f>VLOOKUP(AE401,'ref statu'!A:B,2,0)</f>
        <v>Fixed</v>
      </c>
      <c r="AT401" s="8" t="e">
        <f>VLOOKUP(A401,chk!A:B,2,0)</f>
        <v>#N/A</v>
      </c>
      <c r="AU401" s="29" t="e">
        <f>VLOOKUP(A401,checker!A:B,2,0)</f>
        <v>#N/A</v>
      </c>
      <c r="AV401" s="29" t="e">
        <f>VLOOKUP(A401,checker!B:C,2,0)</f>
        <v>#N/A</v>
      </c>
    </row>
    <row r="402" spans="1:48" x14ac:dyDescent="0.3">
      <c r="A402" s="29" t="str">
        <f t="shared" si="6"/>
        <v>96.692.66.656/443/ssl-cve-2011-3389-beast</v>
      </c>
      <c r="B402" s="29" t="s">
        <v>3001</v>
      </c>
      <c r="C402" s="29" t="s">
        <v>328</v>
      </c>
      <c r="D402" s="148" t="s">
        <v>2977</v>
      </c>
      <c r="E402" s="8" t="s">
        <v>307</v>
      </c>
      <c r="F402" s="29" t="s">
        <v>329</v>
      </c>
      <c r="G402" s="21" t="s">
        <v>330</v>
      </c>
      <c r="H402" s="29" t="s">
        <v>256</v>
      </c>
      <c r="I402" s="8" t="s">
        <v>257</v>
      </c>
      <c r="J402" s="8">
        <v>443</v>
      </c>
      <c r="K402" s="29" t="s">
        <v>290</v>
      </c>
      <c r="L402" s="29" t="s">
        <v>291</v>
      </c>
      <c r="M402" s="9">
        <v>4</v>
      </c>
      <c r="N402" s="9" t="s">
        <v>29</v>
      </c>
      <c r="O402" s="29" t="s">
        <v>105</v>
      </c>
      <c r="P402" s="29" t="s">
        <v>106</v>
      </c>
      <c r="Q402" s="29" t="s">
        <v>107</v>
      </c>
      <c r="R402" s="29" t="s">
        <v>108</v>
      </c>
      <c r="S402" s="29" t="s">
        <v>296</v>
      </c>
      <c r="T402" s="29" t="s">
        <v>109</v>
      </c>
      <c r="U402" s="29" t="s">
        <v>110</v>
      </c>
      <c r="V402" s="29" t="s">
        <v>297</v>
      </c>
      <c r="W402" s="57">
        <v>40792</v>
      </c>
      <c r="X402" s="8" t="s">
        <v>36</v>
      </c>
      <c r="Y402" s="8">
        <v>0</v>
      </c>
      <c r="Z402" s="8" t="s">
        <v>31</v>
      </c>
      <c r="AA402" s="8" t="s">
        <v>31</v>
      </c>
      <c r="AB402" s="8" t="s">
        <v>260</v>
      </c>
      <c r="AC402" s="29"/>
      <c r="AD402" s="29"/>
      <c r="AE402" s="95" t="s">
        <v>28</v>
      </c>
      <c r="AF402" s="22"/>
      <c r="AG402" s="30">
        <v>44256</v>
      </c>
      <c r="AH402" s="67"/>
      <c r="AI402" s="72">
        <v>44124</v>
      </c>
      <c r="AJ402" s="23" t="s">
        <v>270</v>
      </c>
      <c r="AK402" s="8" t="e">
        <f>VLOOKUP(A402,'[1]Externe MAJ Nov'!$A:$H,8,0)</f>
        <v>#N/A</v>
      </c>
      <c r="AL402" s="29" t="e">
        <f>VLOOKUP(A402,'[1]Externe MAJ Nov'!$A:$G,7,0)</f>
        <v>#N/A</v>
      </c>
      <c r="AM402" s="29" t="s">
        <v>493</v>
      </c>
      <c r="AN402" s="29" t="s">
        <v>27</v>
      </c>
      <c r="AO402" s="58">
        <v>44124</v>
      </c>
      <c r="AP402" s="29" t="e">
        <f>VLOOKUP(A402,'[2]External Scan 02_21'!$B:$J,9,0)</f>
        <v>#N/A</v>
      </c>
      <c r="AQ402" s="29" t="s">
        <v>331</v>
      </c>
      <c r="AR402" s="21"/>
      <c r="AS402" s="21" t="str">
        <f>VLOOKUP(AE402,'ref statu'!A:B,2,0)</f>
        <v>Fixed</v>
      </c>
      <c r="AT402" s="8" t="e">
        <f>VLOOKUP(A402,chk!A:B,2,0)</f>
        <v>#N/A</v>
      </c>
      <c r="AU402" s="29" t="e">
        <f>VLOOKUP(A402,checker!A:B,2,0)</f>
        <v>#N/A</v>
      </c>
      <c r="AV402" s="29" t="e">
        <f>VLOOKUP(A402,checker!B:C,2,0)</f>
        <v>#N/A</v>
      </c>
    </row>
    <row r="403" spans="1:48" x14ac:dyDescent="0.3">
      <c r="A403" s="29" t="str">
        <f t="shared" si="6"/>
        <v>96.692.66.656/443/ssl-cve-2016-2183-sweet32</v>
      </c>
      <c r="B403" s="29" t="s">
        <v>3001</v>
      </c>
      <c r="C403" s="29" t="s">
        <v>328</v>
      </c>
      <c r="D403" s="148" t="s">
        <v>2977</v>
      </c>
      <c r="E403" s="8" t="s">
        <v>307</v>
      </c>
      <c r="F403" s="29" t="s">
        <v>329</v>
      </c>
      <c r="G403" s="21" t="s">
        <v>330</v>
      </c>
      <c r="H403" s="29" t="s">
        <v>256</v>
      </c>
      <c r="I403" s="8" t="s">
        <v>257</v>
      </c>
      <c r="J403" s="8">
        <v>443</v>
      </c>
      <c r="K403" s="29" t="s">
        <v>290</v>
      </c>
      <c r="L403" s="29" t="s">
        <v>291</v>
      </c>
      <c r="M403" s="9">
        <v>5</v>
      </c>
      <c r="N403" s="9" t="s">
        <v>29</v>
      </c>
      <c r="O403" s="29" t="s">
        <v>111</v>
      </c>
      <c r="P403" s="29" t="s">
        <v>112</v>
      </c>
      <c r="Q403" s="29" t="s">
        <v>113</v>
      </c>
      <c r="R403" s="29" t="s">
        <v>103</v>
      </c>
      <c r="S403" s="29" t="s">
        <v>292</v>
      </c>
      <c r="T403" s="29" t="s">
        <v>114</v>
      </c>
      <c r="U403" s="29" t="s">
        <v>71</v>
      </c>
      <c r="V403" s="29" t="s">
        <v>278</v>
      </c>
      <c r="W403" s="57">
        <v>42606</v>
      </c>
      <c r="X403" s="8" t="s">
        <v>36</v>
      </c>
      <c r="Y403" s="8">
        <v>1</v>
      </c>
      <c r="Z403" s="8" t="s">
        <v>279</v>
      </c>
      <c r="AA403" s="8" t="s">
        <v>280</v>
      </c>
      <c r="AB403" s="8" t="s">
        <v>260</v>
      </c>
      <c r="AC403" s="29"/>
      <c r="AD403" s="29"/>
      <c r="AE403" s="95" t="s">
        <v>28</v>
      </c>
      <c r="AF403" s="22"/>
      <c r="AG403" s="30">
        <v>44256</v>
      </c>
      <c r="AH403" s="67"/>
      <c r="AI403" s="72">
        <v>44124</v>
      </c>
      <c r="AJ403" s="23" t="s">
        <v>270</v>
      </c>
      <c r="AK403" s="8" t="e">
        <f>VLOOKUP(A403,'[1]Externe MAJ Nov'!$A:$H,8,0)</f>
        <v>#N/A</v>
      </c>
      <c r="AL403" s="29" t="e">
        <f>VLOOKUP(A403,'[1]Externe MAJ Nov'!$A:$G,7,0)</f>
        <v>#N/A</v>
      </c>
      <c r="AM403" s="29" t="s">
        <v>493</v>
      </c>
      <c r="AN403" s="29" t="s">
        <v>27</v>
      </c>
      <c r="AO403" s="58">
        <v>44124</v>
      </c>
      <c r="AP403" s="29" t="e">
        <f>VLOOKUP(A403,'[2]External Scan 02_21'!$B:$J,9,0)</f>
        <v>#N/A</v>
      </c>
      <c r="AQ403" s="29" t="s">
        <v>331</v>
      </c>
      <c r="AR403" s="21"/>
      <c r="AS403" s="21" t="str">
        <f>VLOOKUP(AE403,'ref statu'!A:B,2,0)</f>
        <v>Fixed</v>
      </c>
      <c r="AT403" s="8" t="e">
        <f>VLOOKUP(A403,chk!A:B,2,0)</f>
        <v>#N/A</v>
      </c>
      <c r="AU403" s="29" t="e">
        <f>VLOOKUP(A403,checker!A:B,2,0)</f>
        <v>#N/A</v>
      </c>
      <c r="AV403" s="29" t="e">
        <f>VLOOKUP(A403,checker!B:C,2,0)</f>
        <v>#N/A</v>
      </c>
    </row>
    <row r="404" spans="1:48" x14ac:dyDescent="0.3">
      <c r="A404" s="29" t="str">
        <f t="shared" si="6"/>
        <v>96.692.66.656/443/ssl-static-key-ciphers</v>
      </c>
      <c r="B404" s="29" t="s">
        <v>3001</v>
      </c>
      <c r="C404" s="29" t="s">
        <v>328</v>
      </c>
      <c r="D404" s="148" t="s">
        <v>2977</v>
      </c>
      <c r="E404" s="8" t="s">
        <v>307</v>
      </c>
      <c r="F404" s="29" t="s">
        <v>329</v>
      </c>
      <c r="G404" s="21" t="s">
        <v>330</v>
      </c>
      <c r="H404" s="29" t="s">
        <v>256</v>
      </c>
      <c r="I404" s="8" t="s">
        <v>257</v>
      </c>
      <c r="J404" s="8">
        <v>443</v>
      </c>
      <c r="K404" s="29" t="s">
        <v>290</v>
      </c>
      <c r="L404" s="29" t="s">
        <v>291</v>
      </c>
      <c r="M404" s="9">
        <v>3</v>
      </c>
      <c r="N404" s="9" t="s">
        <v>42</v>
      </c>
      <c r="O404" s="29" t="s">
        <v>120</v>
      </c>
      <c r="P404" s="29" t="s">
        <v>121</v>
      </c>
      <c r="Q404" s="29" t="s">
        <v>122</v>
      </c>
      <c r="R404" s="29" t="s">
        <v>123</v>
      </c>
      <c r="S404" s="29" t="s">
        <v>295</v>
      </c>
      <c r="T404" s="29" t="s">
        <v>124</v>
      </c>
      <c r="U404" s="29" t="s">
        <v>31</v>
      </c>
      <c r="V404" s="29" t="s">
        <v>31</v>
      </c>
      <c r="W404" s="57">
        <v>42036</v>
      </c>
      <c r="X404" s="8" t="s">
        <v>36</v>
      </c>
      <c r="Y404" s="8">
        <v>0</v>
      </c>
      <c r="Z404" s="8" t="s">
        <v>31</v>
      </c>
      <c r="AA404" s="8" t="s">
        <v>31</v>
      </c>
      <c r="AB404" s="8" t="s">
        <v>260</v>
      </c>
      <c r="AC404" s="29"/>
      <c r="AD404" s="29"/>
      <c r="AE404" s="95" t="s">
        <v>28</v>
      </c>
      <c r="AF404" s="22"/>
      <c r="AG404" s="30">
        <v>44256</v>
      </c>
      <c r="AH404" s="67"/>
      <c r="AI404" s="72">
        <v>44124</v>
      </c>
      <c r="AJ404" s="23" t="s">
        <v>270</v>
      </c>
      <c r="AK404" s="8" t="e">
        <f>VLOOKUP(A404,'[1]Externe MAJ Nov'!$A:$H,8,0)</f>
        <v>#N/A</v>
      </c>
      <c r="AL404" s="29" t="e">
        <f>VLOOKUP(A404,'[1]Externe MAJ Nov'!$A:$G,7,0)</f>
        <v>#N/A</v>
      </c>
      <c r="AM404" s="29" t="s">
        <v>493</v>
      </c>
      <c r="AN404" s="29" t="s">
        <v>27</v>
      </c>
      <c r="AO404" s="58">
        <v>44124</v>
      </c>
      <c r="AP404" s="29" t="e">
        <f>VLOOKUP(A404,'[2]External Scan 02_21'!$B:$J,9,0)</f>
        <v>#N/A</v>
      </c>
      <c r="AQ404" s="29" t="s">
        <v>331</v>
      </c>
      <c r="AR404" s="21"/>
      <c r="AS404" s="21" t="str">
        <f>VLOOKUP(AE404,'ref statu'!A:B,2,0)</f>
        <v>Fixed</v>
      </c>
      <c r="AT404" s="8" t="e">
        <f>VLOOKUP(A404,chk!A:B,2,0)</f>
        <v>#N/A</v>
      </c>
      <c r="AU404" s="29" t="e">
        <f>VLOOKUP(A404,checker!A:B,2,0)</f>
        <v>#N/A</v>
      </c>
      <c r="AV404" s="29" t="e">
        <f>VLOOKUP(A404,checker!B:C,2,0)</f>
        <v>#N/A</v>
      </c>
    </row>
    <row r="405" spans="1:48" x14ac:dyDescent="0.3">
      <c r="A405" s="29" t="str">
        <f t="shared" si="6"/>
        <v>96.692.66.656/443/tlsv1_0-enabled</v>
      </c>
      <c r="B405" s="29" t="s">
        <v>3001</v>
      </c>
      <c r="C405" s="29" t="s">
        <v>328</v>
      </c>
      <c r="D405" s="148" t="s">
        <v>2977</v>
      </c>
      <c r="E405" s="8" t="s">
        <v>307</v>
      </c>
      <c r="F405" s="29" t="s">
        <v>329</v>
      </c>
      <c r="G405" s="21" t="s">
        <v>330</v>
      </c>
      <c r="H405" s="29" t="s">
        <v>256</v>
      </c>
      <c r="I405" s="8" t="s">
        <v>257</v>
      </c>
      <c r="J405" s="8">
        <v>443</v>
      </c>
      <c r="K405" s="29" t="s">
        <v>290</v>
      </c>
      <c r="L405" s="29" t="s">
        <v>291</v>
      </c>
      <c r="M405" s="9">
        <v>4</v>
      </c>
      <c r="N405" s="9" t="s">
        <v>29</v>
      </c>
      <c r="O405" s="29" t="s">
        <v>136</v>
      </c>
      <c r="P405" s="29" t="s">
        <v>137</v>
      </c>
      <c r="Q405" s="29" t="s">
        <v>138</v>
      </c>
      <c r="R405" s="29" t="s">
        <v>139</v>
      </c>
      <c r="S405" s="29" t="s">
        <v>140</v>
      </c>
      <c r="T405" s="29" t="s">
        <v>141</v>
      </c>
      <c r="U405" s="29" t="s">
        <v>31</v>
      </c>
      <c r="V405" s="29" t="s">
        <v>31</v>
      </c>
      <c r="W405" s="57">
        <v>41926</v>
      </c>
      <c r="X405" s="8" t="s">
        <v>36</v>
      </c>
      <c r="Y405" s="8">
        <v>0</v>
      </c>
      <c r="Z405" s="8" t="s">
        <v>31</v>
      </c>
      <c r="AA405" s="8" t="s">
        <v>31</v>
      </c>
      <c r="AB405" s="8" t="s">
        <v>260</v>
      </c>
      <c r="AC405" s="29"/>
      <c r="AD405" s="29"/>
      <c r="AE405" s="95" t="s">
        <v>28</v>
      </c>
      <c r="AF405" s="22"/>
      <c r="AG405" s="30">
        <v>44256</v>
      </c>
      <c r="AH405" s="67"/>
      <c r="AI405" s="72">
        <v>44124</v>
      </c>
      <c r="AJ405" s="23" t="s">
        <v>270</v>
      </c>
      <c r="AK405" s="8" t="e">
        <f>VLOOKUP(A405,'[1]Externe MAJ Nov'!$A:$H,8,0)</f>
        <v>#N/A</v>
      </c>
      <c r="AL405" s="29" t="e">
        <f>VLOOKUP(A405,'[1]Externe MAJ Nov'!$A:$G,7,0)</f>
        <v>#N/A</v>
      </c>
      <c r="AM405" s="29" t="s">
        <v>493</v>
      </c>
      <c r="AN405" s="29" t="s">
        <v>27</v>
      </c>
      <c r="AO405" s="58">
        <v>44124</v>
      </c>
      <c r="AP405" s="29" t="e">
        <f>VLOOKUP(A405,'[2]External Scan 02_21'!$B:$J,9,0)</f>
        <v>#N/A</v>
      </c>
      <c r="AQ405" s="29" t="s">
        <v>331</v>
      </c>
      <c r="AR405" s="21"/>
      <c r="AS405" s="21" t="str">
        <f>VLOOKUP(AE405,'ref statu'!A:B,2,0)</f>
        <v>Fixed</v>
      </c>
      <c r="AT405" s="8" t="e">
        <f>VLOOKUP(A405,chk!A:B,2,0)</f>
        <v>#N/A</v>
      </c>
      <c r="AU405" s="29" t="e">
        <f>VLOOKUP(A405,checker!A:B,2,0)</f>
        <v>#N/A</v>
      </c>
      <c r="AV405" s="29" t="e">
        <f>VLOOKUP(A405,checker!B:C,2,0)</f>
        <v>#N/A</v>
      </c>
    </row>
    <row r="406" spans="1:48" x14ac:dyDescent="0.3">
      <c r="A406" s="29" t="str">
        <f t="shared" si="6"/>
        <v>96.692.66.656/443/tlsv1_1-enabled</v>
      </c>
      <c r="B406" s="29" t="s">
        <v>3001</v>
      </c>
      <c r="C406" s="29" t="s">
        <v>328</v>
      </c>
      <c r="D406" s="148" t="s">
        <v>2977</v>
      </c>
      <c r="E406" s="8" t="s">
        <v>307</v>
      </c>
      <c r="F406" s="29" t="s">
        <v>329</v>
      </c>
      <c r="G406" s="21" t="s">
        <v>330</v>
      </c>
      <c r="H406" s="29" t="s">
        <v>256</v>
      </c>
      <c r="I406" s="8" t="s">
        <v>257</v>
      </c>
      <c r="J406" s="8">
        <v>443</v>
      </c>
      <c r="K406" s="29" t="s">
        <v>290</v>
      </c>
      <c r="L406" s="29" t="s">
        <v>291</v>
      </c>
      <c r="M406" s="9">
        <v>3</v>
      </c>
      <c r="N406" s="9" t="s">
        <v>42</v>
      </c>
      <c r="O406" s="29" t="s">
        <v>142</v>
      </c>
      <c r="P406" s="29" t="s">
        <v>143</v>
      </c>
      <c r="Q406" s="29" t="s">
        <v>138</v>
      </c>
      <c r="R406" s="29" t="s">
        <v>139</v>
      </c>
      <c r="S406" s="29" t="s">
        <v>144</v>
      </c>
      <c r="T406" s="29" t="s">
        <v>141</v>
      </c>
      <c r="U406" s="29" t="s">
        <v>31</v>
      </c>
      <c r="V406" s="29" t="s">
        <v>31</v>
      </c>
      <c r="W406" s="57">
        <v>41926</v>
      </c>
      <c r="X406" s="8" t="s">
        <v>36</v>
      </c>
      <c r="Y406" s="8">
        <v>0</v>
      </c>
      <c r="Z406" s="8" t="s">
        <v>31</v>
      </c>
      <c r="AA406" s="8" t="s">
        <v>31</v>
      </c>
      <c r="AB406" s="8" t="s">
        <v>260</v>
      </c>
      <c r="AC406" s="29"/>
      <c r="AD406" s="29"/>
      <c r="AE406" s="95" t="s">
        <v>28</v>
      </c>
      <c r="AF406" s="22"/>
      <c r="AG406" s="30">
        <v>44256</v>
      </c>
      <c r="AH406" s="67"/>
      <c r="AI406" s="72">
        <v>44124</v>
      </c>
      <c r="AJ406" s="23" t="s">
        <v>270</v>
      </c>
      <c r="AK406" s="8" t="e">
        <f>VLOOKUP(A406,'[1]Externe MAJ Nov'!$A:$H,8,0)</f>
        <v>#N/A</v>
      </c>
      <c r="AL406" s="29" t="e">
        <f>VLOOKUP(A406,'[1]Externe MAJ Nov'!$A:$G,7,0)</f>
        <v>#N/A</v>
      </c>
      <c r="AM406" s="29" t="s">
        <v>493</v>
      </c>
      <c r="AN406" s="29" t="s">
        <v>27</v>
      </c>
      <c r="AO406" s="58">
        <v>44124</v>
      </c>
      <c r="AP406" s="29" t="e">
        <f>VLOOKUP(A406,'[2]External Scan 02_21'!$B:$J,9,0)</f>
        <v>#N/A</v>
      </c>
      <c r="AQ406" s="29" t="s">
        <v>331</v>
      </c>
      <c r="AR406" s="21"/>
      <c r="AS406" s="21" t="str">
        <f>VLOOKUP(AE406,'ref statu'!A:B,2,0)</f>
        <v>Fixed</v>
      </c>
      <c r="AT406" s="8" t="e">
        <f>VLOOKUP(A406,chk!A:B,2,0)</f>
        <v>#N/A</v>
      </c>
      <c r="AU406" s="29" t="e">
        <f>VLOOKUP(A406,checker!A:B,2,0)</f>
        <v>#N/A</v>
      </c>
      <c r="AV406" s="29" t="e">
        <f>VLOOKUP(A406,checker!B:C,2,0)</f>
        <v>#N/A</v>
      </c>
    </row>
    <row r="407" spans="1:48" x14ac:dyDescent="0.3">
      <c r="A407" s="29" t="str">
        <f t="shared" si="6"/>
        <v>96.692.66.654/0/drupal-cve-2020-11022</v>
      </c>
      <c r="B407" s="29" t="s">
        <v>3002</v>
      </c>
      <c r="C407" s="29" t="s">
        <v>361</v>
      </c>
      <c r="D407" s="148" t="s">
        <v>2985</v>
      </c>
      <c r="E407" s="8" t="s">
        <v>362</v>
      </c>
      <c r="F407" s="29"/>
      <c r="G407" s="21" t="s">
        <v>363</v>
      </c>
      <c r="H407" s="29" t="s">
        <v>256</v>
      </c>
      <c r="I407" s="8" t="s">
        <v>257</v>
      </c>
      <c r="J407" s="8">
        <v>0</v>
      </c>
      <c r="K407" s="29" t="s">
        <v>258</v>
      </c>
      <c r="L407" s="29" t="s">
        <v>31</v>
      </c>
      <c r="M407" s="9">
        <v>4</v>
      </c>
      <c r="N407" s="9" t="s">
        <v>29</v>
      </c>
      <c r="O407" s="29" t="s">
        <v>349</v>
      </c>
      <c r="P407" s="29" t="s">
        <v>350</v>
      </c>
      <c r="Q407" s="29" t="s">
        <v>351</v>
      </c>
      <c r="R407" s="29" t="s">
        <v>352</v>
      </c>
      <c r="S407" s="29" t="s">
        <v>336</v>
      </c>
      <c r="T407" s="29" t="s">
        <v>353</v>
      </c>
      <c r="U407" s="29" t="s">
        <v>354</v>
      </c>
      <c r="V407" s="29" t="s">
        <v>355</v>
      </c>
      <c r="W407" s="57">
        <v>43950</v>
      </c>
      <c r="X407" s="8" t="s">
        <v>30</v>
      </c>
      <c r="Y407" s="8">
        <v>0</v>
      </c>
      <c r="Z407" s="8" t="s">
        <v>31</v>
      </c>
      <c r="AA407" s="8" t="s">
        <v>31</v>
      </c>
      <c r="AB407" s="8" t="s">
        <v>366</v>
      </c>
      <c r="AC407" s="29"/>
      <c r="AD407" s="29"/>
      <c r="AE407" s="95" t="s">
        <v>28</v>
      </c>
      <c r="AF407" s="22"/>
      <c r="AG407" s="30">
        <v>44256</v>
      </c>
      <c r="AH407" s="66"/>
      <c r="AI407" s="72">
        <v>44124</v>
      </c>
      <c r="AJ407" s="23" t="s">
        <v>270</v>
      </c>
      <c r="AK407" s="8" t="e">
        <f>VLOOKUP(A407,'[1]Externe MAJ Nov'!$A:$H,8,0)</f>
        <v>#N/A</v>
      </c>
      <c r="AL407" s="29" t="e">
        <f>VLOOKUP(A407,'[1]Externe MAJ Nov'!$A:$G,7,0)</f>
        <v>#N/A</v>
      </c>
      <c r="AM407" s="29" t="s">
        <v>95</v>
      </c>
      <c r="AN407" s="29" t="s">
        <v>27</v>
      </c>
      <c r="AO407" s="58">
        <v>44124</v>
      </c>
      <c r="AP407" s="29" t="e">
        <f>VLOOKUP(A407,'[2]External Scan 02_21'!$B:$J,9,0)</f>
        <v>#N/A</v>
      </c>
      <c r="AQ407" s="29" t="s">
        <v>522</v>
      </c>
      <c r="AR407" s="21"/>
      <c r="AS407" s="21" t="str">
        <f>VLOOKUP(AE407,'ref statu'!A:B,2,0)</f>
        <v>Fixed</v>
      </c>
      <c r="AT407" s="8" t="e">
        <f>VLOOKUP(A407,chk!A:B,2,0)</f>
        <v>#N/A</v>
      </c>
      <c r="AU407" s="29" t="e">
        <f>VLOOKUP(A407,checker!A:B,2,0)</f>
        <v>#N/A</v>
      </c>
      <c r="AV407" s="29" t="e">
        <f>VLOOKUP(A407,checker!B:C,2,0)</f>
        <v>#N/A</v>
      </c>
    </row>
    <row r="408" spans="1:48" x14ac:dyDescent="0.3">
      <c r="A408" s="29" t="str">
        <f t="shared" si="6"/>
        <v>96.692.66.654/0/drupal-cve-2020-11023</v>
      </c>
      <c r="B408" s="29" t="s">
        <v>3002</v>
      </c>
      <c r="C408" s="29" t="s">
        <v>361</v>
      </c>
      <c r="D408" s="148" t="s">
        <v>2985</v>
      </c>
      <c r="E408" s="8" t="s">
        <v>362</v>
      </c>
      <c r="F408" s="29"/>
      <c r="G408" s="21" t="s">
        <v>363</v>
      </c>
      <c r="H408" s="29" t="s">
        <v>256</v>
      </c>
      <c r="I408" s="8" t="s">
        <v>257</v>
      </c>
      <c r="J408" s="8">
        <v>0</v>
      </c>
      <c r="K408" s="29" t="s">
        <v>258</v>
      </c>
      <c r="L408" s="29" t="s">
        <v>31</v>
      </c>
      <c r="M408" s="9">
        <v>4</v>
      </c>
      <c r="N408" s="9" t="s">
        <v>29</v>
      </c>
      <c r="O408" s="29" t="s">
        <v>356</v>
      </c>
      <c r="P408" s="29" t="s">
        <v>357</v>
      </c>
      <c r="Q408" s="29" t="s">
        <v>358</v>
      </c>
      <c r="R408" s="29" t="s">
        <v>352</v>
      </c>
      <c r="S408" s="29" t="s">
        <v>336</v>
      </c>
      <c r="T408" s="29" t="s">
        <v>353</v>
      </c>
      <c r="U408" s="29" t="s">
        <v>359</v>
      </c>
      <c r="V408" s="29" t="s">
        <v>360</v>
      </c>
      <c r="W408" s="57">
        <v>43950</v>
      </c>
      <c r="X408" s="8" t="s">
        <v>30</v>
      </c>
      <c r="Y408" s="8">
        <v>0</v>
      </c>
      <c r="Z408" s="8" t="s">
        <v>31</v>
      </c>
      <c r="AA408" s="8" t="s">
        <v>31</v>
      </c>
      <c r="AB408" s="8" t="s">
        <v>366</v>
      </c>
      <c r="AC408" s="29"/>
      <c r="AD408" s="29"/>
      <c r="AE408" s="95" t="s">
        <v>28</v>
      </c>
      <c r="AF408" s="22"/>
      <c r="AG408" s="30">
        <v>44256</v>
      </c>
      <c r="AH408" s="66"/>
      <c r="AI408" s="72">
        <v>44124</v>
      </c>
      <c r="AJ408" s="23" t="s">
        <v>270</v>
      </c>
      <c r="AK408" s="8" t="e">
        <f>VLOOKUP(A408,'[1]Externe MAJ Nov'!$A:$H,8,0)</f>
        <v>#N/A</v>
      </c>
      <c r="AL408" s="29" t="e">
        <f>VLOOKUP(A408,'[1]Externe MAJ Nov'!$A:$G,7,0)</f>
        <v>#N/A</v>
      </c>
      <c r="AM408" s="29" t="s">
        <v>95</v>
      </c>
      <c r="AN408" s="29" t="s">
        <v>27</v>
      </c>
      <c r="AO408" s="58">
        <v>44124</v>
      </c>
      <c r="AP408" s="29" t="e">
        <f>VLOOKUP(A408,'[2]External Scan 02_21'!$B:$J,9,0)</f>
        <v>#N/A</v>
      </c>
      <c r="AQ408" s="29" t="s">
        <v>522</v>
      </c>
      <c r="AR408" s="21"/>
      <c r="AS408" s="21" t="str">
        <f>VLOOKUP(AE408,'ref statu'!A:B,2,0)</f>
        <v>Fixed</v>
      </c>
      <c r="AT408" s="8" t="e">
        <f>VLOOKUP(A408,chk!A:B,2,0)</f>
        <v>#N/A</v>
      </c>
      <c r="AU408" s="29" t="e">
        <f>VLOOKUP(A408,checker!A:B,2,0)</f>
        <v>#N/A</v>
      </c>
      <c r="AV408" s="29" t="e">
        <f>VLOOKUP(A408,checker!B:C,2,0)</f>
        <v>#N/A</v>
      </c>
    </row>
    <row r="409" spans="1:48" x14ac:dyDescent="0.3">
      <c r="A409" s="29" t="str">
        <f t="shared" si="6"/>
        <v>96.692.66.654/0/drupal-cve-2020-13663</v>
      </c>
      <c r="B409" s="29" t="s">
        <v>3002</v>
      </c>
      <c r="C409" s="29" t="s">
        <v>361</v>
      </c>
      <c r="D409" s="148" t="s">
        <v>2985</v>
      </c>
      <c r="E409" s="8" t="s">
        <v>362</v>
      </c>
      <c r="F409" s="29"/>
      <c r="G409" s="21" t="s">
        <v>363</v>
      </c>
      <c r="H409" s="29" t="s">
        <v>256</v>
      </c>
      <c r="I409" s="8" t="s">
        <v>257</v>
      </c>
      <c r="J409" s="8">
        <v>0</v>
      </c>
      <c r="K409" s="29" t="s">
        <v>258</v>
      </c>
      <c r="L409" s="29" t="s">
        <v>31</v>
      </c>
      <c r="M409" s="9">
        <v>4</v>
      </c>
      <c r="N409" s="9" t="s">
        <v>29</v>
      </c>
      <c r="O409" s="29" t="s">
        <v>341</v>
      </c>
      <c r="P409" s="29" t="s">
        <v>342</v>
      </c>
      <c r="Q409" s="29" t="s">
        <v>343</v>
      </c>
      <c r="R409" s="29" t="s">
        <v>344</v>
      </c>
      <c r="S409" s="29" t="s">
        <v>336</v>
      </c>
      <c r="T409" s="29" t="s">
        <v>345</v>
      </c>
      <c r="U409" s="29" t="s">
        <v>346</v>
      </c>
      <c r="V409" s="29" t="s">
        <v>347</v>
      </c>
      <c r="W409" s="57">
        <v>44000</v>
      </c>
      <c r="X409" s="8" t="s">
        <v>30</v>
      </c>
      <c r="Y409" s="8">
        <v>0</v>
      </c>
      <c r="Z409" s="8" t="s">
        <v>31</v>
      </c>
      <c r="AA409" s="8" t="s">
        <v>31</v>
      </c>
      <c r="AB409" s="8" t="s">
        <v>365</v>
      </c>
      <c r="AC409" s="29"/>
      <c r="AD409" s="29"/>
      <c r="AE409" s="95" t="s">
        <v>28</v>
      </c>
      <c r="AF409" s="22"/>
      <c r="AG409" s="30">
        <v>44256</v>
      </c>
      <c r="AH409" s="66"/>
      <c r="AI409" s="72">
        <v>44124</v>
      </c>
      <c r="AJ409" s="23" t="s">
        <v>270</v>
      </c>
      <c r="AK409" s="8" t="e">
        <f>VLOOKUP(A409,'[1]Externe MAJ Nov'!$A:$H,8,0)</f>
        <v>#N/A</v>
      </c>
      <c r="AL409" s="29" t="e">
        <f>VLOOKUP(A409,'[1]Externe MAJ Nov'!$A:$G,7,0)</f>
        <v>#N/A</v>
      </c>
      <c r="AM409" s="29" t="s">
        <v>95</v>
      </c>
      <c r="AN409" s="29" t="s">
        <v>27</v>
      </c>
      <c r="AO409" s="58">
        <v>44124</v>
      </c>
      <c r="AP409" s="29" t="e">
        <f>VLOOKUP(A409,'[2]External Scan 02_21'!$B:$J,9,0)</f>
        <v>#N/A</v>
      </c>
      <c r="AQ409" s="29" t="s">
        <v>522</v>
      </c>
      <c r="AR409" s="21"/>
      <c r="AS409" s="21" t="str">
        <f>VLOOKUP(AE409,'ref statu'!A:B,2,0)</f>
        <v>Fixed</v>
      </c>
      <c r="AT409" s="8" t="e">
        <f>VLOOKUP(A409,chk!A:B,2,0)</f>
        <v>#N/A</v>
      </c>
      <c r="AU409" s="29" t="e">
        <f>VLOOKUP(A409,checker!A:B,2,0)</f>
        <v>#N/A</v>
      </c>
      <c r="AV409" s="29" t="e">
        <f>VLOOKUP(A409,checker!B:C,2,0)</f>
        <v>#N/A</v>
      </c>
    </row>
    <row r="410" spans="1:48" x14ac:dyDescent="0.3">
      <c r="A410" s="29" t="str">
        <f t="shared" si="6"/>
        <v>96.692.66.654/0/drupal-cve-2020-13666</v>
      </c>
      <c r="B410" s="29" t="s">
        <v>3002</v>
      </c>
      <c r="C410" s="29" t="s">
        <v>361</v>
      </c>
      <c r="D410" s="148" t="s">
        <v>2985</v>
      </c>
      <c r="E410" s="8" t="s">
        <v>362</v>
      </c>
      <c r="F410" s="29"/>
      <c r="G410" s="21" t="s">
        <v>363</v>
      </c>
      <c r="H410" s="29" t="s">
        <v>256</v>
      </c>
      <c r="I410" s="8" t="s">
        <v>257</v>
      </c>
      <c r="J410" s="8">
        <v>0</v>
      </c>
      <c r="K410" s="29" t="s">
        <v>258</v>
      </c>
      <c r="L410" s="29" t="s">
        <v>31</v>
      </c>
      <c r="M410" s="9">
        <v>4</v>
      </c>
      <c r="N410" s="9" t="s">
        <v>29</v>
      </c>
      <c r="O410" s="29" t="s">
        <v>332</v>
      </c>
      <c r="P410" s="29" t="s">
        <v>333</v>
      </c>
      <c r="Q410" s="29" t="s">
        <v>334</v>
      </c>
      <c r="R410" s="29" t="s">
        <v>335</v>
      </c>
      <c r="S410" s="29" t="s">
        <v>336</v>
      </c>
      <c r="T410" s="29" t="s">
        <v>337</v>
      </c>
      <c r="U410" s="29" t="s">
        <v>338</v>
      </c>
      <c r="V410" s="29" t="s">
        <v>339</v>
      </c>
      <c r="W410" s="57">
        <v>44091</v>
      </c>
      <c r="X410" s="8" t="s">
        <v>30</v>
      </c>
      <c r="Y410" s="8">
        <v>0</v>
      </c>
      <c r="Z410" s="8" t="s">
        <v>31</v>
      </c>
      <c r="AA410" s="8" t="s">
        <v>31</v>
      </c>
      <c r="AB410" s="8" t="s">
        <v>340</v>
      </c>
      <c r="AC410" s="29"/>
      <c r="AD410" s="29"/>
      <c r="AE410" s="95" t="s">
        <v>28</v>
      </c>
      <c r="AF410" s="22"/>
      <c r="AG410" s="30">
        <v>44256</v>
      </c>
      <c r="AH410" s="66"/>
      <c r="AI410" s="72">
        <v>44124</v>
      </c>
      <c r="AJ410" s="23" t="s">
        <v>270</v>
      </c>
      <c r="AK410" s="8" t="e">
        <f>VLOOKUP(A410,'[1]Externe MAJ Nov'!$A:$H,8,0)</f>
        <v>#N/A</v>
      </c>
      <c r="AL410" s="29" t="e">
        <f>VLOOKUP(A410,'[1]Externe MAJ Nov'!$A:$G,7,0)</f>
        <v>#N/A</v>
      </c>
      <c r="AM410" s="29" t="s">
        <v>95</v>
      </c>
      <c r="AN410" s="29" t="s">
        <v>27</v>
      </c>
      <c r="AO410" s="58">
        <v>44124</v>
      </c>
      <c r="AP410" s="29" t="e">
        <f>VLOOKUP(A410,'[2]External Scan 02_21'!$B:$J,9,0)</f>
        <v>#N/A</v>
      </c>
      <c r="AQ410" s="29" t="s">
        <v>522</v>
      </c>
      <c r="AR410" s="21"/>
      <c r="AS410" s="21" t="str">
        <f>VLOOKUP(AE410,'ref statu'!A:B,2,0)</f>
        <v>Fixed</v>
      </c>
      <c r="AT410" s="8" t="e">
        <f>VLOOKUP(A410,chk!A:B,2,0)</f>
        <v>#N/A</v>
      </c>
      <c r="AU410" s="29" t="e">
        <f>VLOOKUP(A410,checker!A:B,2,0)</f>
        <v>#N/A</v>
      </c>
      <c r="AV410" s="29" t="e">
        <f>VLOOKUP(A410,checker!B:C,2,0)</f>
        <v>#N/A</v>
      </c>
    </row>
    <row r="411" spans="1:48" x14ac:dyDescent="0.3">
      <c r="A411" s="29" t="str">
        <f t="shared" si="6"/>
        <v>96.692.66.654/0/drupal-cve-2020-13671</v>
      </c>
      <c r="B411" s="59" t="s">
        <v>3002</v>
      </c>
      <c r="C411" s="59" t="s">
        <v>361</v>
      </c>
      <c r="D411" s="149" t="s">
        <v>2985</v>
      </c>
      <c r="E411" s="31" t="s">
        <v>494</v>
      </c>
      <c r="F411" s="8" t="s">
        <v>27</v>
      </c>
      <c r="G411" s="32" t="s">
        <v>363</v>
      </c>
      <c r="H411" s="59" t="s">
        <v>256</v>
      </c>
      <c r="I411" s="31" t="s">
        <v>257</v>
      </c>
      <c r="J411" s="31">
        <v>0</v>
      </c>
      <c r="K411" s="59" t="s">
        <v>258</v>
      </c>
      <c r="L411" s="59" t="s">
        <v>31</v>
      </c>
      <c r="M411" s="9">
        <v>4</v>
      </c>
      <c r="N411" s="9" t="s">
        <v>29</v>
      </c>
      <c r="O411" s="59" t="s">
        <v>506</v>
      </c>
      <c r="P411" s="59" t="s">
        <v>507</v>
      </c>
      <c r="Q411" s="59" t="s">
        <v>508</v>
      </c>
      <c r="R411" s="59" t="s">
        <v>509</v>
      </c>
      <c r="S411" s="59" t="s">
        <v>336</v>
      </c>
      <c r="T411" s="59" t="s">
        <v>510</v>
      </c>
      <c r="U411" s="59" t="s">
        <v>511</v>
      </c>
      <c r="V411" s="59" t="s">
        <v>512</v>
      </c>
      <c r="W411" s="60">
        <v>44154</v>
      </c>
      <c r="X411" s="31" t="s">
        <v>30</v>
      </c>
      <c r="Y411" s="31">
        <v>0</v>
      </c>
      <c r="Z411" s="31" t="s">
        <v>31</v>
      </c>
      <c r="AA411" s="31" t="s">
        <v>31</v>
      </c>
      <c r="AB411" s="31" t="s">
        <v>340</v>
      </c>
      <c r="AC411" s="59"/>
      <c r="AD411" s="33"/>
      <c r="AE411" s="95" t="s">
        <v>28</v>
      </c>
      <c r="AF411" s="22"/>
      <c r="AG411" s="35">
        <v>44256</v>
      </c>
      <c r="AH411" s="32"/>
      <c r="AI411" s="72">
        <v>44155</v>
      </c>
      <c r="AJ411" s="23" t="s">
        <v>270</v>
      </c>
      <c r="AK411" s="8" t="e">
        <f>VLOOKUP(A411,'[1]Externe MAJ Nov'!$A:$H,8,0)</f>
        <v>#N/A</v>
      </c>
      <c r="AL411" s="29" t="e">
        <f>VLOOKUP(A411,'[1]Externe MAJ Nov'!$A:$G,7,0)</f>
        <v>#N/A</v>
      </c>
      <c r="AM411" s="59"/>
      <c r="AN411" s="59"/>
      <c r="AO411" s="58">
        <v>44155</v>
      </c>
      <c r="AP411" s="29" t="e">
        <f>VLOOKUP(A411,'[2]External Scan 02_21'!$B:$J,9,0)</f>
        <v>#N/A</v>
      </c>
      <c r="AQ411" s="29" t="s">
        <v>522</v>
      </c>
      <c r="AR411" s="21"/>
      <c r="AS411" s="21" t="str">
        <f>VLOOKUP(AE411,'ref statu'!A:B,2,0)</f>
        <v>Fixed</v>
      </c>
      <c r="AT411" s="8" t="e">
        <f>VLOOKUP(A411,chk!A:B,2,0)</f>
        <v>#N/A</v>
      </c>
      <c r="AU411" s="29" t="e">
        <f>VLOOKUP(A411,checker!A:B,2,0)</f>
        <v>#N/A</v>
      </c>
      <c r="AV411" s="29" t="e">
        <f>VLOOKUP(A411,checker!B:C,2,0)</f>
        <v>#N/A</v>
      </c>
    </row>
    <row r="412" spans="1:48" x14ac:dyDescent="0.3">
      <c r="A412" s="29" t="str">
        <f t="shared" si="6"/>
        <v>96.692.66.654/0/drupal-cve-2020-28948</v>
      </c>
      <c r="B412" s="61" t="s">
        <v>3002</v>
      </c>
      <c r="C412" s="61" t="s">
        <v>361</v>
      </c>
      <c r="D412" s="151" t="s">
        <v>2985</v>
      </c>
      <c r="E412" s="61" t="s">
        <v>494</v>
      </c>
      <c r="F412" s="61" t="s">
        <v>270</v>
      </c>
      <c r="G412" s="61" t="s">
        <v>363</v>
      </c>
      <c r="H412" s="61" t="s">
        <v>256</v>
      </c>
      <c r="I412" s="37" t="s">
        <v>257</v>
      </c>
      <c r="J412" s="37">
        <v>0</v>
      </c>
      <c r="K412" s="61" t="s">
        <v>258</v>
      </c>
      <c r="L412" s="61" t="s">
        <v>31</v>
      </c>
      <c r="M412" s="9">
        <v>7</v>
      </c>
      <c r="N412" s="10" t="s">
        <v>2540</v>
      </c>
      <c r="O412" s="61" t="s">
        <v>2442</v>
      </c>
      <c r="P412" s="61" t="s">
        <v>2443</v>
      </c>
      <c r="Q412" s="61" t="s">
        <v>2444</v>
      </c>
      <c r="R412" s="61" t="s">
        <v>2445</v>
      </c>
      <c r="S412" s="61" t="s">
        <v>336</v>
      </c>
      <c r="T412" s="61" t="s">
        <v>2446</v>
      </c>
      <c r="U412" s="61" t="s">
        <v>2447</v>
      </c>
      <c r="V412" s="61" t="s">
        <v>2448</v>
      </c>
      <c r="W412" s="62">
        <v>44154</v>
      </c>
      <c r="X412" s="37" t="s">
        <v>30</v>
      </c>
      <c r="Y412" s="37">
        <v>0</v>
      </c>
      <c r="Z412" s="37" t="s">
        <v>31</v>
      </c>
      <c r="AA412" s="37" t="s">
        <v>31</v>
      </c>
      <c r="AB412" s="37" t="s">
        <v>340</v>
      </c>
      <c r="AC412" s="61"/>
      <c r="AD412" s="34"/>
      <c r="AE412" s="95" t="s">
        <v>28</v>
      </c>
      <c r="AF412" s="22"/>
      <c r="AG412" s="35">
        <v>44256</v>
      </c>
      <c r="AH412" s="40"/>
      <c r="AI412" s="72">
        <v>44185</v>
      </c>
      <c r="AJ412" s="38" t="s">
        <v>270</v>
      </c>
      <c r="AK412" s="39" t="e">
        <f>VLOOKUP(A412,'[1]Externe MAJ Nov'!$A:$H,8,0)</f>
        <v>#N/A</v>
      </c>
      <c r="AL412" s="61" t="s">
        <v>77</v>
      </c>
      <c r="AM412" s="61"/>
      <c r="AN412" s="61"/>
      <c r="AO412" s="58">
        <v>44185</v>
      </c>
      <c r="AP412" s="29" t="e">
        <f>VLOOKUP(A412,'[2]External Scan 02_21'!$B:$J,9,0)</f>
        <v>#N/A</v>
      </c>
      <c r="AQ412" s="29" t="s">
        <v>522</v>
      </c>
      <c r="AR412" s="21"/>
      <c r="AS412" s="21" t="str">
        <f>VLOOKUP(AE412,'ref statu'!A:B,2,0)</f>
        <v>Fixed</v>
      </c>
      <c r="AT412" s="8" t="e">
        <f>VLOOKUP(A412,chk!A:B,2,0)</f>
        <v>#N/A</v>
      </c>
      <c r="AU412" s="29" t="e">
        <f>VLOOKUP(A412,checker!A:B,2,0)</f>
        <v>#N/A</v>
      </c>
      <c r="AV412" s="29" t="e">
        <f>VLOOKUP(A412,checker!B:C,2,0)</f>
        <v>#N/A</v>
      </c>
    </row>
    <row r="413" spans="1:48" x14ac:dyDescent="0.3">
      <c r="A413" s="29" t="str">
        <f t="shared" si="6"/>
        <v>96.692.66.654/0/drupal-cve-2020-28949</v>
      </c>
      <c r="B413" s="61" t="s">
        <v>3002</v>
      </c>
      <c r="C413" s="61" t="s">
        <v>361</v>
      </c>
      <c r="D413" s="151" t="s">
        <v>2985</v>
      </c>
      <c r="E413" s="61" t="s">
        <v>494</v>
      </c>
      <c r="F413" s="61" t="s">
        <v>270</v>
      </c>
      <c r="G413" s="61" t="s">
        <v>363</v>
      </c>
      <c r="H413" s="61" t="s">
        <v>256</v>
      </c>
      <c r="I413" s="37" t="s">
        <v>257</v>
      </c>
      <c r="J413" s="37">
        <v>0</v>
      </c>
      <c r="K413" s="61" t="s">
        <v>258</v>
      </c>
      <c r="L413" s="61" t="s">
        <v>31</v>
      </c>
      <c r="M413" s="9">
        <v>7</v>
      </c>
      <c r="N413" s="10" t="s">
        <v>2540</v>
      </c>
      <c r="O413" s="61" t="s">
        <v>2449</v>
      </c>
      <c r="P413" s="61" t="s">
        <v>2450</v>
      </c>
      <c r="Q413" s="61" t="s">
        <v>2451</v>
      </c>
      <c r="R413" s="61" t="s">
        <v>2445</v>
      </c>
      <c r="S413" s="61" t="s">
        <v>336</v>
      </c>
      <c r="T413" s="61" t="s">
        <v>2446</v>
      </c>
      <c r="U413" s="61" t="s">
        <v>2452</v>
      </c>
      <c r="V413" s="61" t="s">
        <v>2453</v>
      </c>
      <c r="W413" s="62">
        <v>44154</v>
      </c>
      <c r="X413" s="37" t="s">
        <v>30</v>
      </c>
      <c r="Y413" s="37">
        <v>0</v>
      </c>
      <c r="Z413" s="37" t="s">
        <v>31</v>
      </c>
      <c r="AA413" s="37" t="s">
        <v>31</v>
      </c>
      <c r="AB413" s="37" t="s">
        <v>340</v>
      </c>
      <c r="AC413" s="61"/>
      <c r="AD413" s="33"/>
      <c r="AE413" s="95" t="s">
        <v>28</v>
      </c>
      <c r="AF413" s="22"/>
      <c r="AG413" s="35">
        <v>44256</v>
      </c>
      <c r="AH413" s="40"/>
      <c r="AI413" s="72">
        <v>44185</v>
      </c>
      <c r="AJ413" s="38" t="s">
        <v>270</v>
      </c>
      <c r="AK413" s="39" t="e">
        <f>VLOOKUP(A413,'[1]Externe MAJ Nov'!$A:$H,8,0)</f>
        <v>#N/A</v>
      </c>
      <c r="AL413" s="61" t="s">
        <v>77</v>
      </c>
      <c r="AM413" s="61"/>
      <c r="AN413" s="61"/>
      <c r="AO413" s="58">
        <v>44185</v>
      </c>
      <c r="AP413" s="29" t="e">
        <f>VLOOKUP(A413,'[2]External Scan 02_21'!$B:$J,9,0)</f>
        <v>#N/A</v>
      </c>
      <c r="AQ413" s="29" t="s">
        <v>522</v>
      </c>
      <c r="AR413" s="21"/>
      <c r="AS413" s="21" t="str">
        <f>VLOOKUP(AE413,'ref statu'!A:B,2,0)</f>
        <v>Fixed</v>
      </c>
      <c r="AT413" s="8" t="e">
        <f>VLOOKUP(A413,chk!A:B,2,0)</f>
        <v>#N/A</v>
      </c>
      <c r="AU413" s="29" t="e">
        <f>VLOOKUP(A413,checker!A:B,2,0)</f>
        <v>#N/A</v>
      </c>
      <c r="AV413" s="29" t="e">
        <f>VLOOKUP(A413,checker!B:C,2,0)</f>
        <v>#N/A</v>
      </c>
    </row>
    <row r="414" spans="1:48" x14ac:dyDescent="0.3">
      <c r="A414" s="29" t="str">
        <f t="shared" si="6"/>
        <v>96.692.66.654/0/generic-tcp-timestamp</v>
      </c>
      <c r="B414" s="29" t="s">
        <v>3002</v>
      </c>
      <c r="C414" s="29" t="s">
        <v>361</v>
      </c>
      <c r="D414" s="148" t="s">
        <v>2985</v>
      </c>
      <c r="E414" s="8" t="s">
        <v>362</v>
      </c>
      <c r="F414" s="29"/>
      <c r="G414" s="21" t="s">
        <v>363</v>
      </c>
      <c r="H414" s="29" t="s">
        <v>256</v>
      </c>
      <c r="I414" s="8" t="s">
        <v>257</v>
      </c>
      <c r="J414" s="8">
        <v>0</v>
      </c>
      <c r="K414" s="29" t="s">
        <v>258</v>
      </c>
      <c r="L414" s="29" t="s">
        <v>31</v>
      </c>
      <c r="M414" s="9">
        <v>1</v>
      </c>
      <c r="N414" s="9" t="s">
        <v>42</v>
      </c>
      <c r="O414" s="29" t="s">
        <v>78</v>
      </c>
      <c r="P414" s="29" t="s">
        <v>79</v>
      </c>
      <c r="Q414" s="29" t="s">
        <v>80</v>
      </c>
      <c r="R414" s="29" t="s">
        <v>81</v>
      </c>
      <c r="S414" s="29" t="s">
        <v>82</v>
      </c>
      <c r="T414" s="29" t="s">
        <v>83</v>
      </c>
      <c r="U414" s="29" t="s">
        <v>31</v>
      </c>
      <c r="V414" s="29" t="s">
        <v>31</v>
      </c>
      <c r="W414" s="57">
        <v>35643</v>
      </c>
      <c r="X414" s="8" t="s">
        <v>36</v>
      </c>
      <c r="Y414" s="8">
        <v>0</v>
      </c>
      <c r="Z414" s="8" t="s">
        <v>31</v>
      </c>
      <c r="AA414" s="8" t="s">
        <v>31</v>
      </c>
      <c r="AB414" s="8" t="s">
        <v>364</v>
      </c>
      <c r="AC414" s="29"/>
      <c r="AD414" s="29"/>
      <c r="AE414" s="95" t="s">
        <v>28</v>
      </c>
      <c r="AF414" s="22"/>
      <c r="AG414" s="30">
        <v>44256</v>
      </c>
      <c r="AH414" s="66"/>
      <c r="AI414" s="72">
        <v>44124</v>
      </c>
      <c r="AJ414" s="23" t="s">
        <v>270</v>
      </c>
      <c r="AK414" s="8" t="e">
        <f>VLOOKUP(A414,'[1]Externe MAJ Nov'!$A:$H,8,0)</f>
        <v>#N/A</v>
      </c>
      <c r="AL414" s="29" t="e">
        <f>VLOOKUP(A414,'[1]Externe MAJ Nov'!$A:$G,7,0)</f>
        <v>#N/A</v>
      </c>
      <c r="AM414" s="29" t="s">
        <v>95</v>
      </c>
      <c r="AN414" s="29" t="s">
        <v>27</v>
      </c>
      <c r="AO414" s="58">
        <v>44124</v>
      </c>
      <c r="AP414" s="29" t="e">
        <f>VLOOKUP(A414,'[2]External Scan 02_21'!$B:$J,9,0)</f>
        <v>#N/A</v>
      </c>
      <c r="AQ414" s="29" t="s">
        <v>522</v>
      </c>
      <c r="AR414" s="21"/>
      <c r="AS414" s="21" t="str">
        <f>VLOOKUP(AE414,'ref statu'!A:B,2,0)</f>
        <v>Fixed</v>
      </c>
      <c r="AT414" s="8" t="e">
        <f>VLOOKUP(A414,chk!A:B,2,0)</f>
        <v>#N/A</v>
      </c>
      <c r="AU414" s="29" t="e">
        <f>VLOOKUP(A414,checker!A:B,2,0)</f>
        <v>#N/A</v>
      </c>
      <c r="AV414" s="29" t="e">
        <f>VLOOKUP(A414,checker!B:C,2,0)</f>
        <v>#N/A</v>
      </c>
    </row>
    <row r="415" spans="1:48" x14ac:dyDescent="0.3">
      <c r="A415" s="29" t="str">
        <f t="shared" si="6"/>
        <v>96.692.66.654/22/ssh-3des-ciphers</v>
      </c>
      <c r="B415" s="29" t="s">
        <v>3002</v>
      </c>
      <c r="C415" s="29" t="s">
        <v>361</v>
      </c>
      <c r="D415" s="148" t="s">
        <v>2985</v>
      </c>
      <c r="E415" s="8" t="s">
        <v>362</v>
      </c>
      <c r="F415" s="29"/>
      <c r="G415" s="21" t="s">
        <v>363</v>
      </c>
      <c r="H415" s="29" t="s">
        <v>256</v>
      </c>
      <c r="I415" s="8" t="s">
        <v>257</v>
      </c>
      <c r="J415" s="8">
        <v>22</v>
      </c>
      <c r="K415" s="29" t="s">
        <v>268</v>
      </c>
      <c r="L415" s="29" t="s">
        <v>269</v>
      </c>
      <c r="M415" s="9">
        <v>1</v>
      </c>
      <c r="N415" s="9" t="s">
        <v>42</v>
      </c>
      <c r="O415" s="29" t="s">
        <v>49</v>
      </c>
      <c r="P415" s="29" t="s">
        <v>50</v>
      </c>
      <c r="Q415" s="29" t="s">
        <v>51</v>
      </c>
      <c r="R415" s="29" t="s">
        <v>52</v>
      </c>
      <c r="S415" s="29" t="s">
        <v>53</v>
      </c>
      <c r="T415" s="29" t="s">
        <v>54</v>
      </c>
      <c r="U415" s="29" t="s">
        <v>31</v>
      </c>
      <c r="V415" s="29" t="s">
        <v>31</v>
      </c>
      <c r="W415" s="57">
        <v>39845</v>
      </c>
      <c r="X415" s="8" t="s">
        <v>30</v>
      </c>
      <c r="Y415" s="8">
        <v>0</v>
      </c>
      <c r="Z415" s="8" t="s">
        <v>31</v>
      </c>
      <c r="AA415" s="8" t="s">
        <v>31</v>
      </c>
      <c r="AB415" s="8" t="s">
        <v>364</v>
      </c>
      <c r="AC415" s="29"/>
      <c r="AD415" s="29"/>
      <c r="AE415" s="95" t="s">
        <v>28</v>
      </c>
      <c r="AF415" s="22"/>
      <c r="AG415" s="30">
        <v>44256</v>
      </c>
      <c r="AH415" s="66"/>
      <c r="AI415" s="72">
        <v>44124</v>
      </c>
      <c r="AJ415" s="23" t="s">
        <v>270</v>
      </c>
      <c r="AK415" s="8" t="e">
        <f>VLOOKUP(A415,'[1]Externe MAJ Nov'!$A:$H,8,0)</f>
        <v>#N/A</v>
      </c>
      <c r="AL415" s="29" t="e">
        <f>VLOOKUP(A415,'[1]Externe MAJ Nov'!$A:$G,7,0)</f>
        <v>#N/A</v>
      </c>
      <c r="AM415" s="29" t="s">
        <v>95</v>
      </c>
      <c r="AN415" s="29" t="s">
        <v>27</v>
      </c>
      <c r="AO415" s="58">
        <v>44124</v>
      </c>
      <c r="AP415" s="29" t="e">
        <f>VLOOKUP(A415,'[2]External Scan 02_21'!$B:$J,9,0)</f>
        <v>#N/A</v>
      </c>
      <c r="AQ415" s="29" t="s">
        <v>522</v>
      </c>
      <c r="AR415" s="21"/>
      <c r="AS415" s="21" t="str">
        <f>VLOOKUP(AE415,'ref statu'!A:B,2,0)</f>
        <v>Fixed</v>
      </c>
      <c r="AT415" s="8" t="e">
        <f>VLOOKUP(A415,chk!A:B,2,0)</f>
        <v>#N/A</v>
      </c>
      <c r="AU415" s="29" t="e">
        <f>VLOOKUP(A415,checker!A:B,2,0)</f>
        <v>#N/A</v>
      </c>
      <c r="AV415" s="29" t="e">
        <f>VLOOKUP(A415,checker!B:C,2,0)</f>
        <v>#N/A</v>
      </c>
    </row>
    <row r="416" spans="1:48" x14ac:dyDescent="0.3">
      <c r="A416" s="29" t="str">
        <f t="shared" si="6"/>
        <v>96.692.66.654/22/ssh-cbc-ciphers</v>
      </c>
      <c r="B416" s="29" t="s">
        <v>3002</v>
      </c>
      <c r="C416" s="29" t="s">
        <v>361</v>
      </c>
      <c r="D416" s="148" t="s">
        <v>2985</v>
      </c>
      <c r="E416" s="8" t="s">
        <v>362</v>
      </c>
      <c r="F416" s="29"/>
      <c r="G416" s="21" t="s">
        <v>363</v>
      </c>
      <c r="H416" s="29" t="s">
        <v>256</v>
      </c>
      <c r="I416" s="8" t="s">
        <v>257</v>
      </c>
      <c r="J416" s="8">
        <v>22</v>
      </c>
      <c r="K416" s="29" t="s">
        <v>268</v>
      </c>
      <c r="L416" s="29" t="s">
        <v>269</v>
      </c>
      <c r="M416" s="9">
        <v>3</v>
      </c>
      <c r="N416" s="9" t="s">
        <v>42</v>
      </c>
      <c r="O416" s="29" t="s">
        <v>55</v>
      </c>
      <c r="P416" s="29" t="s">
        <v>56</v>
      </c>
      <c r="Q416" s="29" t="s">
        <v>57</v>
      </c>
      <c r="R416" s="29" t="s">
        <v>58</v>
      </c>
      <c r="S416" s="29" t="s">
        <v>271</v>
      </c>
      <c r="T416" s="29" t="s">
        <v>59</v>
      </c>
      <c r="U416" s="29" t="s">
        <v>31</v>
      </c>
      <c r="V416" s="29" t="s">
        <v>31</v>
      </c>
      <c r="W416" s="57">
        <v>41313</v>
      </c>
      <c r="X416" s="8" t="s">
        <v>30</v>
      </c>
      <c r="Y416" s="8">
        <v>0</v>
      </c>
      <c r="Z416" s="8" t="s">
        <v>31</v>
      </c>
      <c r="AA416" s="8" t="s">
        <v>31</v>
      </c>
      <c r="AB416" s="8" t="s">
        <v>364</v>
      </c>
      <c r="AC416" s="29"/>
      <c r="AD416" s="29"/>
      <c r="AE416" s="95" t="s">
        <v>28</v>
      </c>
      <c r="AF416" s="22"/>
      <c r="AG416" s="30">
        <v>44256</v>
      </c>
      <c r="AH416" s="66"/>
      <c r="AI416" s="72">
        <v>44124</v>
      </c>
      <c r="AJ416" s="23" t="s">
        <v>270</v>
      </c>
      <c r="AK416" s="8" t="e">
        <f>VLOOKUP(A416,'[1]Externe MAJ Nov'!$A:$H,8,0)</f>
        <v>#N/A</v>
      </c>
      <c r="AL416" s="29" t="e">
        <f>VLOOKUP(A416,'[1]Externe MAJ Nov'!$A:$G,7,0)</f>
        <v>#N/A</v>
      </c>
      <c r="AM416" s="29" t="s">
        <v>95</v>
      </c>
      <c r="AN416" s="29" t="s">
        <v>27</v>
      </c>
      <c r="AO416" s="58">
        <v>44124</v>
      </c>
      <c r="AP416" s="29" t="e">
        <f>VLOOKUP(A416,'[2]External Scan 02_21'!$B:$J,9,0)</f>
        <v>#N/A</v>
      </c>
      <c r="AQ416" s="29" t="s">
        <v>522</v>
      </c>
      <c r="AR416" s="21"/>
      <c r="AS416" s="21" t="str">
        <f>VLOOKUP(AE416,'ref statu'!A:B,2,0)</f>
        <v>Fixed</v>
      </c>
      <c r="AT416" s="8" t="e">
        <f>VLOOKUP(A416,chk!A:B,2,0)</f>
        <v>#N/A</v>
      </c>
      <c r="AU416" s="29" t="e">
        <f>VLOOKUP(A416,checker!A:B,2,0)</f>
        <v>#N/A</v>
      </c>
      <c r="AV416" s="29" t="e">
        <f>VLOOKUP(A416,checker!B:C,2,0)</f>
        <v>#N/A</v>
      </c>
    </row>
    <row r="417" spans="1:48" x14ac:dyDescent="0.3">
      <c r="A417" s="29" t="str">
        <f t="shared" si="6"/>
        <v>96.692.66.654/22/ssh-cve-2015-4000</v>
      </c>
      <c r="B417" s="29" t="s">
        <v>3002</v>
      </c>
      <c r="C417" s="29" t="s">
        <v>361</v>
      </c>
      <c r="D417" s="148" t="s">
        <v>2985</v>
      </c>
      <c r="E417" s="8" t="s">
        <v>362</v>
      </c>
      <c r="F417" s="29"/>
      <c r="G417" s="21" t="s">
        <v>363</v>
      </c>
      <c r="H417" s="29" t="s">
        <v>256</v>
      </c>
      <c r="I417" s="8" t="s">
        <v>257</v>
      </c>
      <c r="J417" s="8">
        <v>22</v>
      </c>
      <c r="K417" s="29" t="s">
        <v>268</v>
      </c>
      <c r="L417" s="29" t="s">
        <v>269</v>
      </c>
      <c r="M417" s="9">
        <v>4</v>
      </c>
      <c r="N417" s="9" t="s">
        <v>29</v>
      </c>
      <c r="O417" s="29" t="s">
        <v>60</v>
      </c>
      <c r="P417" s="29" t="s">
        <v>61</v>
      </c>
      <c r="Q417" s="29" t="s">
        <v>62</v>
      </c>
      <c r="R417" s="29" t="s">
        <v>63</v>
      </c>
      <c r="S417" s="29" t="s">
        <v>64</v>
      </c>
      <c r="T417" s="29" t="s">
        <v>65</v>
      </c>
      <c r="U417" s="29" t="s">
        <v>66</v>
      </c>
      <c r="V417" s="29" t="s">
        <v>273</v>
      </c>
      <c r="W417" s="57">
        <v>42144</v>
      </c>
      <c r="X417" s="8" t="s">
        <v>30</v>
      </c>
      <c r="Y417" s="8">
        <v>0</v>
      </c>
      <c r="Z417" s="8" t="s">
        <v>31</v>
      </c>
      <c r="AA417" s="8" t="s">
        <v>31</v>
      </c>
      <c r="AB417" s="8" t="s">
        <v>364</v>
      </c>
      <c r="AC417" s="29"/>
      <c r="AD417" s="29"/>
      <c r="AE417" s="95" t="s">
        <v>28</v>
      </c>
      <c r="AF417" s="22"/>
      <c r="AG417" s="30">
        <v>44256</v>
      </c>
      <c r="AH417" s="66"/>
      <c r="AI417" s="72">
        <v>44124</v>
      </c>
      <c r="AJ417" s="23" t="s">
        <v>270</v>
      </c>
      <c r="AK417" s="8" t="e">
        <f>VLOOKUP(A417,'[1]Externe MAJ Nov'!$A:$H,8,0)</f>
        <v>#N/A</v>
      </c>
      <c r="AL417" s="29" t="e">
        <f>VLOOKUP(A417,'[1]Externe MAJ Nov'!$A:$G,7,0)</f>
        <v>#N/A</v>
      </c>
      <c r="AM417" s="29" t="s">
        <v>95</v>
      </c>
      <c r="AN417" s="29" t="s">
        <v>27</v>
      </c>
      <c r="AO417" s="58">
        <v>44124</v>
      </c>
      <c r="AP417" s="29" t="e">
        <f>VLOOKUP(A417,'[2]External Scan 02_21'!$B:$J,9,0)</f>
        <v>#N/A</v>
      </c>
      <c r="AQ417" s="29" t="s">
        <v>522</v>
      </c>
      <c r="AR417" s="21"/>
      <c r="AS417" s="21" t="str">
        <f>VLOOKUP(AE417,'ref statu'!A:B,2,0)</f>
        <v>Fixed</v>
      </c>
      <c r="AT417" s="8" t="e">
        <f>VLOOKUP(A417,chk!A:B,2,0)</f>
        <v>#N/A</v>
      </c>
      <c r="AU417" s="29" t="e">
        <f>VLOOKUP(A417,checker!A:B,2,0)</f>
        <v>#N/A</v>
      </c>
      <c r="AV417" s="29" t="e">
        <f>VLOOKUP(A417,checker!B:C,2,0)</f>
        <v>#N/A</v>
      </c>
    </row>
    <row r="418" spans="1:48" x14ac:dyDescent="0.3">
      <c r="A418" s="29" t="str">
        <f t="shared" si="6"/>
        <v>96.692.66.654/22/ssh-cve-2016-2183-sweet32</v>
      </c>
      <c r="B418" s="29" t="s">
        <v>3002</v>
      </c>
      <c r="C418" s="29" t="s">
        <v>361</v>
      </c>
      <c r="D418" s="148" t="s">
        <v>2985</v>
      </c>
      <c r="E418" s="8" t="s">
        <v>362</v>
      </c>
      <c r="F418" s="29"/>
      <c r="G418" s="21" t="s">
        <v>363</v>
      </c>
      <c r="H418" s="29" t="s">
        <v>256</v>
      </c>
      <c r="I418" s="8" t="s">
        <v>257</v>
      </c>
      <c r="J418" s="8">
        <v>22</v>
      </c>
      <c r="K418" s="29" t="s">
        <v>268</v>
      </c>
      <c r="L418" s="29" t="s">
        <v>269</v>
      </c>
      <c r="M418" s="9">
        <v>5</v>
      </c>
      <c r="N418" s="9" t="s">
        <v>29</v>
      </c>
      <c r="O418" s="29" t="s">
        <v>67</v>
      </c>
      <c r="P418" s="29" t="s">
        <v>68</v>
      </c>
      <c r="Q418" s="29" t="s">
        <v>69</v>
      </c>
      <c r="R418" s="29" t="s">
        <v>52</v>
      </c>
      <c r="S418" s="29" t="s">
        <v>53</v>
      </c>
      <c r="T418" s="29" t="s">
        <v>70</v>
      </c>
      <c r="U418" s="29" t="s">
        <v>71</v>
      </c>
      <c r="V418" s="29" t="s">
        <v>278</v>
      </c>
      <c r="W418" s="57">
        <v>42606</v>
      </c>
      <c r="X418" s="8" t="s">
        <v>30</v>
      </c>
      <c r="Y418" s="8">
        <v>1</v>
      </c>
      <c r="Z418" s="8" t="s">
        <v>279</v>
      </c>
      <c r="AA418" s="8" t="s">
        <v>280</v>
      </c>
      <c r="AB418" s="8" t="s">
        <v>364</v>
      </c>
      <c r="AC418" s="29"/>
      <c r="AD418" s="29"/>
      <c r="AE418" s="95" t="s">
        <v>28</v>
      </c>
      <c r="AF418" s="22"/>
      <c r="AG418" s="30">
        <v>44256</v>
      </c>
      <c r="AH418" s="66"/>
      <c r="AI418" s="72">
        <v>44124</v>
      </c>
      <c r="AJ418" s="23" t="s">
        <v>270</v>
      </c>
      <c r="AK418" s="8" t="e">
        <f>VLOOKUP(A418,'[1]Externe MAJ Nov'!$A:$H,8,0)</f>
        <v>#N/A</v>
      </c>
      <c r="AL418" s="29" t="e">
        <f>VLOOKUP(A418,'[1]Externe MAJ Nov'!$A:$G,7,0)</f>
        <v>#N/A</v>
      </c>
      <c r="AM418" s="29" t="s">
        <v>95</v>
      </c>
      <c r="AN418" s="29" t="s">
        <v>27</v>
      </c>
      <c r="AO418" s="58">
        <v>44124</v>
      </c>
      <c r="AP418" s="29" t="e">
        <f>VLOOKUP(A418,'[2]External Scan 02_21'!$B:$J,9,0)</f>
        <v>#N/A</v>
      </c>
      <c r="AQ418" s="29" t="s">
        <v>522</v>
      </c>
      <c r="AR418" s="21"/>
      <c r="AS418" s="21" t="str">
        <f>VLOOKUP(AE418,'ref statu'!A:B,2,0)</f>
        <v>Fixed</v>
      </c>
      <c r="AT418" s="8" t="e">
        <f>VLOOKUP(A418,chk!A:B,2,0)</f>
        <v>#N/A</v>
      </c>
      <c r="AU418" s="29" t="e">
        <f>VLOOKUP(A418,checker!A:B,2,0)</f>
        <v>#N/A</v>
      </c>
      <c r="AV418" s="29" t="e">
        <f>VLOOKUP(A418,checker!B:C,2,0)</f>
        <v>#N/A</v>
      </c>
    </row>
    <row r="419" spans="1:48" x14ac:dyDescent="0.3">
      <c r="A419" s="29" t="str">
        <f t="shared" si="6"/>
        <v>96.692.66.654/22/ssh-rc4-ciphers</v>
      </c>
      <c r="B419" s="29" t="s">
        <v>3002</v>
      </c>
      <c r="C419" s="29" t="s">
        <v>361</v>
      </c>
      <c r="D419" s="148" t="s">
        <v>2985</v>
      </c>
      <c r="E419" s="8" t="s">
        <v>362</v>
      </c>
      <c r="F419" s="29"/>
      <c r="G419" s="21" t="s">
        <v>363</v>
      </c>
      <c r="H419" s="29" t="s">
        <v>256</v>
      </c>
      <c r="I419" s="8" t="s">
        <v>257</v>
      </c>
      <c r="J419" s="8">
        <v>22</v>
      </c>
      <c r="K419" s="29" t="s">
        <v>268</v>
      </c>
      <c r="L419" s="29" t="s">
        <v>269</v>
      </c>
      <c r="M419" s="9">
        <v>4</v>
      </c>
      <c r="N419" s="9" t="s">
        <v>29</v>
      </c>
      <c r="O419" s="29" t="s">
        <v>84</v>
      </c>
      <c r="P419" s="29" t="s">
        <v>85</v>
      </c>
      <c r="Q419" s="29" t="s">
        <v>86</v>
      </c>
      <c r="R419" s="29" t="s">
        <v>87</v>
      </c>
      <c r="S419" s="29" t="s">
        <v>272</v>
      </c>
      <c r="T419" s="29" t="s">
        <v>88</v>
      </c>
      <c r="U419" s="29" t="s">
        <v>31</v>
      </c>
      <c r="V419" s="29" t="s">
        <v>31</v>
      </c>
      <c r="W419" s="57">
        <v>41345</v>
      </c>
      <c r="X419" s="8" t="s">
        <v>30</v>
      </c>
      <c r="Y419" s="8">
        <v>0</v>
      </c>
      <c r="Z419" s="8" t="s">
        <v>31</v>
      </c>
      <c r="AA419" s="8" t="s">
        <v>31</v>
      </c>
      <c r="AB419" s="8" t="s">
        <v>364</v>
      </c>
      <c r="AC419" s="29"/>
      <c r="AD419" s="29"/>
      <c r="AE419" s="95" t="s">
        <v>28</v>
      </c>
      <c r="AF419" s="22"/>
      <c r="AG419" s="30">
        <v>44256</v>
      </c>
      <c r="AH419" s="66"/>
      <c r="AI419" s="72">
        <v>44124</v>
      </c>
      <c r="AJ419" s="23" t="s">
        <v>270</v>
      </c>
      <c r="AK419" s="8" t="e">
        <f>VLOOKUP(A419,'[1]Externe MAJ Nov'!$A:$H,8,0)</f>
        <v>#N/A</v>
      </c>
      <c r="AL419" s="29" t="e">
        <f>VLOOKUP(A419,'[1]Externe MAJ Nov'!$A:$G,7,0)</f>
        <v>#N/A</v>
      </c>
      <c r="AM419" s="29" t="s">
        <v>95</v>
      </c>
      <c r="AN419" s="29" t="s">
        <v>27</v>
      </c>
      <c r="AO419" s="58">
        <v>44124</v>
      </c>
      <c r="AP419" s="29" t="e">
        <f>VLOOKUP(A419,'[2]External Scan 02_21'!$B:$J,9,0)</f>
        <v>#N/A</v>
      </c>
      <c r="AQ419" s="29" t="s">
        <v>522</v>
      </c>
      <c r="AR419" s="21"/>
      <c r="AS419" s="21" t="str">
        <f>VLOOKUP(AE419,'ref statu'!A:B,2,0)</f>
        <v>Fixed</v>
      </c>
      <c r="AT419" s="8" t="e">
        <f>VLOOKUP(A419,chk!A:B,2,0)</f>
        <v>#N/A</v>
      </c>
      <c r="AU419" s="29" t="e">
        <f>VLOOKUP(A419,checker!A:B,2,0)</f>
        <v>#N/A</v>
      </c>
      <c r="AV419" s="29" t="e">
        <f>VLOOKUP(A419,checker!B:C,2,0)</f>
        <v>#N/A</v>
      </c>
    </row>
    <row r="420" spans="1:48" x14ac:dyDescent="0.3">
      <c r="A420" s="29" t="str">
        <f t="shared" si="6"/>
        <v>96.692.66.654/22/ssh-weak-kex-algorithms</v>
      </c>
      <c r="B420" s="29" t="s">
        <v>3002</v>
      </c>
      <c r="C420" s="29" t="s">
        <v>361</v>
      </c>
      <c r="D420" s="148" t="s">
        <v>2985</v>
      </c>
      <c r="E420" s="8" t="s">
        <v>362</v>
      </c>
      <c r="F420" s="29"/>
      <c r="G420" s="21" t="s">
        <v>363</v>
      </c>
      <c r="H420" s="29" t="s">
        <v>256</v>
      </c>
      <c r="I420" s="8" t="s">
        <v>257</v>
      </c>
      <c r="J420" s="8">
        <v>22</v>
      </c>
      <c r="K420" s="29" t="s">
        <v>268</v>
      </c>
      <c r="L420" s="29" t="s">
        <v>269</v>
      </c>
      <c r="M420" s="9">
        <v>4</v>
      </c>
      <c r="N420" s="9" t="s">
        <v>29</v>
      </c>
      <c r="O420" s="29" t="s">
        <v>72</v>
      </c>
      <c r="P420" s="29" t="s">
        <v>73</v>
      </c>
      <c r="Q420" s="29" t="s">
        <v>74</v>
      </c>
      <c r="R420" s="29" t="s">
        <v>75</v>
      </c>
      <c r="S420" s="29" t="s">
        <v>244</v>
      </c>
      <c r="T420" s="29" t="s">
        <v>76</v>
      </c>
      <c r="U420" s="29" t="s">
        <v>31</v>
      </c>
      <c r="V420" s="29" t="s">
        <v>31</v>
      </c>
      <c r="W420" s="57">
        <v>42929</v>
      </c>
      <c r="X420" s="8" t="s">
        <v>30</v>
      </c>
      <c r="Y420" s="8">
        <v>0</v>
      </c>
      <c r="Z420" s="8" t="s">
        <v>31</v>
      </c>
      <c r="AA420" s="8" t="s">
        <v>31</v>
      </c>
      <c r="AB420" s="8" t="s">
        <v>364</v>
      </c>
      <c r="AC420" s="29"/>
      <c r="AD420" s="29"/>
      <c r="AE420" s="95" t="s">
        <v>28</v>
      </c>
      <c r="AF420" s="22"/>
      <c r="AG420" s="30">
        <v>44256</v>
      </c>
      <c r="AH420" s="66"/>
      <c r="AI420" s="72">
        <v>44124</v>
      </c>
      <c r="AJ420" s="23" t="s">
        <v>270</v>
      </c>
      <c r="AK420" s="8" t="e">
        <f>VLOOKUP(A420,'[1]Externe MAJ Nov'!$A:$H,8,0)</f>
        <v>#N/A</v>
      </c>
      <c r="AL420" s="29" t="e">
        <f>VLOOKUP(A420,'[1]Externe MAJ Nov'!$A:$G,7,0)</f>
        <v>#N/A</v>
      </c>
      <c r="AM420" s="29" t="s">
        <v>95</v>
      </c>
      <c r="AN420" s="29" t="s">
        <v>27</v>
      </c>
      <c r="AO420" s="58">
        <v>44124</v>
      </c>
      <c r="AP420" s="29" t="e">
        <f>VLOOKUP(A420,'[2]External Scan 02_21'!$B:$J,9,0)</f>
        <v>#N/A</v>
      </c>
      <c r="AQ420" s="29" t="s">
        <v>522</v>
      </c>
      <c r="AR420" s="21"/>
      <c r="AS420" s="21" t="str">
        <f>VLOOKUP(AE420,'ref statu'!A:B,2,0)</f>
        <v>Fixed</v>
      </c>
      <c r="AT420" s="8" t="e">
        <f>VLOOKUP(A420,chk!A:B,2,0)</f>
        <v>#N/A</v>
      </c>
      <c r="AU420" s="29" t="e">
        <f>VLOOKUP(A420,checker!A:B,2,0)</f>
        <v>#N/A</v>
      </c>
      <c r="AV420" s="29" t="e">
        <f>VLOOKUP(A420,checker!B:C,2,0)</f>
        <v>#N/A</v>
      </c>
    </row>
    <row r="421" spans="1:48" x14ac:dyDescent="0.3">
      <c r="A421" s="29" t="str">
        <f t="shared" si="6"/>
        <v>96.692.66.654/22/ssh-weak-message-authentication-code-algorithms</v>
      </c>
      <c r="B421" s="29" t="s">
        <v>3002</v>
      </c>
      <c r="C421" s="29" t="s">
        <v>361</v>
      </c>
      <c r="D421" s="148" t="s">
        <v>2985</v>
      </c>
      <c r="E421" s="8" t="s">
        <v>362</v>
      </c>
      <c r="F421" s="29"/>
      <c r="G421" s="21" t="s">
        <v>363</v>
      </c>
      <c r="H421" s="29" t="s">
        <v>256</v>
      </c>
      <c r="I421" s="8" t="s">
        <v>257</v>
      </c>
      <c r="J421" s="8">
        <v>22</v>
      </c>
      <c r="K421" s="29" t="s">
        <v>268</v>
      </c>
      <c r="L421" s="29" t="s">
        <v>269</v>
      </c>
      <c r="M421" s="9">
        <v>4</v>
      </c>
      <c r="N421" s="9" t="s">
        <v>29</v>
      </c>
      <c r="O421" s="29" t="s">
        <v>89</v>
      </c>
      <c r="P421" s="29" t="s">
        <v>90</v>
      </c>
      <c r="Q421" s="29" t="s">
        <v>91</v>
      </c>
      <c r="R421" s="29" t="s">
        <v>92</v>
      </c>
      <c r="S421" s="29" t="s">
        <v>274</v>
      </c>
      <c r="T421" s="29" t="s">
        <v>93</v>
      </c>
      <c r="U421" s="29" t="s">
        <v>31</v>
      </c>
      <c r="V421" s="29" t="s">
        <v>31</v>
      </c>
      <c r="W421" s="57">
        <v>41645</v>
      </c>
      <c r="X421" s="8" t="s">
        <v>30</v>
      </c>
      <c r="Y421" s="8">
        <v>0</v>
      </c>
      <c r="Z421" s="8" t="s">
        <v>31</v>
      </c>
      <c r="AA421" s="8" t="s">
        <v>31</v>
      </c>
      <c r="AB421" s="8" t="s">
        <v>364</v>
      </c>
      <c r="AC421" s="29"/>
      <c r="AD421" s="29"/>
      <c r="AE421" s="95" t="s">
        <v>28</v>
      </c>
      <c r="AF421" s="22"/>
      <c r="AG421" s="30">
        <v>44256</v>
      </c>
      <c r="AH421" s="66"/>
      <c r="AI421" s="72">
        <v>44124</v>
      </c>
      <c r="AJ421" s="23" t="s">
        <v>270</v>
      </c>
      <c r="AK421" s="8" t="e">
        <f>VLOOKUP(A421,'[1]Externe MAJ Nov'!$A:$H,8,0)</f>
        <v>#N/A</v>
      </c>
      <c r="AL421" s="29" t="e">
        <f>VLOOKUP(A421,'[1]Externe MAJ Nov'!$A:$G,7,0)</f>
        <v>#N/A</v>
      </c>
      <c r="AM421" s="29" t="s">
        <v>95</v>
      </c>
      <c r="AN421" s="29" t="s">
        <v>27</v>
      </c>
      <c r="AO421" s="58">
        <v>44124</v>
      </c>
      <c r="AP421" s="29" t="e">
        <f>VLOOKUP(A421,'[2]External Scan 02_21'!$B:$J,9,0)</f>
        <v>#N/A</v>
      </c>
      <c r="AQ421" s="29" t="s">
        <v>522</v>
      </c>
      <c r="AR421" s="21"/>
      <c r="AS421" s="21" t="str">
        <f>VLOOKUP(AE421,'ref statu'!A:B,2,0)</f>
        <v>Fixed</v>
      </c>
      <c r="AT421" s="8" t="e">
        <f>VLOOKUP(A421,chk!A:B,2,0)</f>
        <v>#N/A</v>
      </c>
      <c r="AU421" s="29" t="e">
        <f>VLOOKUP(A421,checker!A:B,2,0)</f>
        <v>#N/A</v>
      </c>
      <c r="AV421" s="29" t="e">
        <f>VLOOKUP(A421,checker!B:C,2,0)</f>
        <v>#N/A</v>
      </c>
    </row>
    <row r="422" spans="1:48" x14ac:dyDescent="0.3">
      <c r="A422" s="29" t="str">
        <f t="shared" si="6"/>
        <v>96.692.66.654/443/http-cookie-http-only-flag</v>
      </c>
      <c r="B422" s="29" t="s">
        <v>3002</v>
      </c>
      <c r="C422" s="29" t="s">
        <v>361</v>
      </c>
      <c r="D422" s="148" t="s">
        <v>2985</v>
      </c>
      <c r="E422" s="8" t="s">
        <v>362</v>
      </c>
      <c r="F422" s="29"/>
      <c r="G422" s="21" t="s">
        <v>363</v>
      </c>
      <c r="H422" s="29" t="s">
        <v>256</v>
      </c>
      <c r="I422" s="8" t="s">
        <v>257</v>
      </c>
      <c r="J422" s="8">
        <v>443</v>
      </c>
      <c r="K422" s="29" t="s">
        <v>290</v>
      </c>
      <c r="L422" s="29" t="s">
        <v>276</v>
      </c>
      <c r="M422" s="9">
        <v>5</v>
      </c>
      <c r="N422" s="9" t="s">
        <v>29</v>
      </c>
      <c r="O422" s="29" t="s">
        <v>203</v>
      </c>
      <c r="P422" s="29" t="s">
        <v>204</v>
      </c>
      <c r="Q422" s="29" t="s">
        <v>205</v>
      </c>
      <c r="R422" s="29" t="s">
        <v>206</v>
      </c>
      <c r="S422" s="29" t="s">
        <v>369</v>
      </c>
      <c r="T422" s="29" t="s">
        <v>207</v>
      </c>
      <c r="U422" s="29" t="s">
        <v>31</v>
      </c>
      <c r="V422" s="29" t="s">
        <v>31</v>
      </c>
      <c r="W422" s="57">
        <v>40694</v>
      </c>
      <c r="X422" s="8" t="s">
        <v>36</v>
      </c>
      <c r="Y422" s="8">
        <v>0</v>
      </c>
      <c r="Z422" s="8" t="s">
        <v>31</v>
      </c>
      <c r="AA422" s="8" t="s">
        <v>31</v>
      </c>
      <c r="AB422" s="8" t="s">
        <v>364</v>
      </c>
      <c r="AC422" s="29"/>
      <c r="AD422" s="29"/>
      <c r="AE422" s="95" t="s">
        <v>28</v>
      </c>
      <c r="AF422" s="22"/>
      <c r="AG422" s="30">
        <v>44256</v>
      </c>
      <c r="AH422" s="66"/>
      <c r="AI422" s="72">
        <v>44124</v>
      </c>
      <c r="AJ422" s="23" t="s">
        <v>270</v>
      </c>
      <c r="AK422" s="8" t="e">
        <f>VLOOKUP(A422,'[1]Externe MAJ Nov'!$A:$H,8,0)</f>
        <v>#N/A</v>
      </c>
      <c r="AL422" s="29" t="e">
        <f>VLOOKUP(A422,'[1]Externe MAJ Nov'!$A:$G,7,0)</f>
        <v>#N/A</v>
      </c>
      <c r="AM422" s="29" t="s">
        <v>95</v>
      </c>
      <c r="AN422" s="29" t="s">
        <v>27</v>
      </c>
      <c r="AO422" s="58">
        <v>44124</v>
      </c>
      <c r="AP422" s="29" t="e">
        <f>VLOOKUP(A422,'[2]External Scan 02_21'!$B:$J,9,0)</f>
        <v>#N/A</v>
      </c>
      <c r="AQ422" s="29" t="s">
        <v>522</v>
      </c>
      <c r="AR422" s="21"/>
      <c r="AS422" s="21" t="str">
        <f>VLOOKUP(AE422,'ref statu'!A:B,2,0)</f>
        <v>Fixed</v>
      </c>
      <c r="AT422" s="8" t="e">
        <f>VLOOKUP(A422,chk!A:B,2,0)</f>
        <v>#N/A</v>
      </c>
      <c r="AU422" s="29" t="e">
        <f>VLOOKUP(A422,checker!A:B,2,0)</f>
        <v>#N/A</v>
      </c>
      <c r="AV422" s="29" t="e">
        <f>VLOOKUP(A422,checker!B:C,2,0)</f>
        <v>#N/A</v>
      </c>
    </row>
    <row r="423" spans="1:48" x14ac:dyDescent="0.3">
      <c r="A423" s="29" t="str">
        <f t="shared" si="6"/>
        <v>96.692.66.654/443/ssl-3des-ciphers</v>
      </c>
      <c r="B423" s="29" t="s">
        <v>3002</v>
      </c>
      <c r="C423" s="29" t="s">
        <v>361</v>
      </c>
      <c r="D423" s="148" t="s">
        <v>2985</v>
      </c>
      <c r="E423" s="8" t="s">
        <v>362</v>
      </c>
      <c r="F423" s="29"/>
      <c r="G423" s="21" t="s">
        <v>363</v>
      </c>
      <c r="H423" s="29" t="s">
        <v>256</v>
      </c>
      <c r="I423" s="8" t="s">
        <v>257</v>
      </c>
      <c r="J423" s="8">
        <v>443</v>
      </c>
      <c r="K423" s="29" t="s">
        <v>290</v>
      </c>
      <c r="L423" s="29" t="s">
        <v>276</v>
      </c>
      <c r="M423" s="9">
        <v>1</v>
      </c>
      <c r="N423" s="9" t="s">
        <v>42</v>
      </c>
      <c r="O423" s="29" t="s">
        <v>100</v>
      </c>
      <c r="P423" s="29" t="s">
        <v>101</v>
      </c>
      <c r="Q423" s="29" t="s">
        <v>102</v>
      </c>
      <c r="R423" s="29" t="s">
        <v>103</v>
      </c>
      <c r="S423" s="29" t="s">
        <v>208</v>
      </c>
      <c r="T423" s="29" t="s">
        <v>104</v>
      </c>
      <c r="U423" s="29" t="s">
        <v>31</v>
      </c>
      <c r="V423" s="29" t="s">
        <v>31</v>
      </c>
      <c r="W423" s="57">
        <v>39845</v>
      </c>
      <c r="X423" s="8" t="s">
        <v>36</v>
      </c>
      <c r="Y423" s="8">
        <v>0</v>
      </c>
      <c r="Z423" s="8" t="s">
        <v>31</v>
      </c>
      <c r="AA423" s="8" t="s">
        <v>31</v>
      </c>
      <c r="AB423" s="8" t="s">
        <v>364</v>
      </c>
      <c r="AC423" s="29"/>
      <c r="AD423" s="29"/>
      <c r="AE423" s="95" t="s">
        <v>28</v>
      </c>
      <c r="AF423" s="22"/>
      <c r="AG423" s="30">
        <v>44256</v>
      </c>
      <c r="AH423" s="66"/>
      <c r="AI423" s="72">
        <v>44124</v>
      </c>
      <c r="AJ423" s="23" t="s">
        <v>270</v>
      </c>
      <c r="AK423" s="8" t="e">
        <f>VLOOKUP(A423,'[1]Externe MAJ Nov'!$A:$H,8,0)</f>
        <v>#N/A</v>
      </c>
      <c r="AL423" s="29" t="e">
        <f>VLOOKUP(A423,'[1]Externe MAJ Nov'!$A:$G,7,0)</f>
        <v>#N/A</v>
      </c>
      <c r="AM423" s="29" t="s">
        <v>95</v>
      </c>
      <c r="AN423" s="29" t="s">
        <v>27</v>
      </c>
      <c r="AO423" s="58">
        <v>44124</v>
      </c>
      <c r="AP423" s="29" t="e">
        <f>VLOOKUP(A423,'[2]External Scan 02_21'!$B:$J,9,0)</f>
        <v>#N/A</v>
      </c>
      <c r="AQ423" s="29" t="s">
        <v>522</v>
      </c>
      <c r="AR423" s="21"/>
      <c r="AS423" s="21" t="str">
        <f>VLOOKUP(AE423,'ref statu'!A:B,2,0)</f>
        <v>Fixed</v>
      </c>
      <c r="AT423" s="8" t="e">
        <f>VLOOKUP(A423,chk!A:B,2,0)</f>
        <v>#N/A</v>
      </c>
      <c r="AU423" s="29" t="e">
        <f>VLOOKUP(A423,checker!A:B,2,0)</f>
        <v>#N/A</v>
      </c>
      <c r="AV423" s="29" t="e">
        <f>VLOOKUP(A423,checker!B:C,2,0)</f>
        <v>#N/A</v>
      </c>
    </row>
    <row r="424" spans="1:48" x14ac:dyDescent="0.3">
      <c r="A424" s="29" t="str">
        <f t="shared" si="6"/>
        <v>96.692.66.654/443/ssl-cve-2016-2183-sweet32</v>
      </c>
      <c r="B424" s="29" t="s">
        <v>3002</v>
      </c>
      <c r="C424" s="29" t="s">
        <v>361</v>
      </c>
      <c r="D424" s="148" t="s">
        <v>2985</v>
      </c>
      <c r="E424" s="8" t="s">
        <v>362</v>
      </c>
      <c r="F424" s="29"/>
      <c r="G424" s="21" t="s">
        <v>363</v>
      </c>
      <c r="H424" s="29" t="s">
        <v>256</v>
      </c>
      <c r="I424" s="8" t="s">
        <v>257</v>
      </c>
      <c r="J424" s="8">
        <v>443</v>
      </c>
      <c r="K424" s="29" t="s">
        <v>290</v>
      </c>
      <c r="L424" s="29" t="s">
        <v>276</v>
      </c>
      <c r="M424" s="9">
        <v>5</v>
      </c>
      <c r="N424" s="9" t="s">
        <v>29</v>
      </c>
      <c r="O424" s="29" t="s">
        <v>111</v>
      </c>
      <c r="P424" s="29" t="s">
        <v>112</v>
      </c>
      <c r="Q424" s="29" t="s">
        <v>113</v>
      </c>
      <c r="R424" s="29" t="s">
        <v>103</v>
      </c>
      <c r="S424" s="29" t="s">
        <v>208</v>
      </c>
      <c r="T424" s="29" t="s">
        <v>114</v>
      </c>
      <c r="U424" s="29" t="s">
        <v>71</v>
      </c>
      <c r="V424" s="29" t="s">
        <v>278</v>
      </c>
      <c r="W424" s="57">
        <v>42606</v>
      </c>
      <c r="X424" s="8" t="s">
        <v>36</v>
      </c>
      <c r="Y424" s="8">
        <v>1</v>
      </c>
      <c r="Z424" s="8" t="s">
        <v>279</v>
      </c>
      <c r="AA424" s="8" t="s">
        <v>280</v>
      </c>
      <c r="AB424" s="8" t="s">
        <v>364</v>
      </c>
      <c r="AC424" s="29"/>
      <c r="AD424" s="29"/>
      <c r="AE424" s="95" t="s">
        <v>28</v>
      </c>
      <c r="AF424" s="22"/>
      <c r="AG424" s="30">
        <v>44256</v>
      </c>
      <c r="AH424" s="66"/>
      <c r="AI424" s="72">
        <v>44124</v>
      </c>
      <c r="AJ424" s="23" t="s">
        <v>270</v>
      </c>
      <c r="AK424" s="8" t="e">
        <f>VLOOKUP(A424,'[1]Externe MAJ Nov'!$A:$H,8,0)</f>
        <v>#N/A</v>
      </c>
      <c r="AL424" s="29" t="e">
        <f>VLOOKUP(A424,'[1]Externe MAJ Nov'!$A:$G,7,0)</f>
        <v>#N/A</v>
      </c>
      <c r="AM424" s="29" t="s">
        <v>95</v>
      </c>
      <c r="AN424" s="29" t="s">
        <v>27</v>
      </c>
      <c r="AO424" s="58">
        <v>44124</v>
      </c>
      <c r="AP424" s="29" t="e">
        <f>VLOOKUP(A424,'[2]External Scan 02_21'!$B:$J,9,0)</f>
        <v>#N/A</v>
      </c>
      <c r="AQ424" s="29" t="s">
        <v>522</v>
      </c>
      <c r="AR424" s="21"/>
      <c r="AS424" s="21" t="str">
        <f>VLOOKUP(AE424,'ref statu'!A:B,2,0)</f>
        <v>Fixed</v>
      </c>
      <c r="AT424" s="8" t="e">
        <f>VLOOKUP(A424,chk!A:B,2,0)</f>
        <v>#N/A</v>
      </c>
      <c r="AU424" s="29" t="e">
        <f>VLOOKUP(A424,checker!A:B,2,0)</f>
        <v>#N/A</v>
      </c>
      <c r="AV424" s="29" t="e">
        <f>VLOOKUP(A424,checker!B:C,2,0)</f>
        <v>#N/A</v>
      </c>
    </row>
    <row r="425" spans="1:48" x14ac:dyDescent="0.3">
      <c r="A425" s="29" t="str">
        <f t="shared" si="6"/>
        <v>96.692.66.654/443/ssl-self-signed-certificate</v>
      </c>
      <c r="B425" s="29" t="s">
        <v>3002</v>
      </c>
      <c r="C425" s="29" t="s">
        <v>361</v>
      </c>
      <c r="D425" s="148" t="s">
        <v>2985</v>
      </c>
      <c r="E425" s="8" t="s">
        <v>362</v>
      </c>
      <c r="F425" s="29"/>
      <c r="G425" s="21" t="s">
        <v>363</v>
      </c>
      <c r="H425" s="29" t="s">
        <v>256</v>
      </c>
      <c r="I425" s="8" t="s">
        <v>257</v>
      </c>
      <c r="J425" s="8">
        <v>443</v>
      </c>
      <c r="K425" s="29" t="s">
        <v>290</v>
      </c>
      <c r="L425" s="29" t="s">
        <v>276</v>
      </c>
      <c r="M425" s="9">
        <v>4</v>
      </c>
      <c r="N425" s="9" t="s">
        <v>29</v>
      </c>
      <c r="O425" s="29" t="s">
        <v>115</v>
      </c>
      <c r="P425" s="29" t="s">
        <v>116</v>
      </c>
      <c r="Q425" s="29" t="s">
        <v>117</v>
      </c>
      <c r="R425" s="29" t="s">
        <v>118</v>
      </c>
      <c r="S425" s="29" t="s">
        <v>119</v>
      </c>
      <c r="T425" s="29" t="s">
        <v>31</v>
      </c>
      <c r="U425" s="29" t="s">
        <v>31</v>
      </c>
      <c r="V425" s="29" t="s">
        <v>31</v>
      </c>
      <c r="W425" s="57">
        <v>34700</v>
      </c>
      <c r="X425" s="8" t="s">
        <v>36</v>
      </c>
      <c r="Y425" s="8">
        <v>0</v>
      </c>
      <c r="Z425" s="8" t="s">
        <v>31</v>
      </c>
      <c r="AA425" s="8" t="s">
        <v>31</v>
      </c>
      <c r="AB425" s="8" t="s">
        <v>364</v>
      </c>
      <c r="AC425" s="29"/>
      <c r="AD425" s="29"/>
      <c r="AE425" s="95" t="s">
        <v>28</v>
      </c>
      <c r="AF425" s="22"/>
      <c r="AG425" s="30">
        <v>44256</v>
      </c>
      <c r="AH425" s="66"/>
      <c r="AI425" s="72">
        <v>44124</v>
      </c>
      <c r="AJ425" s="23" t="s">
        <v>270</v>
      </c>
      <c r="AK425" s="8" t="e">
        <f>VLOOKUP(A425,'[1]Externe MAJ Nov'!$A:$H,8,0)</f>
        <v>#N/A</v>
      </c>
      <c r="AL425" s="29" t="e">
        <f>VLOOKUP(A425,'[1]Externe MAJ Nov'!$A:$G,7,0)</f>
        <v>#N/A</v>
      </c>
      <c r="AM425" s="29" t="s">
        <v>95</v>
      </c>
      <c r="AN425" s="29" t="s">
        <v>27</v>
      </c>
      <c r="AO425" s="58">
        <v>44124</v>
      </c>
      <c r="AP425" s="29" t="e">
        <f>VLOOKUP(A425,'[2]External Scan 02_21'!$B:$J,9,0)</f>
        <v>#N/A</v>
      </c>
      <c r="AQ425" s="29" t="s">
        <v>522</v>
      </c>
      <c r="AR425" s="21"/>
      <c r="AS425" s="21" t="str">
        <f>VLOOKUP(AE425,'ref statu'!A:B,2,0)</f>
        <v>Fixed</v>
      </c>
      <c r="AT425" s="8" t="e">
        <f>VLOOKUP(A425,chk!A:B,2,0)</f>
        <v>#N/A</v>
      </c>
      <c r="AU425" s="29" t="e">
        <f>VLOOKUP(A425,checker!A:B,2,0)</f>
        <v>#N/A</v>
      </c>
      <c r="AV425" s="29" t="e">
        <f>VLOOKUP(A425,checker!B:C,2,0)</f>
        <v>#N/A</v>
      </c>
    </row>
    <row r="426" spans="1:48" x14ac:dyDescent="0.3">
      <c r="A426" s="29" t="str">
        <f t="shared" si="6"/>
        <v>96.692.66.654/443/ssl-static-key-ciphers</v>
      </c>
      <c r="B426" s="29" t="s">
        <v>3002</v>
      </c>
      <c r="C426" s="29" t="s">
        <v>361</v>
      </c>
      <c r="D426" s="148" t="s">
        <v>2985</v>
      </c>
      <c r="E426" s="8" t="s">
        <v>362</v>
      </c>
      <c r="F426" s="29"/>
      <c r="G426" s="21" t="s">
        <v>363</v>
      </c>
      <c r="H426" s="29" t="s">
        <v>256</v>
      </c>
      <c r="I426" s="8" t="s">
        <v>257</v>
      </c>
      <c r="J426" s="8">
        <v>443</v>
      </c>
      <c r="K426" s="29" t="s">
        <v>290</v>
      </c>
      <c r="L426" s="29" t="s">
        <v>276</v>
      </c>
      <c r="M426" s="9">
        <v>3</v>
      </c>
      <c r="N426" s="9" t="s">
        <v>42</v>
      </c>
      <c r="O426" s="29" t="s">
        <v>120</v>
      </c>
      <c r="P426" s="29" t="s">
        <v>121</v>
      </c>
      <c r="Q426" s="29" t="s">
        <v>122</v>
      </c>
      <c r="R426" s="29" t="s">
        <v>123</v>
      </c>
      <c r="S426" s="29" t="s">
        <v>209</v>
      </c>
      <c r="T426" s="29" t="s">
        <v>124</v>
      </c>
      <c r="U426" s="29" t="s">
        <v>31</v>
      </c>
      <c r="V426" s="29" t="s">
        <v>31</v>
      </c>
      <c r="W426" s="57">
        <v>42036</v>
      </c>
      <c r="X426" s="8" t="s">
        <v>36</v>
      </c>
      <c r="Y426" s="8">
        <v>0</v>
      </c>
      <c r="Z426" s="8" t="s">
        <v>31</v>
      </c>
      <c r="AA426" s="8" t="s">
        <v>31</v>
      </c>
      <c r="AB426" s="8" t="s">
        <v>364</v>
      </c>
      <c r="AC426" s="29"/>
      <c r="AD426" s="29"/>
      <c r="AE426" s="95" t="s">
        <v>28</v>
      </c>
      <c r="AF426" s="22"/>
      <c r="AG426" s="30">
        <v>44256</v>
      </c>
      <c r="AH426" s="66"/>
      <c r="AI426" s="72">
        <v>44124</v>
      </c>
      <c r="AJ426" s="23" t="s">
        <v>270</v>
      </c>
      <c r="AK426" s="8" t="e">
        <f>VLOOKUP(A426,'[1]Externe MAJ Nov'!$A:$H,8,0)</f>
        <v>#N/A</v>
      </c>
      <c r="AL426" s="29" t="e">
        <f>VLOOKUP(A426,'[1]Externe MAJ Nov'!$A:$G,7,0)</f>
        <v>#N/A</v>
      </c>
      <c r="AM426" s="29" t="s">
        <v>95</v>
      </c>
      <c r="AN426" s="29" t="s">
        <v>27</v>
      </c>
      <c r="AO426" s="58">
        <v>44124</v>
      </c>
      <c r="AP426" s="29" t="e">
        <f>VLOOKUP(A426,'[2]External Scan 02_21'!$B:$J,9,0)</f>
        <v>#N/A</v>
      </c>
      <c r="AQ426" s="29" t="s">
        <v>522</v>
      </c>
      <c r="AR426" s="21"/>
      <c r="AS426" s="21" t="str">
        <f>VLOOKUP(AE426,'ref statu'!A:B,2,0)</f>
        <v>Fixed</v>
      </c>
      <c r="AT426" s="8" t="e">
        <f>VLOOKUP(A426,chk!A:B,2,0)</f>
        <v>#N/A</v>
      </c>
      <c r="AU426" s="29" t="e">
        <f>VLOOKUP(A426,checker!A:B,2,0)</f>
        <v>#N/A</v>
      </c>
      <c r="AV426" s="29" t="e">
        <f>VLOOKUP(A426,checker!B:C,2,0)</f>
        <v>#N/A</v>
      </c>
    </row>
    <row r="427" spans="1:48" x14ac:dyDescent="0.3">
      <c r="A427" s="29" t="str">
        <f t="shared" si="6"/>
        <v>96.692.66.654/443/tls-server-cert-sig-alg-sha1</v>
      </c>
      <c r="B427" s="29" t="s">
        <v>3002</v>
      </c>
      <c r="C427" s="29" t="s">
        <v>361</v>
      </c>
      <c r="D427" s="148" t="s">
        <v>2985</v>
      </c>
      <c r="E427" s="8" t="s">
        <v>362</v>
      </c>
      <c r="F427" s="29"/>
      <c r="G427" s="21" t="s">
        <v>363</v>
      </c>
      <c r="H427" s="29" t="s">
        <v>256</v>
      </c>
      <c r="I427" s="8" t="s">
        <v>257</v>
      </c>
      <c r="J427" s="8">
        <v>443</v>
      </c>
      <c r="K427" s="29" t="s">
        <v>290</v>
      </c>
      <c r="L427" s="29" t="s">
        <v>276</v>
      </c>
      <c r="M427" s="9">
        <v>3</v>
      </c>
      <c r="N427" s="9" t="s">
        <v>42</v>
      </c>
      <c r="O427" s="29" t="s">
        <v>158</v>
      </c>
      <c r="P427" s="29" t="s">
        <v>159</v>
      </c>
      <c r="Q427" s="29" t="s">
        <v>160</v>
      </c>
      <c r="R427" s="29" t="s">
        <v>161</v>
      </c>
      <c r="S427" s="29" t="s">
        <v>162</v>
      </c>
      <c r="T427" s="29" t="s">
        <v>163</v>
      </c>
      <c r="U427" s="29" t="s">
        <v>31</v>
      </c>
      <c r="V427" s="29" t="s">
        <v>31</v>
      </c>
      <c r="W427" s="57">
        <v>38396</v>
      </c>
      <c r="X427" s="8" t="s">
        <v>36</v>
      </c>
      <c r="Y427" s="8">
        <v>0</v>
      </c>
      <c r="Z427" s="8" t="s">
        <v>31</v>
      </c>
      <c r="AA427" s="8" t="s">
        <v>31</v>
      </c>
      <c r="AB427" s="8" t="s">
        <v>364</v>
      </c>
      <c r="AC427" s="29"/>
      <c r="AD427" s="29"/>
      <c r="AE427" s="95" t="s">
        <v>28</v>
      </c>
      <c r="AF427" s="22"/>
      <c r="AG427" s="30">
        <v>44256</v>
      </c>
      <c r="AH427" s="66"/>
      <c r="AI427" s="72">
        <v>44124</v>
      </c>
      <c r="AJ427" s="23" t="s">
        <v>270</v>
      </c>
      <c r="AK427" s="8" t="e">
        <f>VLOOKUP(A427,'[1]Externe MAJ Nov'!$A:$H,8,0)</f>
        <v>#N/A</v>
      </c>
      <c r="AL427" s="29" t="e">
        <f>VLOOKUP(A427,'[1]Externe MAJ Nov'!$A:$G,7,0)</f>
        <v>#N/A</v>
      </c>
      <c r="AM427" s="29" t="s">
        <v>95</v>
      </c>
      <c r="AN427" s="29" t="s">
        <v>27</v>
      </c>
      <c r="AO427" s="58">
        <v>44124</v>
      </c>
      <c r="AP427" s="29" t="e">
        <f>VLOOKUP(A427,'[2]External Scan 02_21'!$B:$J,9,0)</f>
        <v>#N/A</v>
      </c>
      <c r="AQ427" s="29" t="s">
        <v>522</v>
      </c>
      <c r="AR427" s="21"/>
      <c r="AS427" s="21" t="str">
        <f>VLOOKUP(AE427,'ref statu'!A:B,2,0)</f>
        <v>Fixed</v>
      </c>
      <c r="AT427" s="8" t="e">
        <f>VLOOKUP(A427,chk!A:B,2,0)</f>
        <v>#N/A</v>
      </c>
      <c r="AU427" s="29" t="e">
        <f>VLOOKUP(A427,checker!A:B,2,0)</f>
        <v>#N/A</v>
      </c>
      <c r="AV427" s="29" t="e">
        <f>VLOOKUP(A427,checker!B:C,2,0)</f>
        <v>#N/A</v>
      </c>
    </row>
    <row r="428" spans="1:48" x14ac:dyDescent="0.3">
      <c r="A428" s="29" t="str">
        <f t="shared" si="6"/>
        <v>96.692.66.654/443/tls-untrusted-ca</v>
      </c>
      <c r="B428" s="29" t="s">
        <v>3002</v>
      </c>
      <c r="C428" s="29" t="s">
        <v>361</v>
      </c>
      <c r="D428" s="148" t="s">
        <v>2985</v>
      </c>
      <c r="E428" s="8" t="s">
        <v>362</v>
      </c>
      <c r="F428" s="29"/>
      <c r="G428" s="21" t="s">
        <v>363</v>
      </c>
      <c r="H428" s="29" t="s">
        <v>256</v>
      </c>
      <c r="I428" s="8" t="s">
        <v>257</v>
      </c>
      <c r="J428" s="8">
        <v>443</v>
      </c>
      <c r="K428" s="29" t="s">
        <v>290</v>
      </c>
      <c r="L428" s="29" t="s">
        <v>276</v>
      </c>
      <c r="M428" s="9">
        <v>6</v>
      </c>
      <c r="N428" s="9" t="s">
        <v>29</v>
      </c>
      <c r="O428" s="29" t="s">
        <v>131</v>
      </c>
      <c r="P428" s="29" t="s">
        <v>132</v>
      </c>
      <c r="Q428" s="29" t="s">
        <v>133</v>
      </c>
      <c r="R428" s="29" t="s">
        <v>134</v>
      </c>
      <c r="S428" s="29" t="s">
        <v>213</v>
      </c>
      <c r="T428" s="29" t="s">
        <v>135</v>
      </c>
      <c r="U428" s="29" t="s">
        <v>31</v>
      </c>
      <c r="V428" s="29" t="s">
        <v>31</v>
      </c>
      <c r="W428" s="57">
        <v>34700</v>
      </c>
      <c r="X428" s="8" t="s">
        <v>36</v>
      </c>
      <c r="Y428" s="8">
        <v>0</v>
      </c>
      <c r="Z428" s="8" t="s">
        <v>31</v>
      </c>
      <c r="AA428" s="8" t="s">
        <v>31</v>
      </c>
      <c r="AB428" s="8" t="s">
        <v>364</v>
      </c>
      <c r="AC428" s="29"/>
      <c r="AD428" s="29"/>
      <c r="AE428" s="95" t="s">
        <v>28</v>
      </c>
      <c r="AF428" s="22"/>
      <c r="AG428" s="30">
        <v>44256</v>
      </c>
      <c r="AH428" s="66"/>
      <c r="AI428" s="72">
        <v>44124</v>
      </c>
      <c r="AJ428" s="23" t="s">
        <v>270</v>
      </c>
      <c r="AK428" s="8" t="e">
        <f>VLOOKUP(A428,'[1]Externe MAJ Nov'!$A:$H,8,0)</f>
        <v>#N/A</v>
      </c>
      <c r="AL428" s="29" t="e">
        <f>VLOOKUP(A428,'[1]Externe MAJ Nov'!$A:$G,7,0)</f>
        <v>#N/A</v>
      </c>
      <c r="AM428" s="29" t="s">
        <v>95</v>
      </c>
      <c r="AN428" s="29" t="s">
        <v>27</v>
      </c>
      <c r="AO428" s="58">
        <v>44124</v>
      </c>
      <c r="AP428" s="29" t="e">
        <f>VLOOKUP(A428,'[2]External Scan 02_21'!$B:$J,9,0)</f>
        <v>#N/A</v>
      </c>
      <c r="AQ428" s="29" t="s">
        <v>522</v>
      </c>
      <c r="AR428" s="21"/>
      <c r="AS428" s="21" t="str">
        <f>VLOOKUP(AE428,'ref statu'!A:B,2,0)</f>
        <v>Fixed</v>
      </c>
      <c r="AT428" s="8" t="e">
        <f>VLOOKUP(A428,chk!A:B,2,0)</f>
        <v>#N/A</v>
      </c>
      <c r="AU428" s="29" t="e">
        <f>VLOOKUP(A428,checker!A:B,2,0)</f>
        <v>#N/A</v>
      </c>
      <c r="AV428" s="29" t="e">
        <f>VLOOKUP(A428,checker!B:C,2,0)</f>
        <v>#N/A</v>
      </c>
    </row>
    <row r="429" spans="1:48" x14ac:dyDescent="0.3">
      <c r="A429" s="29" t="str">
        <f t="shared" si="6"/>
        <v>96.692.66.654/80/http-generic-click-jacking</v>
      </c>
      <c r="B429" s="29" t="s">
        <v>3002</v>
      </c>
      <c r="C429" s="29" t="s">
        <v>361</v>
      </c>
      <c r="D429" s="148" t="s">
        <v>2985</v>
      </c>
      <c r="E429" s="8" t="s">
        <v>362</v>
      </c>
      <c r="F429" s="29"/>
      <c r="G429" s="21" t="s">
        <v>363</v>
      </c>
      <c r="H429" s="29" t="s">
        <v>256</v>
      </c>
      <c r="I429" s="8" t="s">
        <v>257</v>
      </c>
      <c r="J429" s="8">
        <v>80</v>
      </c>
      <c r="K429" s="29" t="s">
        <v>275</v>
      </c>
      <c r="L429" s="29" t="s">
        <v>31</v>
      </c>
      <c r="M429" s="9">
        <v>4</v>
      </c>
      <c r="N429" s="9" t="s">
        <v>29</v>
      </c>
      <c r="O429" s="29" t="s">
        <v>37</v>
      </c>
      <c r="P429" s="29" t="s">
        <v>38</v>
      </c>
      <c r="Q429" s="29" t="s">
        <v>39</v>
      </c>
      <c r="R429" s="29" t="s">
        <v>40</v>
      </c>
      <c r="S429" s="29" t="s">
        <v>367</v>
      </c>
      <c r="T429" s="29" t="s">
        <v>41</v>
      </c>
      <c r="U429" s="29" t="s">
        <v>31</v>
      </c>
      <c r="V429" s="29" t="s">
        <v>31</v>
      </c>
      <c r="W429" s="57">
        <v>39708</v>
      </c>
      <c r="X429" s="8" t="s">
        <v>36</v>
      </c>
      <c r="Y429" s="8">
        <v>0</v>
      </c>
      <c r="Z429" s="8" t="s">
        <v>31</v>
      </c>
      <c r="AA429" s="8" t="s">
        <v>31</v>
      </c>
      <c r="AB429" s="8" t="s">
        <v>368</v>
      </c>
      <c r="AC429" s="29"/>
      <c r="AD429" s="29"/>
      <c r="AE429" s="95" t="s">
        <v>28</v>
      </c>
      <c r="AF429" s="22"/>
      <c r="AG429" s="30">
        <v>44256</v>
      </c>
      <c r="AH429" s="66"/>
      <c r="AI429" s="72">
        <v>44124</v>
      </c>
      <c r="AJ429" s="23" t="s">
        <v>270</v>
      </c>
      <c r="AK429" s="8" t="e">
        <f>VLOOKUP(A429,'[1]Externe MAJ Nov'!$A:$H,8,0)</f>
        <v>#N/A</v>
      </c>
      <c r="AL429" s="29" t="e">
        <f>VLOOKUP(A429,'[1]Externe MAJ Nov'!$A:$G,7,0)</f>
        <v>#N/A</v>
      </c>
      <c r="AM429" s="29" t="s">
        <v>95</v>
      </c>
      <c r="AN429" s="29" t="s">
        <v>27</v>
      </c>
      <c r="AO429" s="58">
        <v>44124</v>
      </c>
      <c r="AP429" s="29" t="e">
        <f>VLOOKUP(A429,'[2]External Scan 02_21'!$B:$J,9,0)</f>
        <v>#N/A</v>
      </c>
      <c r="AQ429" s="29" t="s">
        <v>522</v>
      </c>
      <c r="AR429" s="21"/>
      <c r="AS429" s="21" t="str">
        <f>VLOOKUP(AE429,'ref statu'!A:B,2,0)</f>
        <v>Fixed</v>
      </c>
      <c r="AT429" s="8" t="e">
        <f>VLOOKUP(A429,chk!A:B,2,0)</f>
        <v>#N/A</v>
      </c>
      <c r="AU429" s="29" t="e">
        <f>VLOOKUP(A429,checker!A:B,2,0)</f>
        <v>#N/A</v>
      </c>
      <c r="AV429" s="29" t="e">
        <f>VLOOKUP(A429,checker!B:C,2,0)</f>
        <v>#N/A</v>
      </c>
    </row>
    <row r="430" spans="1:48" x14ac:dyDescent="0.3">
      <c r="A430" s="29" t="str">
        <f t="shared" si="6"/>
        <v>96.692.66.655/0/generic-tcp-timestamp</v>
      </c>
      <c r="B430" s="29" t="s">
        <v>3003</v>
      </c>
      <c r="C430" s="29" t="s">
        <v>2528</v>
      </c>
      <c r="D430" s="148" t="s">
        <v>2989</v>
      </c>
      <c r="E430" s="8" t="s">
        <v>265</v>
      </c>
      <c r="F430" s="29" t="s">
        <v>266</v>
      </c>
      <c r="G430" s="21" t="s">
        <v>370</v>
      </c>
      <c r="H430" s="29" t="s">
        <v>256</v>
      </c>
      <c r="I430" s="8" t="s">
        <v>257</v>
      </c>
      <c r="J430" s="8">
        <v>0</v>
      </c>
      <c r="K430" s="29" t="s">
        <v>258</v>
      </c>
      <c r="L430" s="29" t="s">
        <v>31</v>
      </c>
      <c r="M430" s="9">
        <v>1</v>
      </c>
      <c r="N430" s="9" t="s">
        <v>42</v>
      </c>
      <c r="O430" s="29" t="s">
        <v>78</v>
      </c>
      <c r="P430" s="29" t="s">
        <v>79</v>
      </c>
      <c r="Q430" s="29" t="s">
        <v>80</v>
      </c>
      <c r="R430" s="29" t="s">
        <v>81</v>
      </c>
      <c r="S430" s="29" t="s">
        <v>82</v>
      </c>
      <c r="T430" s="29" t="s">
        <v>83</v>
      </c>
      <c r="U430" s="29" t="s">
        <v>31</v>
      </c>
      <c r="V430" s="29" t="s">
        <v>31</v>
      </c>
      <c r="W430" s="57">
        <v>35643</v>
      </c>
      <c r="X430" s="8" t="s">
        <v>36</v>
      </c>
      <c r="Y430" s="8">
        <v>0</v>
      </c>
      <c r="Z430" s="8" t="s">
        <v>31</v>
      </c>
      <c r="AA430" s="8" t="s">
        <v>31</v>
      </c>
      <c r="AB430" s="8" t="s">
        <v>260</v>
      </c>
      <c r="AC430" s="29"/>
      <c r="AD430" s="29"/>
      <c r="AE430" s="95" t="s">
        <v>28</v>
      </c>
      <c r="AF430" s="30">
        <v>44150</v>
      </c>
      <c r="AG430" s="30">
        <v>44256</v>
      </c>
      <c r="AH430" s="30"/>
      <c r="AI430" s="72">
        <v>44124</v>
      </c>
      <c r="AJ430" s="23" t="s">
        <v>270</v>
      </c>
      <c r="AK430" s="8" t="e">
        <f>VLOOKUP(A430,'[1]Externe MAJ Nov'!$A:$H,8,0)</f>
        <v>#N/A</v>
      </c>
      <c r="AL430" s="29" t="e">
        <f>VLOOKUP(A430,'[1]Externe MAJ Nov'!$A:$G,7,0)</f>
        <v>#N/A</v>
      </c>
      <c r="AM430" s="29" t="s">
        <v>28</v>
      </c>
      <c r="AN430" s="29" t="s">
        <v>27</v>
      </c>
      <c r="AO430" s="58">
        <v>44124</v>
      </c>
      <c r="AP430" s="29" t="e">
        <f>VLOOKUP(A430,'[2]External Scan 02_21'!$B:$J,9,0)</f>
        <v>#N/A</v>
      </c>
      <c r="AQ430" s="29" t="s">
        <v>488</v>
      </c>
      <c r="AR430" s="75" t="s">
        <v>487</v>
      </c>
      <c r="AS430" s="21" t="str">
        <f>VLOOKUP(AE430,'ref statu'!A:B,2,0)</f>
        <v>Fixed</v>
      </c>
      <c r="AT430" s="8" t="e">
        <f>VLOOKUP(A430,chk!A:B,2,0)</f>
        <v>#N/A</v>
      </c>
      <c r="AU430" s="29" t="e">
        <f>VLOOKUP(A430,checker!A:B,2,0)</f>
        <v>#N/A</v>
      </c>
      <c r="AV430" s="29" t="e">
        <f>VLOOKUP(A430,checker!B:C,2,0)</f>
        <v>#N/A</v>
      </c>
    </row>
    <row r="431" spans="1:48" x14ac:dyDescent="0.3">
      <c r="A431" s="29" t="str">
        <f t="shared" si="6"/>
        <v>96.692.66.655/443/certificate-common-name-mismatch</v>
      </c>
      <c r="B431" s="40" t="s">
        <v>3003</v>
      </c>
      <c r="C431" s="21" t="s">
        <v>2531</v>
      </c>
      <c r="D431" s="40"/>
      <c r="E431" s="37" t="s">
        <v>265</v>
      </c>
      <c r="F431" s="43" t="s">
        <v>378</v>
      </c>
      <c r="G431" s="61" t="s">
        <v>370</v>
      </c>
      <c r="H431" s="61" t="s">
        <v>256</v>
      </c>
      <c r="I431" s="37" t="s">
        <v>257</v>
      </c>
      <c r="J431" s="37">
        <v>443</v>
      </c>
      <c r="K431" s="40" t="s">
        <v>290</v>
      </c>
      <c r="L431" s="40" t="s">
        <v>31</v>
      </c>
      <c r="M431" s="9">
        <v>7</v>
      </c>
      <c r="N431" s="20" t="s">
        <v>2540</v>
      </c>
      <c r="O431" s="40" t="s">
        <v>148</v>
      </c>
      <c r="P431" s="61" t="s">
        <v>149</v>
      </c>
      <c r="Q431" s="61" t="s">
        <v>150</v>
      </c>
      <c r="R431" s="61" t="s">
        <v>151</v>
      </c>
      <c r="S431" s="61" t="s">
        <v>243</v>
      </c>
      <c r="T431" s="61" t="s">
        <v>31</v>
      </c>
      <c r="U431" s="61" t="s">
        <v>31</v>
      </c>
      <c r="V431" s="61" t="s">
        <v>31</v>
      </c>
      <c r="W431" s="62">
        <v>39297</v>
      </c>
      <c r="X431" s="37" t="s">
        <v>36</v>
      </c>
      <c r="Y431" s="37">
        <v>0</v>
      </c>
      <c r="Z431" s="37" t="s">
        <v>31</v>
      </c>
      <c r="AA431" s="37" t="s">
        <v>31</v>
      </c>
      <c r="AB431" s="37" t="s">
        <v>513</v>
      </c>
      <c r="AC431" s="40"/>
      <c r="AD431" s="34"/>
      <c r="AE431" s="95" t="s">
        <v>299</v>
      </c>
      <c r="AF431" s="22"/>
      <c r="AG431" s="36"/>
      <c r="AH431" s="40"/>
      <c r="AI431" s="72">
        <v>44185</v>
      </c>
      <c r="AJ431" s="38" t="s">
        <v>270</v>
      </c>
      <c r="AK431" s="39" t="e">
        <f>VLOOKUP(A431,'[1]Externe MAJ Nov'!$A:$H,8,0)</f>
        <v>#N/A</v>
      </c>
      <c r="AL431" s="37" t="s">
        <v>77</v>
      </c>
      <c r="AM431" s="37"/>
      <c r="AN431" s="37"/>
      <c r="AO431" s="58">
        <v>44185</v>
      </c>
      <c r="AQ431" s="8" t="s">
        <v>299</v>
      </c>
      <c r="AR431" s="8"/>
      <c r="AS431" s="21" t="str">
        <f>VLOOKUP(AE431,'ref statu'!A:B,2,0)</f>
        <v>Faux Positive</v>
      </c>
      <c r="AT431" s="8" t="e">
        <f>VLOOKUP(A431,chk!A:B,2,0)</f>
        <v>#N/A</v>
      </c>
      <c r="AU431" s="29" t="e">
        <f>VLOOKUP(A431,checker!A:B,2,0)</f>
        <v>#N/A</v>
      </c>
      <c r="AV431" s="29" t="e">
        <f>VLOOKUP(A431,checker!B:C,2,0)</f>
        <v>#N/A</v>
      </c>
    </row>
    <row r="432" spans="1:48" x14ac:dyDescent="0.3">
      <c r="A432" s="29" t="str">
        <f t="shared" si="6"/>
        <v>96.692.66.655/443/http-generic-browsable-dir</v>
      </c>
      <c r="B432" s="41" t="s">
        <v>3003</v>
      </c>
      <c r="C432" s="21" t="s">
        <v>2531</v>
      </c>
      <c r="D432" s="41"/>
      <c r="E432" s="39" t="s">
        <v>95</v>
      </c>
      <c r="H432" s="43" t="s">
        <v>256</v>
      </c>
      <c r="I432" s="39" t="s">
        <v>2493</v>
      </c>
      <c r="J432" s="39" t="s">
        <v>2494</v>
      </c>
      <c r="K432" s="41" t="s">
        <v>290</v>
      </c>
      <c r="L432" s="41" t="s">
        <v>31</v>
      </c>
      <c r="M432" s="9" t="s">
        <v>2488</v>
      </c>
      <c r="N432" s="19" t="s">
        <v>29</v>
      </c>
      <c r="O432" s="41" t="s">
        <v>32</v>
      </c>
      <c r="P432" s="43" t="s">
        <v>32</v>
      </c>
      <c r="Q432" s="43" t="s">
        <v>33</v>
      </c>
      <c r="R432" s="43" t="s">
        <v>34</v>
      </c>
      <c r="S432" s="43" t="s">
        <v>35</v>
      </c>
      <c r="T432" s="43" t="s">
        <v>2499</v>
      </c>
      <c r="U432" s="43" t="s">
        <v>31</v>
      </c>
      <c r="V432" s="43" t="s">
        <v>31</v>
      </c>
      <c r="W432" s="43" t="s">
        <v>2512</v>
      </c>
      <c r="AB432" s="39" t="s">
        <v>2520</v>
      </c>
      <c r="AE432" s="95" t="s">
        <v>2538</v>
      </c>
      <c r="AF432" s="22"/>
      <c r="AI432" s="72">
        <v>44247</v>
      </c>
      <c r="AK432" s="39" t="s">
        <v>27</v>
      </c>
      <c r="AL432" s="43" t="s">
        <v>77</v>
      </c>
      <c r="AM432" s="43"/>
      <c r="AN432" s="43"/>
      <c r="AP432" s="29" t="e">
        <f>VLOOKUP(A432,'[2]External Scan 02_21'!$B:$J,9,0)</f>
        <v>#N/A</v>
      </c>
      <c r="AQ432" s="29" t="s">
        <v>520</v>
      </c>
      <c r="AR432" s="21"/>
      <c r="AS432" s="21" t="str">
        <f>VLOOKUP(AE432,'ref statu'!A:B,2,0)</f>
        <v>Not Fixed en cours d'investigation / Planification</v>
      </c>
      <c r="AT432" s="8" t="e">
        <f>VLOOKUP(A432,chk!A:B,2,0)</f>
        <v>#N/A</v>
      </c>
      <c r="AU432" s="29" t="e">
        <f>VLOOKUP(A432,checker!A:B,2,0)</f>
        <v>#N/A</v>
      </c>
      <c r="AV432" s="29" t="e">
        <f>VLOOKUP(A432,checker!B:C,2,0)</f>
        <v>#N/A</v>
      </c>
    </row>
    <row r="433" spans="1:48" x14ac:dyDescent="0.3">
      <c r="A433" s="29" t="str">
        <f t="shared" si="6"/>
        <v>96.692.66.655/443/http-generic-click-jacking</v>
      </c>
      <c r="B433" s="40" t="s">
        <v>3003</v>
      </c>
      <c r="C433" s="21" t="s">
        <v>2531</v>
      </c>
      <c r="D433" s="152" t="s">
        <v>2989</v>
      </c>
      <c r="E433" s="37" t="s">
        <v>265</v>
      </c>
      <c r="F433" s="43" t="s">
        <v>378</v>
      </c>
      <c r="G433" s="61" t="s">
        <v>370</v>
      </c>
      <c r="H433" s="61" t="s">
        <v>256</v>
      </c>
      <c r="I433" s="37" t="s">
        <v>257</v>
      </c>
      <c r="J433" s="37">
        <v>443</v>
      </c>
      <c r="K433" s="40" t="s">
        <v>290</v>
      </c>
      <c r="L433" s="40" t="s">
        <v>31</v>
      </c>
      <c r="M433" s="9">
        <v>4</v>
      </c>
      <c r="N433" s="19" t="s">
        <v>29</v>
      </c>
      <c r="O433" s="40" t="s">
        <v>37</v>
      </c>
      <c r="P433" s="61" t="s">
        <v>38</v>
      </c>
      <c r="Q433" s="61" t="s">
        <v>39</v>
      </c>
      <c r="R433" s="61" t="s">
        <v>40</v>
      </c>
      <c r="S433" s="61" t="s">
        <v>2454</v>
      </c>
      <c r="T433" s="61" t="s">
        <v>41</v>
      </c>
      <c r="U433" s="61" t="s">
        <v>31</v>
      </c>
      <c r="V433" s="61" t="s">
        <v>31</v>
      </c>
      <c r="W433" s="62">
        <v>39708</v>
      </c>
      <c r="X433" s="37" t="s">
        <v>36</v>
      </c>
      <c r="Y433" s="37">
        <v>0</v>
      </c>
      <c r="Z433" s="37" t="s">
        <v>31</v>
      </c>
      <c r="AA433" s="37" t="s">
        <v>31</v>
      </c>
      <c r="AB433" s="37" t="s">
        <v>513</v>
      </c>
      <c r="AC433" s="40"/>
      <c r="AD433" s="33"/>
      <c r="AE433" s="95" t="s">
        <v>2538</v>
      </c>
      <c r="AF433" s="22"/>
      <c r="AG433" s="36"/>
      <c r="AH433" s="40"/>
      <c r="AI433" s="72">
        <v>44185</v>
      </c>
      <c r="AJ433" s="38" t="s">
        <v>270</v>
      </c>
      <c r="AK433" s="39" t="e">
        <f>VLOOKUP(A433,'[1]Externe MAJ Nov'!$A:$H,8,0)</f>
        <v>#N/A</v>
      </c>
      <c r="AL433" s="61" t="s">
        <v>77</v>
      </c>
      <c r="AM433" s="61"/>
      <c r="AN433" s="61"/>
      <c r="AO433" s="58">
        <v>44185</v>
      </c>
      <c r="AP433" s="29"/>
      <c r="AQ433" s="29" t="s">
        <v>520</v>
      </c>
      <c r="AR433" s="21"/>
      <c r="AS433" s="21" t="str">
        <f>VLOOKUP(AE433,'ref statu'!A:B,2,0)</f>
        <v>Not Fixed en cours d'investigation / Planification</v>
      </c>
      <c r="AT433" s="8" t="e">
        <f>VLOOKUP(A433,chk!A:B,2,0)</f>
        <v>#N/A</v>
      </c>
      <c r="AU433" s="29" t="e">
        <f>VLOOKUP(A433,checker!A:B,2,0)</f>
        <v>#N/A</v>
      </c>
      <c r="AV433" s="29" t="e">
        <f>VLOOKUP(A433,checker!B:C,2,0)</f>
        <v>#N/A</v>
      </c>
    </row>
    <row r="434" spans="1:48" x14ac:dyDescent="0.3">
      <c r="A434" s="29" t="str">
        <f t="shared" si="6"/>
        <v>96.692.66.655/80/http-generic-click-jacking</v>
      </c>
      <c r="B434" s="29" t="s">
        <v>3003</v>
      </c>
      <c r="C434" s="29" t="s">
        <v>2528</v>
      </c>
      <c r="D434" s="148" t="s">
        <v>2989</v>
      </c>
      <c r="E434" s="8" t="s">
        <v>265</v>
      </c>
      <c r="F434" s="29" t="s">
        <v>266</v>
      </c>
      <c r="G434" s="21" t="s">
        <v>370</v>
      </c>
      <c r="H434" s="29" t="s">
        <v>256</v>
      </c>
      <c r="I434" s="8" t="s">
        <v>257</v>
      </c>
      <c r="J434" s="8">
        <v>80</v>
      </c>
      <c r="K434" s="29" t="s">
        <v>275</v>
      </c>
      <c r="L434" s="29" t="s">
        <v>31</v>
      </c>
      <c r="M434" s="9">
        <v>4</v>
      </c>
      <c r="N434" s="9" t="s">
        <v>29</v>
      </c>
      <c r="O434" s="29" t="s">
        <v>37</v>
      </c>
      <c r="P434" s="29" t="s">
        <v>38</v>
      </c>
      <c r="Q434" s="29" t="s">
        <v>39</v>
      </c>
      <c r="R434" s="29" t="s">
        <v>40</v>
      </c>
      <c r="S434" s="29" t="s">
        <v>371</v>
      </c>
      <c r="T434" s="29" t="s">
        <v>41</v>
      </c>
      <c r="U434" s="29" t="s">
        <v>31</v>
      </c>
      <c r="V434" s="29" t="s">
        <v>31</v>
      </c>
      <c r="W434" s="57">
        <v>39708</v>
      </c>
      <c r="X434" s="8" t="s">
        <v>36</v>
      </c>
      <c r="Y434" s="8">
        <v>0</v>
      </c>
      <c r="Z434" s="8" t="s">
        <v>31</v>
      </c>
      <c r="AA434" s="8" t="s">
        <v>31</v>
      </c>
      <c r="AB434" s="8" t="s">
        <v>260</v>
      </c>
      <c r="AC434" s="29"/>
      <c r="AD434" s="29"/>
      <c r="AE434" s="95" t="s">
        <v>28</v>
      </c>
      <c r="AF434" s="30">
        <v>44150</v>
      </c>
      <c r="AG434" s="30">
        <v>44256</v>
      </c>
      <c r="AH434" s="30"/>
      <c r="AI434" s="72">
        <v>44124</v>
      </c>
      <c r="AJ434" s="23" t="s">
        <v>270</v>
      </c>
      <c r="AK434" s="8" t="e">
        <f>VLOOKUP(A434,'[1]Externe MAJ Nov'!$A:$H,8,0)</f>
        <v>#N/A</v>
      </c>
      <c r="AL434" s="29" t="e">
        <f>VLOOKUP(A434,'[1]Externe MAJ Nov'!$A:$G,7,0)</f>
        <v>#N/A</v>
      </c>
      <c r="AM434" s="29" t="s">
        <v>28</v>
      </c>
      <c r="AN434" s="29" t="s">
        <v>27</v>
      </c>
      <c r="AO434" s="58">
        <v>44124</v>
      </c>
      <c r="AP434" s="29" t="e">
        <f>VLOOKUP(A434,'[2]External Scan 02_21'!$B:$J,9,0)</f>
        <v>#N/A</v>
      </c>
      <c r="AQ434" s="29" t="s">
        <v>488</v>
      </c>
      <c r="AR434" s="75" t="s">
        <v>487</v>
      </c>
      <c r="AS434" s="21" t="str">
        <f>VLOOKUP(AE434,'ref statu'!A:B,2,0)</f>
        <v>Fixed</v>
      </c>
      <c r="AT434" s="8" t="e">
        <f>VLOOKUP(A434,chk!A:B,2,0)</f>
        <v>#N/A</v>
      </c>
      <c r="AU434" s="29" t="e">
        <f>VLOOKUP(A434,checker!A:B,2,0)</f>
        <v>#N/A</v>
      </c>
      <c r="AV434" s="29" t="e">
        <f>VLOOKUP(A434,checker!B:C,2,0)</f>
        <v>#N/A</v>
      </c>
    </row>
    <row r="435" spans="1:48" x14ac:dyDescent="0.3">
      <c r="A435" s="29" t="str">
        <f t="shared" si="6"/>
        <v>96.692.66.657/0/generic-tcp-timestamp</v>
      </c>
      <c r="B435" s="29" t="s">
        <v>3004</v>
      </c>
      <c r="C435" s="29" t="s">
        <v>372</v>
      </c>
      <c r="D435" s="8" t="s">
        <v>2978</v>
      </c>
      <c r="E435" s="8" t="s">
        <v>307</v>
      </c>
      <c r="F435" s="29"/>
      <c r="G435" s="21" t="s">
        <v>373</v>
      </c>
      <c r="H435" s="29" t="s">
        <v>256</v>
      </c>
      <c r="I435" s="8" t="s">
        <v>257</v>
      </c>
      <c r="J435" s="8">
        <v>0</v>
      </c>
      <c r="K435" s="29" t="s">
        <v>258</v>
      </c>
      <c r="L435" s="29" t="s">
        <v>31</v>
      </c>
      <c r="M435" s="9">
        <v>1</v>
      </c>
      <c r="N435" s="9" t="s">
        <v>42</v>
      </c>
      <c r="O435" s="29" t="s">
        <v>78</v>
      </c>
      <c r="P435" s="29" t="s">
        <v>79</v>
      </c>
      <c r="Q435" s="29" t="s">
        <v>80</v>
      </c>
      <c r="R435" s="29" t="s">
        <v>81</v>
      </c>
      <c r="S435" s="29" t="s">
        <v>82</v>
      </c>
      <c r="T435" s="29" t="s">
        <v>83</v>
      </c>
      <c r="U435" s="29" t="s">
        <v>31</v>
      </c>
      <c r="V435" s="29" t="s">
        <v>31</v>
      </c>
      <c r="W435" s="29">
        <v>35643</v>
      </c>
      <c r="X435" s="8" t="s">
        <v>36</v>
      </c>
      <c r="Y435" s="8">
        <v>0</v>
      </c>
      <c r="Z435" s="8" t="s">
        <v>31</v>
      </c>
      <c r="AA435" s="8" t="s">
        <v>31</v>
      </c>
      <c r="AB435" s="8" t="s">
        <v>260</v>
      </c>
      <c r="AC435" s="29"/>
      <c r="AD435" s="29"/>
      <c r="AE435" s="95" t="s">
        <v>28</v>
      </c>
      <c r="AF435" s="30">
        <v>44150</v>
      </c>
      <c r="AG435" s="30">
        <v>44150</v>
      </c>
      <c r="AH435" s="25">
        <v>44150</v>
      </c>
      <c r="AI435" s="72">
        <v>44124</v>
      </c>
      <c r="AJ435" s="23" t="s">
        <v>27</v>
      </c>
      <c r="AK435" s="8" t="e">
        <f>VLOOKUP(A435,'[1]Externe MAJ Nov'!$A:$H,8,0)</f>
        <v>#N/A</v>
      </c>
      <c r="AL435" s="29" t="e">
        <f>VLOOKUP(A435,'[1]Externe MAJ Nov'!$A:$G,7,0)</f>
        <v>#N/A</v>
      </c>
      <c r="AM435" s="29" t="s">
        <v>28</v>
      </c>
      <c r="AN435" s="29" t="s">
        <v>27</v>
      </c>
      <c r="AO435" s="58">
        <v>44124</v>
      </c>
      <c r="AP435" s="29" t="e">
        <f>VLOOKUP(A435,'[2]External Scan 02_21'!$B:$J,9,0)</f>
        <v>#N/A</v>
      </c>
      <c r="AQ435" s="29" t="s">
        <v>28</v>
      </c>
      <c r="AR435" s="21"/>
      <c r="AS435" s="21" t="str">
        <f>VLOOKUP(AE435,'ref statu'!A:B,2,0)</f>
        <v>Fixed</v>
      </c>
      <c r="AT435" s="8" t="e">
        <f>VLOOKUP(A435,chk!A:B,2,0)</f>
        <v>#N/A</v>
      </c>
      <c r="AU435" s="29" t="e">
        <f>VLOOKUP(A435,checker!A:B,2,0)</f>
        <v>#N/A</v>
      </c>
      <c r="AV435" s="29" t="e">
        <f>VLOOKUP(A435,checker!B:C,2,0)</f>
        <v>#N/A</v>
      </c>
    </row>
    <row r="436" spans="1:48" x14ac:dyDescent="0.3">
      <c r="A436" s="29" t="str">
        <f t="shared" si="6"/>
        <v>96.692.66.657/443/http-generic-click-jacking</v>
      </c>
      <c r="B436" s="29" t="s">
        <v>3004</v>
      </c>
      <c r="C436" s="29" t="s">
        <v>372</v>
      </c>
      <c r="D436" s="8" t="s">
        <v>2978</v>
      </c>
      <c r="E436" s="8" t="s">
        <v>311</v>
      </c>
      <c r="F436" s="29"/>
      <c r="G436" s="21" t="s">
        <v>373</v>
      </c>
      <c r="H436" s="29" t="s">
        <v>256</v>
      </c>
      <c r="I436" s="8" t="s">
        <v>257</v>
      </c>
      <c r="J436" s="8">
        <v>443</v>
      </c>
      <c r="K436" s="29" t="s">
        <v>290</v>
      </c>
      <c r="L436" s="29" t="s">
        <v>31</v>
      </c>
      <c r="M436" s="9">
        <v>4</v>
      </c>
      <c r="N436" s="9" t="s">
        <v>29</v>
      </c>
      <c r="O436" s="29" t="s">
        <v>37</v>
      </c>
      <c r="P436" s="29" t="s">
        <v>38</v>
      </c>
      <c r="Q436" s="29" t="s">
        <v>39</v>
      </c>
      <c r="R436" s="29" t="s">
        <v>40</v>
      </c>
      <c r="S436" s="29" t="s">
        <v>375</v>
      </c>
      <c r="T436" s="29" t="s">
        <v>41</v>
      </c>
      <c r="U436" s="29" t="s">
        <v>31</v>
      </c>
      <c r="V436" s="29" t="s">
        <v>31</v>
      </c>
      <c r="W436" s="29">
        <v>39708</v>
      </c>
      <c r="X436" s="8" t="s">
        <v>36</v>
      </c>
      <c r="Y436" s="8">
        <v>0</v>
      </c>
      <c r="Z436" s="8" t="s">
        <v>31</v>
      </c>
      <c r="AA436" s="8" t="s">
        <v>31</v>
      </c>
      <c r="AB436" s="8" t="s">
        <v>318</v>
      </c>
      <c r="AC436" s="29"/>
      <c r="AD436" s="29"/>
      <c r="AE436" s="95" t="s">
        <v>28</v>
      </c>
      <c r="AF436" s="30">
        <v>44142</v>
      </c>
      <c r="AG436" s="30">
        <v>44142</v>
      </c>
      <c r="AH436" s="25">
        <v>44142</v>
      </c>
      <c r="AI436" s="72">
        <v>44124</v>
      </c>
      <c r="AJ436" s="23" t="s">
        <v>27</v>
      </c>
      <c r="AK436" s="8" t="e">
        <f>VLOOKUP(A436,'[1]Externe MAJ Nov'!$A:$H,8,0)</f>
        <v>#N/A</v>
      </c>
      <c r="AL436" s="29" t="e">
        <f>VLOOKUP(A436,'[1]Externe MAJ Nov'!$A:$G,7,0)</f>
        <v>#N/A</v>
      </c>
      <c r="AM436" s="29" t="s">
        <v>28</v>
      </c>
      <c r="AN436" s="29" t="s">
        <v>27</v>
      </c>
      <c r="AO436" s="58">
        <v>44124</v>
      </c>
      <c r="AP436" s="29" t="e">
        <f>VLOOKUP(A436,'[2]External Scan 02_21'!$B:$J,9,0)</f>
        <v>#N/A</v>
      </c>
      <c r="AQ436" s="29" t="s">
        <v>28</v>
      </c>
      <c r="AR436" s="21"/>
      <c r="AS436" s="21" t="str">
        <f>VLOOKUP(AE436,'ref statu'!A:B,2,0)</f>
        <v>Fixed</v>
      </c>
      <c r="AT436" s="8" t="e">
        <f>VLOOKUP(A436,chk!A:B,2,0)</f>
        <v>#N/A</v>
      </c>
      <c r="AU436" s="29" t="e">
        <f>VLOOKUP(A436,checker!A:B,2,0)</f>
        <v>#N/A</v>
      </c>
      <c r="AV436" s="29" t="e">
        <f>VLOOKUP(A436,checker!B:C,2,0)</f>
        <v>#N/A</v>
      </c>
    </row>
    <row r="437" spans="1:48" x14ac:dyDescent="0.3">
      <c r="A437" s="29" t="str">
        <f t="shared" si="6"/>
        <v>96.692.66.657/443/ssl-3des-ciphers</v>
      </c>
      <c r="B437" s="29" t="s">
        <v>3004</v>
      </c>
      <c r="C437" s="29" t="s">
        <v>372</v>
      </c>
      <c r="D437" s="8" t="s">
        <v>2978</v>
      </c>
      <c r="E437" s="8" t="s">
        <v>307</v>
      </c>
      <c r="F437" s="29"/>
      <c r="G437" s="21" t="s">
        <v>373</v>
      </c>
      <c r="H437" s="29" t="s">
        <v>256</v>
      </c>
      <c r="I437" s="8" t="s">
        <v>257</v>
      </c>
      <c r="J437" s="8">
        <v>443</v>
      </c>
      <c r="K437" s="29" t="s">
        <v>290</v>
      </c>
      <c r="L437" s="29" t="s">
        <v>31</v>
      </c>
      <c r="M437" s="9">
        <v>1</v>
      </c>
      <c r="N437" s="9" t="s">
        <v>42</v>
      </c>
      <c r="O437" s="29" t="s">
        <v>100</v>
      </c>
      <c r="P437" s="29" t="s">
        <v>101</v>
      </c>
      <c r="Q437" s="29" t="s">
        <v>102</v>
      </c>
      <c r="R437" s="29" t="s">
        <v>103</v>
      </c>
      <c r="S437" s="29" t="s">
        <v>208</v>
      </c>
      <c r="T437" s="29" t="s">
        <v>104</v>
      </c>
      <c r="U437" s="29" t="s">
        <v>31</v>
      </c>
      <c r="V437" s="29" t="s">
        <v>31</v>
      </c>
      <c r="W437" s="29">
        <v>39845</v>
      </c>
      <c r="X437" s="8" t="s">
        <v>36</v>
      </c>
      <c r="Y437" s="8">
        <v>0</v>
      </c>
      <c r="Z437" s="8" t="s">
        <v>31</v>
      </c>
      <c r="AA437" s="8" t="s">
        <v>31</v>
      </c>
      <c r="AB437" s="8" t="s">
        <v>374</v>
      </c>
      <c r="AC437" s="29"/>
      <c r="AD437" s="29"/>
      <c r="AE437" s="95" t="s">
        <v>28</v>
      </c>
      <c r="AF437" s="30">
        <v>44150</v>
      </c>
      <c r="AG437" s="30">
        <v>44150</v>
      </c>
      <c r="AH437" s="25">
        <v>44150</v>
      </c>
      <c r="AI437" s="72">
        <v>44124</v>
      </c>
      <c r="AJ437" s="23" t="s">
        <v>27</v>
      </c>
      <c r="AK437" s="8" t="e">
        <f>VLOOKUP(A437,'[1]Externe MAJ Nov'!$A:$H,8,0)</f>
        <v>#N/A</v>
      </c>
      <c r="AL437" s="29" t="e">
        <f>VLOOKUP(A437,'[1]Externe MAJ Nov'!$A:$G,7,0)</f>
        <v>#N/A</v>
      </c>
      <c r="AM437" s="29" t="s">
        <v>493</v>
      </c>
      <c r="AN437" s="29" t="s">
        <v>27</v>
      </c>
      <c r="AO437" s="58">
        <v>44124</v>
      </c>
      <c r="AP437" s="29" t="e">
        <f>VLOOKUP(A437,'[2]External Scan 02_21'!$B:$J,9,0)</f>
        <v>#N/A</v>
      </c>
      <c r="AQ437" s="29" t="s">
        <v>28</v>
      </c>
      <c r="AR437" s="21"/>
      <c r="AS437" s="21" t="str">
        <f>VLOOKUP(AE437,'ref statu'!A:B,2,0)</f>
        <v>Fixed</v>
      </c>
      <c r="AT437" s="8" t="e">
        <f>VLOOKUP(A437,chk!A:B,2,0)</f>
        <v>#N/A</v>
      </c>
      <c r="AU437" s="29" t="e">
        <f>VLOOKUP(A437,checker!A:B,2,0)</f>
        <v>#N/A</v>
      </c>
      <c r="AV437" s="29" t="e">
        <f>VLOOKUP(A437,checker!B:C,2,0)</f>
        <v>#N/A</v>
      </c>
    </row>
    <row r="438" spans="1:48" x14ac:dyDescent="0.3">
      <c r="A438" s="29" t="str">
        <f t="shared" si="6"/>
        <v>96.692.66.657/443/ssl-cve-2016-2183-sweet32</v>
      </c>
      <c r="B438" s="29" t="s">
        <v>3004</v>
      </c>
      <c r="C438" s="29" t="s">
        <v>372</v>
      </c>
      <c r="D438" s="8" t="s">
        <v>2978</v>
      </c>
      <c r="E438" s="8" t="s">
        <v>311</v>
      </c>
      <c r="F438" s="29"/>
      <c r="G438" s="21" t="s">
        <v>373</v>
      </c>
      <c r="H438" s="29" t="s">
        <v>256</v>
      </c>
      <c r="I438" s="8" t="s">
        <v>257</v>
      </c>
      <c r="J438" s="8">
        <v>443</v>
      </c>
      <c r="K438" s="29" t="s">
        <v>290</v>
      </c>
      <c r="L438" s="29" t="s">
        <v>31</v>
      </c>
      <c r="M438" s="9">
        <v>5</v>
      </c>
      <c r="N438" s="9" t="s">
        <v>29</v>
      </c>
      <c r="O438" s="29" t="s">
        <v>111</v>
      </c>
      <c r="P438" s="29" t="s">
        <v>112</v>
      </c>
      <c r="Q438" s="29" t="s">
        <v>113</v>
      </c>
      <c r="R438" s="29" t="s">
        <v>103</v>
      </c>
      <c r="S438" s="29" t="s">
        <v>208</v>
      </c>
      <c r="T438" s="29" t="s">
        <v>114</v>
      </c>
      <c r="U438" s="29" t="s">
        <v>71</v>
      </c>
      <c r="V438" s="29" t="s">
        <v>278</v>
      </c>
      <c r="W438" s="29">
        <v>42606</v>
      </c>
      <c r="X438" s="8" t="s">
        <v>36</v>
      </c>
      <c r="Y438" s="8">
        <v>1</v>
      </c>
      <c r="Z438" s="8" t="s">
        <v>279</v>
      </c>
      <c r="AA438" s="8" t="s">
        <v>280</v>
      </c>
      <c r="AB438" s="8" t="s">
        <v>374</v>
      </c>
      <c r="AC438" s="29"/>
      <c r="AD438" s="29"/>
      <c r="AE438" s="95" t="s">
        <v>28</v>
      </c>
      <c r="AF438" s="22">
        <f>AG438</f>
        <v>44215</v>
      </c>
      <c r="AG438" s="30">
        <v>44215</v>
      </c>
      <c r="AH438" s="25">
        <v>44142</v>
      </c>
      <c r="AI438" s="72">
        <v>44124</v>
      </c>
      <c r="AJ438" s="23" t="s">
        <v>27</v>
      </c>
      <c r="AK438" s="8" t="e">
        <f>VLOOKUP(A438,'[1]Externe MAJ Nov'!$A:$H,8,0)</f>
        <v>#N/A</v>
      </c>
      <c r="AL438" s="29" t="e">
        <f>VLOOKUP(A438,'[1]Externe MAJ Nov'!$A:$G,7,0)</f>
        <v>#N/A</v>
      </c>
      <c r="AM438" s="29" t="s">
        <v>95</v>
      </c>
      <c r="AN438" s="29" t="s">
        <v>27</v>
      </c>
      <c r="AO438" s="58">
        <v>44124</v>
      </c>
      <c r="AP438" s="29" t="e">
        <f>VLOOKUP(A438,'[2]External Scan 02_21'!$B:$J,9,0)</f>
        <v>#N/A</v>
      </c>
      <c r="AQ438" s="29" t="s">
        <v>28</v>
      </c>
      <c r="AR438" s="21"/>
      <c r="AS438" s="21" t="str">
        <f>VLOOKUP(AE438,'ref statu'!A:B,2,0)</f>
        <v>Fixed</v>
      </c>
      <c r="AT438" s="8" t="e">
        <f>VLOOKUP(A438,chk!A:B,2,0)</f>
        <v>#N/A</v>
      </c>
      <c r="AU438" s="29" t="e">
        <f>VLOOKUP(A438,checker!A:B,2,0)</f>
        <v>#N/A</v>
      </c>
      <c r="AV438" s="29" t="e">
        <f>VLOOKUP(A438,checker!B:C,2,0)</f>
        <v>#N/A</v>
      </c>
    </row>
    <row r="439" spans="1:48" x14ac:dyDescent="0.3">
      <c r="A439" s="29" t="str">
        <f t="shared" si="6"/>
        <v>96.692.66.657/443/ssl-static-key-ciphers</v>
      </c>
      <c r="B439" s="29" t="s">
        <v>3004</v>
      </c>
      <c r="C439" s="29" t="s">
        <v>372</v>
      </c>
      <c r="D439" s="8" t="s">
        <v>2978</v>
      </c>
      <c r="E439" s="8" t="s">
        <v>307</v>
      </c>
      <c r="F439" s="29"/>
      <c r="G439" s="21" t="s">
        <v>373</v>
      </c>
      <c r="H439" s="29" t="s">
        <v>256</v>
      </c>
      <c r="I439" s="8" t="s">
        <v>257</v>
      </c>
      <c r="J439" s="8">
        <v>443</v>
      </c>
      <c r="K439" s="29" t="s">
        <v>290</v>
      </c>
      <c r="L439" s="29" t="s">
        <v>31</v>
      </c>
      <c r="M439" s="9">
        <v>3</v>
      </c>
      <c r="N439" s="9" t="s">
        <v>42</v>
      </c>
      <c r="O439" s="29" t="s">
        <v>120</v>
      </c>
      <c r="P439" s="29" t="s">
        <v>121</v>
      </c>
      <c r="Q439" s="29" t="s">
        <v>122</v>
      </c>
      <c r="R439" s="29" t="s">
        <v>123</v>
      </c>
      <c r="S439" s="29" t="s">
        <v>209</v>
      </c>
      <c r="T439" s="29" t="s">
        <v>124</v>
      </c>
      <c r="U439" s="29" t="s">
        <v>31</v>
      </c>
      <c r="V439" s="29" t="s">
        <v>31</v>
      </c>
      <c r="W439" s="29">
        <v>42036</v>
      </c>
      <c r="X439" s="8" t="s">
        <v>36</v>
      </c>
      <c r="Y439" s="8">
        <v>0</v>
      </c>
      <c r="Z439" s="8" t="s">
        <v>31</v>
      </c>
      <c r="AA439" s="8" t="s">
        <v>31</v>
      </c>
      <c r="AB439" s="8" t="s">
        <v>374</v>
      </c>
      <c r="AC439" s="29"/>
      <c r="AD439" s="29"/>
      <c r="AE439" s="95" t="s">
        <v>28</v>
      </c>
      <c r="AF439" s="30">
        <v>44150</v>
      </c>
      <c r="AG439" s="30">
        <v>44150</v>
      </c>
      <c r="AH439" s="25">
        <v>44150</v>
      </c>
      <c r="AI439" s="72">
        <v>44124</v>
      </c>
      <c r="AJ439" s="23" t="s">
        <v>27</v>
      </c>
      <c r="AK439" s="8" t="e">
        <f>VLOOKUP(A439,'[1]Externe MAJ Nov'!$A:$H,8,0)</f>
        <v>#N/A</v>
      </c>
      <c r="AL439" s="29" t="e">
        <f>VLOOKUP(A439,'[1]Externe MAJ Nov'!$A:$G,7,0)</f>
        <v>#N/A</v>
      </c>
      <c r="AM439" s="29" t="s">
        <v>493</v>
      </c>
      <c r="AN439" s="29" t="s">
        <v>27</v>
      </c>
      <c r="AO439" s="58">
        <v>44124</v>
      </c>
      <c r="AP439" s="29" t="e">
        <f>VLOOKUP(A439,'[2]External Scan 02_21'!$B:$J,9,0)</f>
        <v>#N/A</v>
      </c>
      <c r="AQ439" s="29" t="s">
        <v>28</v>
      </c>
      <c r="AR439" s="21"/>
      <c r="AS439" s="21" t="str">
        <f>VLOOKUP(AE439,'ref statu'!A:B,2,0)</f>
        <v>Fixed</v>
      </c>
      <c r="AT439" s="8" t="e">
        <f>VLOOKUP(A439,chk!A:B,2,0)</f>
        <v>#N/A</v>
      </c>
      <c r="AU439" s="29" t="e">
        <f>VLOOKUP(A439,checker!A:B,2,0)</f>
        <v>#N/A</v>
      </c>
      <c r="AV439" s="29" t="e">
        <f>VLOOKUP(A439,checker!B:C,2,0)</f>
        <v>#N/A</v>
      </c>
    </row>
    <row r="440" spans="1:48" x14ac:dyDescent="0.3">
      <c r="A440" s="29" t="str">
        <f t="shared" si="6"/>
        <v>96.692.66.657/443/tls-server-cert-expired</v>
      </c>
      <c r="B440" s="61" t="s">
        <v>3004</v>
      </c>
      <c r="C440" s="61" t="s">
        <v>372</v>
      </c>
      <c r="D440" s="61" t="s">
        <v>2978</v>
      </c>
      <c r="E440" s="61" t="s">
        <v>494</v>
      </c>
      <c r="F440" s="61" t="s">
        <v>2455</v>
      </c>
      <c r="G440" s="61" t="s">
        <v>373</v>
      </c>
      <c r="H440" s="61" t="s">
        <v>256</v>
      </c>
      <c r="I440" s="37" t="s">
        <v>257</v>
      </c>
      <c r="J440" s="37">
        <v>443</v>
      </c>
      <c r="K440" s="61" t="s">
        <v>290</v>
      </c>
      <c r="L440" s="61" t="s">
        <v>31</v>
      </c>
      <c r="M440" s="9">
        <v>7</v>
      </c>
      <c r="N440" s="10" t="s">
        <v>2540</v>
      </c>
      <c r="O440" s="61" t="s">
        <v>183</v>
      </c>
      <c r="P440" s="61" t="s">
        <v>184</v>
      </c>
      <c r="Q440" s="61" t="s">
        <v>185</v>
      </c>
      <c r="R440" s="61" t="s">
        <v>186</v>
      </c>
      <c r="S440" s="61" t="s">
        <v>514</v>
      </c>
      <c r="T440" s="61" t="s">
        <v>31</v>
      </c>
      <c r="U440" s="61" t="s">
        <v>31</v>
      </c>
      <c r="V440" s="61" t="s">
        <v>31</v>
      </c>
      <c r="W440" s="62">
        <v>34700</v>
      </c>
      <c r="X440" s="37" t="s">
        <v>36</v>
      </c>
      <c r="Y440" s="37">
        <v>0</v>
      </c>
      <c r="Z440" s="37" t="s">
        <v>31</v>
      </c>
      <c r="AA440" s="37" t="s">
        <v>31</v>
      </c>
      <c r="AB440" s="37" t="s">
        <v>513</v>
      </c>
      <c r="AC440" s="61"/>
      <c r="AD440" s="34"/>
      <c r="AE440" s="98" t="s">
        <v>28</v>
      </c>
      <c r="AF440" s="22">
        <v>44208</v>
      </c>
      <c r="AG440" s="36">
        <v>44208</v>
      </c>
      <c r="AH440" s="37"/>
      <c r="AI440" s="72">
        <v>44185</v>
      </c>
      <c r="AJ440" s="38" t="s">
        <v>27</v>
      </c>
      <c r="AK440" s="39" t="e">
        <f>VLOOKUP(A440,'[1]Externe MAJ Nov'!$A:$H,8,0)</f>
        <v>#N/A</v>
      </c>
      <c r="AL440" s="61" t="s">
        <v>27</v>
      </c>
      <c r="AM440" s="61"/>
      <c r="AN440" s="61"/>
      <c r="AO440" s="58">
        <v>44185</v>
      </c>
      <c r="AP440" s="29" t="e">
        <f>VLOOKUP(A440,'[2]External Scan 02_21'!$B:$J,9,0)</f>
        <v>#N/A</v>
      </c>
      <c r="AQ440" s="29" t="s">
        <v>28</v>
      </c>
      <c r="AR440" s="21"/>
      <c r="AS440" s="21" t="str">
        <f>VLOOKUP(AE440,'ref statu'!A:B,2,0)</f>
        <v>Fixed</v>
      </c>
      <c r="AT440" s="8" t="e">
        <f>VLOOKUP(A440,chk!A:B,2,0)</f>
        <v>#N/A</v>
      </c>
      <c r="AU440" s="29" t="e">
        <f>VLOOKUP(A440,checker!A:B,2,0)</f>
        <v>#N/A</v>
      </c>
      <c r="AV440" s="29" t="e">
        <f>VLOOKUP(A440,checker!B:C,2,0)</f>
        <v>#N/A</v>
      </c>
    </row>
    <row r="441" spans="1:48" x14ac:dyDescent="0.3">
      <c r="A441" s="29" t="str">
        <f t="shared" si="6"/>
        <v>96.692.66.657/443/tls-server-cert-to-expire</v>
      </c>
      <c r="B441" s="59" t="s">
        <v>3004</v>
      </c>
      <c r="C441" s="59" t="s">
        <v>372</v>
      </c>
      <c r="D441" s="31" t="s">
        <v>2979</v>
      </c>
      <c r="E441" s="31" t="s">
        <v>311</v>
      </c>
      <c r="F441" s="8" t="s">
        <v>27</v>
      </c>
      <c r="G441" s="32" t="s">
        <v>373</v>
      </c>
      <c r="H441" s="59" t="s">
        <v>256</v>
      </c>
      <c r="I441" s="31" t="s">
        <v>257</v>
      </c>
      <c r="J441" s="31">
        <v>443</v>
      </c>
      <c r="K441" s="59" t="s">
        <v>290</v>
      </c>
      <c r="L441" s="59" t="s">
        <v>31</v>
      </c>
      <c r="M441" s="9">
        <v>1</v>
      </c>
      <c r="N441" s="9" t="s">
        <v>42</v>
      </c>
      <c r="O441" s="59" t="s">
        <v>210</v>
      </c>
      <c r="P441" s="59" t="s">
        <v>211</v>
      </c>
      <c r="Q441" s="59" t="s">
        <v>212</v>
      </c>
      <c r="R441" s="59" t="s">
        <v>186</v>
      </c>
      <c r="S441" s="59" t="s">
        <v>514</v>
      </c>
      <c r="T441" s="59" t="s">
        <v>31</v>
      </c>
      <c r="U441" s="59" t="s">
        <v>31</v>
      </c>
      <c r="V441" s="59" t="s">
        <v>31</v>
      </c>
      <c r="W441" s="60">
        <v>34700</v>
      </c>
      <c r="X441" s="31" t="s">
        <v>36</v>
      </c>
      <c r="Y441" s="31">
        <v>0</v>
      </c>
      <c r="Z441" s="31" t="s">
        <v>31</v>
      </c>
      <c r="AA441" s="31" t="s">
        <v>31</v>
      </c>
      <c r="AB441" s="31" t="s">
        <v>513</v>
      </c>
      <c r="AC441" s="59"/>
      <c r="AD441" s="33"/>
      <c r="AE441" s="99" t="s">
        <v>28</v>
      </c>
      <c r="AF441" s="30">
        <v>44153</v>
      </c>
      <c r="AG441" s="35">
        <v>44153</v>
      </c>
      <c r="AH441" s="25">
        <v>44153</v>
      </c>
      <c r="AI441" s="72">
        <v>44155</v>
      </c>
      <c r="AJ441" s="23" t="s">
        <v>27</v>
      </c>
      <c r="AK441" s="8" t="e">
        <f>VLOOKUP(A441,'[1]Externe MAJ Nov'!$A:$H,8,0)</f>
        <v>#N/A</v>
      </c>
      <c r="AL441" s="29" t="e">
        <f>VLOOKUP(A441,'[1]Externe MAJ Nov'!$A:$G,7,0)</f>
        <v>#N/A</v>
      </c>
      <c r="AM441" s="59"/>
      <c r="AN441" s="59"/>
      <c r="AO441" s="58">
        <v>44155</v>
      </c>
      <c r="AP441" s="29" t="e">
        <f>VLOOKUP(A441,'[2]External Scan 02_21'!$B:$J,9,0)</f>
        <v>#N/A</v>
      </c>
      <c r="AQ441" s="29" t="s">
        <v>28</v>
      </c>
      <c r="AR441" s="21"/>
      <c r="AS441" s="21" t="str">
        <f>VLOOKUP(AE441,'ref statu'!A:B,2,0)</f>
        <v>Fixed</v>
      </c>
      <c r="AT441" s="8" t="e">
        <f>VLOOKUP(A441,chk!A:B,2,0)</f>
        <v>#N/A</v>
      </c>
      <c r="AU441" s="29" t="e">
        <f>VLOOKUP(A441,checker!A:B,2,0)</f>
        <v>#N/A</v>
      </c>
      <c r="AV441" s="29" t="e">
        <f>VLOOKUP(A441,checker!B:C,2,0)</f>
        <v>#N/A</v>
      </c>
    </row>
    <row r="442" spans="1:48" x14ac:dyDescent="0.3">
      <c r="A442" s="29" t="str">
        <f t="shared" si="6"/>
        <v>96.692.66.657/443/tls-untrusted-ca</v>
      </c>
      <c r="B442" s="29" t="s">
        <v>3004</v>
      </c>
      <c r="C442" s="29" t="s">
        <v>372</v>
      </c>
      <c r="D442" s="8" t="s">
        <v>2978</v>
      </c>
      <c r="E442" s="8" t="s">
        <v>311</v>
      </c>
      <c r="F442" s="29" t="s">
        <v>376</v>
      </c>
      <c r="G442" s="21" t="s">
        <v>373</v>
      </c>
      <c r="H442" s="29" t="s">
        <v>256</v>
      </c>
      <c r="I442" s="8" t="s">
        <v>257</v>
      </c>
      <c r="J442" s="8">
        <v>443</v>
      </c>
      <c r="K442" s="29" t="s">
        <v>290</v>
      </c>
      <c r="L442" s="29" t="s">
        <v>31</v>
      </c>
      <c r="M442" s="9">
        <v>6</v>
      </c>
      <c r="N442" s="9" t="s">
        <v>29</v>
      </c>
      <c r="O442" s="29" t="s">
        <v>131</v>
      </c>
      <c r="P442" s="29" t="s">
        <v>132</v>
      </c>
      <c r="Q442" s="29" t="s">
        <v>133</v>
      </c>
      <c r="R442" s="29" t="s">
        <v>134</v>
      </c>
      <c r="S442" s="29" t="s">
        <v>245</v>
      </c>
      <c r="T442" s="29" t="s">
        <v>135</v>
      </c>
      <c r="U442" s="29" t="s">
        <v>31</v>
      </c>
      <c r="V442" s="29" t="s">
        <v>31</v>
      </c>
      <c r="W442" s="29">
        <v>34700</v>
      </c>
      <c r="X442" s="8" t="s">
        <v>36</v>
      </c>
      <c r="Y442" s="8">
        <v>0</v>
      </c>
      <c r="Z442" s="8" t="s">
        <v>31</v>
      </c>
      <c r="AA442" s="8" t="s">
        <v>31</v>
      </c>
      <c r="AB442" s="8" t="s">
        <v>377</v>
      </c>
      <c r="AC442" s="29"/>
      <c r="AD442" s="29"/>
      <c r="AE442" s="95" t="s">
        <v>28</v>
      </c>
      <c r="AF442" s="22">
        <f>AG442</f>
        <v>44215</v>
      </c>
      <c r="AG442" s="30">
        <v>44215</v>
      </c>
      <c r="AH442" s="25">
        <v>44142</v>
      </c>
      <c r="AI442" s="72">
        <v>44124</v>
      </c>
      <c r="AJ442" s="23" t="s">
        <v>27</v>
      </c>
      <c r="AK442" s="8" t="e">
        <f>VLOOKUP(A442,'[1]Externe MAJ Nov'!$A:$H,8,0)</f>
        <v>#N/A</v>
      </c>
      <c r="AL442" s="29" t="e">
        <f>VLOOKUP(A442,'[1]Externe MAJ Nov'!$A:$G,7,0)</f>
        <v>#N/A</v>
      </c>
      <c r="AM442" s="29" t="s">
        <v>493</v>
      </c>
      <c r="AN442" s="29" t="s">
        <v>27</v>
      </c>
      <c r="AO442" s="58">
        <v>44124</v>
      </c>
      <c r="AP442" s="29" t="e">
        <f>VLOOKUP(A442,'[2]External Scan 02_21'!$B:$J,9,0)</f>
        <v>#N/A</v>
      </c>
      <c r="AQ442" s="29" t="s">
        <v>28</v>
      </c>
      <c r="AR442" s="21"/>
      <c r="AS442" s="21" t="str">
        <f>VLOOKUP(AE442,'ref statu'!A:B,2,0)</f>
        <v>Fixed</v>
      </c>
      <c r="AT442" s="8" t="e">
        <f>VLOOKUP(A442,chk!A:B,2,0)</f>
        <v>#N/A</v>
      </c>
      <c r="AU442" s="29" t="e">
        <f>VLOOKUP(A442,checker!A:B,2,0)</f>
        <v>#N/A</v>
      </c>
      <c r="AV442" s="29" t="e">
        <f>VLOOKUP(A442,checker!B:C,2,0)</f>
        <v>#N/A</v>
      </c>
    </row>
    <row r="443" spans="1:48" x14ac:dyDescent="0.3">
      <c r="A443" s="29" t="str">
        <f t="shared" si="6"/>
        <v>96.692.66.659/0/generic-tcp-timestamp</v>
      </c>
      <c r="B443" s="21" t="s">
        <v>3005</v>
      </c>
      <c r="C443" s="21" t="s">
        <v>2531</v>
      </c>
      <c r="D443" s="153" t="s">
        <v>2985</v>
      </c>
      <c r="E443" s="8" t="s">
        <v>253</v>
      </c>
      <c r="F443" s="29" t="s">
        <v>378</v>
      </c>
      <c r="G443" s="21" t="s">
        <v>379</v>
      </c>
      <c r="H443" s="29" t="s">
        <v>31</v>
      </c>
      <c r="I443" s="8" t="s">
        <v>31</v>
      </c>
      <c r="J443" s="8">
        <v>0</v>
      </c>
      <c r="K443" s="21" t="s">
        <v>258</v>
      </c>
      <c r="L443" s="21" t="s">
        <v>31</v>
      </c>
      <c r="M443" s="9">
        <v>1</v>
      </c>
      <c r="N443" s="9" t="s">
        <v>42</v>
      </c>
      <c r="O443" s="21" t="s">
        <v>78</v>
      </c>
      <c r="P443" s="29" t="s">
        <v>79</v>
      </c>
      <c r="Q443" s="29" t="s">
        <v>80</v>
      </c>
      <c r="R443" s="29" t="s">
        <v>81</v>
      </c>
      <c r="S443" s="29" t="s">
        <v>82</v>
      </c>
      <c r="T443" s="29" t="s">
        <v>83</v>
      </c>
      <c r="U443" s="29" t="s">
        <v>31</v>
      </c>
      <c r="V443" s="29" t="s">
        <v>31</v>
      </c>
      <c r="W443" s="57">
        <v>35643</v>
      </c>
      <c r="X443" s="8" t="s">
        <v>36</v>
      </c>
      <c r="Y443" s="8">
        <v>0</v>
      </c>
      <c r="Z443" s="8" t="s">
        <v>31</v>
      </c>
      <c r="AA443" s="8" t="s">
        <v>31</v>
      </c>
      <c r="AB443" s="8" t="s">
        <v>377</v>
      </c>
      <c r="AC443" s="21"/>
      <c r="AD443" s="29"/>
      <c r="AE443" s="95" t="s">
        <v>28</v>
      </c>
      <c r="AF443" s="22"/>
      <c r="AG443" s="30"/>
      <c r="AH443" s="66"/>
      <c r="AI443" s="72">
        <v>44124</v>
      </c>
      <c r="AJ443" s="23" t="s">
        <v>270</v>
      </c>
      <c r="AK443" s="8" t="e">
        <f>VLOOKUP(A443,'[1]Externe MAJ Nov'!$A:$H,8,0)</f>
        <v>#N/A</v>
      </c>
      <c r="AL443" s="29" t="e">
        <f>VLOOKUP(A443,'[1]Externe MAJ Nov'!$A:$G,7,0)</f>
        <v>#N/A</v>
      </c>
      <c r="AM443" s="29" t="s">
        <v>95</v>
      </c>
      <c r="AN443" s="29" t="s">
        <v>27</v>
      </c>
      <c r="AO443" s="58">
        <v>44124</v>
      </c>
      <c r="AP443" s="29" t="e">
        <f>VLOOKUP(A443,'[2]External Scan 02_21'!$B:$J,9,0)</f>
        <v>#N/A</v>
      </c>
      <c r="AQ443" s="29" t="s">
        <v>520</v>
      </c>
      <c r="AR443" s="21"/>
      <c r="AS443" s="21" t="str">
        <f>VLOOKUP(AE443,'ref statu'!A:B,2,0)</f>
        <v>Fixed</v>
      </c>
      <c r="AT443" s="8" t="e">
        <f>VLOOKUP(A443,chk!A:B,2,0)</f>
        <v>#N/A</v>
      </c>
      <c r="AU443" s="29" t="e">
        <f>VLOOKUP(A443,checker!A:B,2,0)</f>
        <v>#N/A</v>
      </c>
      <c r="AV443" s="29" t="e">
        <f>VLOOKUP(A443,checker!B:C,2,0)</f>
        <v>#N/A</v>
      </c>
    </row>
    <row r="444" spans="1:48" x14ac:dyDescent="0.3">
      <c r="A444" s="29" t="str">
        <f t="shared" si="6"/>
        <v>96.692.66.670/0/generic-tcp-timestamp</v>
      </c>
      <c r="B444" s="29" t="s">
        <v>3006</v>
      </c>
      <c r="C444" s="29" t="s">
        <v>380</v>
      </c>
      <c r="D444" s="8" t="s">
        <v>2980</v>
      </c>
      <c r="E444" s="8" t="s">
        <v>253</v>
      </c>
      <c r="F444" s="29"/>
      <c r="G444" s="21" t="s">
        <v>381</v>
      </c>
      <c r="H444" s="29" t="s">
        <v>256</v>
      </c>
      <c r="I444" s="8" t="s">
        <v>257</v>
      </c>
      <c r="J444" s="8">
        <v>0</v>
      </c>
      <c r="K444" s="29" t="s">
        <v>258</v>
      </c>
      <c r="L444" s="29" t="s">
        <v>31</v>
      </c>
      <c r="M444" s="9">
        <v>1</v>
      </c>
      <c r="N444" s="9" t="s">
        <v>42</v>
      </c>
      <c r="O444" s="29" t="s">
        <v>78</v>
      </c>
      <c r="P444" s="29" t="s">
        <v>79</v>
      </c>
      <c r="Q444" s="29" t="s">
        <v>80</v>
      </c>
      <c r="R444" s="29" t="s">
        <v>259</v>
      </c>
      <c r="S444" s="29" t="s">
        <v>82</v>
      </c>
      <c r="T444" s="29" t="s">
        <v>83</v>
      </c>
      <c r="U444" s="29" t="s">
        <v>31</v>
      </c>
      <c r="V444" s="29" t="s">
        <v>31</v>
      </c>
      <c r="W444" s="57">
        <v>35643</v>
      </c>
      <c r="X444" s="8" t="s">
        <v>36</v>
      </c>
      <c r="Y444" s="8">
        <v>0</v>
      </c>
      <c r="Z444" s="8" t="s">
        <v>31</v>
      </c>
      <c r="AA444" s="8" t="s">
        <v>31</v>
      </c>
      <c r="AB444" s="8" t="s">
        <v>260</v>
      </c>
      <c r="AC444" s="29"/>
      <c r="AD444" s="29"/>
      <c r="AE444" s="95" t="s">
        <v>28</v>
      </c>
      <c r="AF444" s="30">
        <v>44150</v>
      </c>
      <c r="AG444" s="30">
        <v>44150</v>
      </c>
      <c r="AH444" s="25">
        <v>44150</v>
      </c>
      <c r="AI444" s="72">
        <v>44124</v>
      </c>
      <c r="AJ444" s="23" t="s">
        <v>27</v>
      </c>
      <c r="AK444" s="8" t="e">
        <f>VLOOKUP(A444,'[1]Externe MAJ Nov'!$A:$H,8,0)</f>
        <v>#N/A</v>
      </c>
      <c r="AL444" s="29" t="e">
        <f>VLOOKUP(A444,'[1]Externe MAJ Nov'!$A:$G,7,0)</f>
        <v>#N/A</v>
      </c>
      <c r="AM444" s="29" t="s">
        <v>28</v>
      </c>
      <c r="AN444" s="29" t="s">
        <v>27</v>
      </c>
      <c r="AO444" s="58">
        <v>44124</v>
      </c>
      <c r="AP444" s="29" t="e">
        <f>VLOOKUP(A444,'[2]External Scan 02_21'!$B:$J,9,0)</f>
        <v>#N/A</v>
      </c>
      <c r="AQ444" s="29" t="s">
        <v>28</v>
      </c>
      <c r="AR444" s="21"/>
      <c r="AS444" s="21" t="str">
        <f>VLOOKUP(AE444,'ref statu'!A:B,2,0)</f>
        <v>Fixed</v>
      </c>
      <c r="AT444" s="8" t="e">
        <f>VLOOKUP(A444,chk!A:B,2,0)</f>
        <v>#N/A</v>
      </c>
      <c r="AU444" s="29" t="e">
        <f>VLOOKUP(A444,checker!A:B,2,0)</f>
        <v>#N/A</v>
      </c>
      <c r="AV444" s="29" t="e">
        <f>VLOOKUP(A444,checker!B:C,2,0)</f>
        <v>#N/A</v>
      </c>
    </row>
    <row r="445" spans="1:48" x14ac:dyDescent="0.3">
      <c r="A445" s="29" t="str">
        <f t="shared" si="6"/>
        <v>96.692.66.676/0/generic-tcp-timestamp</v>
      </c>
      <c r="B445" s="29" t="s">
        <v>3007</v>
      </c>
      <c r="C445" s="29" t="s">
        <v>382</v>
      </c>
      <c r="D445" s="8" t="s">
        <v>2990</v>
      </c>
      <c r="E445" s="8" t="s">
        <v>265</v>
      </c>
      <c r="F445" s="29" t="s">
        <v>177</v>
      </c>
      <c r="G445" s="21" t="s">
        <v>383</v>
      </c>
      <c r="H445" s="29" t="s">
        <v>256</v>
      </c>
      <c r="I445" s="8" t="s">
        <v>257</v>
      </c>
      <c r="J445" s="8">
        <v>0</v>
      </c>
      <c r="K445" s="29" t="s">
        <v>258</v>
      </c>
      <c r="L445" s="29" t="s">
        <v>31</v>
      </c>
      <c r="M445" s="9">
        <v>1</v>
      </c>
      <c r="N445" s="9" t="s">
        <v>42</v>
      </c>
      <c r="O445" s="29" t="s">
        <v>78</v>
      </c>
      <c r="P445" s="29" t="s">
        <v>79</v>
      </c>
      <c r="Q445" s="29" t="s">
        <v>80</v>
      </c>
      <c r="R445" s="29" t="s">
        <v>81</v>
      </c>
      <c r="S445" s="29" t="s">
        <v>82</v>
      </c>
      <c r="T445" s="29" t="s">
        <v>83</v>
      </c>
      <c r="U445" s="29" t="s">
        <v>31</v>
      </c>
      <c r="V445" s="29" t="s">
        <v>31</v>
      </c>
      <c r="W445" s="57">
        <v>35643</v>
      </c>
      <c r="X445" s="8" t="s">
        <v>36</v>
      </c>
      <c r="Y445" s="8">
        <v>0</v>
      </c>
      <c r="Z445" s="8" t="s">
        <v>31</v>
      </c>
      <c r="AA445" s="8" t="s">
        <v>31</v>
      </c>
      <c r="AB445" s="8" t="s">
        <v>260</v>
      </c>
      <c r="AC445" s="29"/>
      <c r="AD445" s="29"/>
      <c r="AE445" s="95" t="s">
        <v>28</v>
      </c>
      <c r="AF445" s="22"/>
      <c r="AG445" s="30">
        <v>44256</v>
      </c>
      <c r="AH445" s="66"/>
      <c r="AI445" s="72">
        <v>44124</v>
      </c>
      <c r="AJ445" s="23" t="s">
        <v>270</v>
      </c>
      <c r="AK445" s="8" t="e">
        <f>VLOOKUP(A445,'[1]Externe MAJ Nov'!$A:$H,8,0)</f>
        <v>#N/A</v>
      </c>
      <c r="AL445" s="29" t="e">
        <f>VLOOKUP(A445,'[1]Externe MAJ Nov'!$A:$G,7,0)</f>
        <v>#N/A</v>
      </c>
      <c r="AM445" s="29" t="s">
        <v>95</v>
      </c>
      <c r="AN445" s="29" t="s">
        <v>27</v>
      </c>
      <c r="AO445" s="58">
        <v>44124</v>
      </c>
      <c r="AP445" s="29" t="e">
        <f>VLOOKUP(A445,'[2]External Scan 02_21'!$B:$J,9,0)</f>
        <v>#N/A</v>
      </c>
      <c r="AQ445" s="29" t="s">
        <v>491</v>
      </c>
      <c r="AR445" s="75"/>
      <c r="AS445" s="21" t="str">
        <f>VLOOKUP(AE445,'ref statu'!A:B,2,0)</f>
        <v>Fixed</v>
      </c>
      <c r="AT445" s="8" t="e">
        <f>VLOOKUP(A445,chk!A:B,2,0)</f>
        <v>#N/A</v>
      </c>
      <c r="AU445" s="29" t="e">
        <f>VLOOKUP(A445,checker!A:B,2,0)</f>
        <v>#N/A</v>
      </c>
      <c r="AV445" s="29" t="e">
        <f>VLOOKUP(A445,checker!B:C,2,0)</f>
        <v>#N/A</v>
      </c>
    </row>
    <row r="446" spans="1:48" x14ac:dyDescent="0.3">
      <c r="A446" s="29" t="str">
        <f t="shared" si="6"/>
        <v>96.692.66.676/22/ssh-3des-ciphers</v>
      </c>
      <c r="B446" s="29" t="s">
        <v>3007</v>
      </c>
      <c r="C446" s="29" t="s">
        <v>382</v>
      </c>
      <c r="D446" s="8" t="s">
        <v>2990</v>
      </c>
      <c r="E446" s="8" t="s">
        <v>265</v>
      </c>
      <c r="F446" s="29" t="s">
        <v>177</v>
      </c>
      <c r="G446" s="21" t="s">
        <v>383</v>
      </c>
      <c r="H446" s="29" t="s">
        <v>256</v>
      </c>
      <c r="I446" s="8" t="s">
        <v>257</v>
      </c>
      <c r="J446" s="8">
        <v>22</v>
      </c>
      <c r="K446" s="29" t="s">
        <v>268</v>
      </c>
      <c r="L446" s="29" t="s">
        <v>269</v>
      </c>
      <c r="M446" s="9">
        <v>1</v>
      </c>
      <c r="N446" s="9" t="s">
        <v>42</v>
      </c>
      <c r="O446" s="29" t="s">
        <v>49</v>
      </c>
      <c r="P446" s="29" t="s">
        <v>50</v>
      </c>
      <c r="Q446" s="29" t="s">
        <v>51</v>
      </c>
      <c r="R446" s="29" t="s">
        <v>52</v>
      </c>
      <c r="S446" s="29" t="s">
        <v>53</v>
      </c>
      <c r="T446" s="29" t="s">
        <v>54</v>
      </c>
      <c r="U446" s="29" t="s">
        <v>31</v>
      </c>
      <c r="V446" s="29" t="s">
        <v>31</v>
      </c>
      <c r="W446" s="57">
        <v>39845</v>
      </c>
      <c r="X446" s="8" t="s">
        <v>30</v>
      </c>
      <c r="Y446" s="8">
        <v>0</v>
      </c>
      <c r="Z446" s="8" t="s">
        <v>31</v>
      </c>
      <c r="AA446" s="8" t="s">
        <v>31</v>
      </c>
      <c r="AB446" s="8" t="s">
        <v>260</v>
      </c>
      <c r="AC446" s="29"/>
      <c r="AD446" s="29"/>
      <c r="AE446" s="95" t="s">
        <v>28</v>
      </c>
      <c r="AF446" s="22"/>
      <c r="AG446" s="30">
        <v>44256</v>
      </c>
      <c r="AH446" s="66"/>
      <c r="AI446" s="72">
        <v>44124</v>
      </c>
      <c r="AJ446" s="23" t="s">
        <v>270</v>
      </c>
      <c r="AK446" s="8" t="e">
        <f>VLOOKUP(A446,'[1]Externe MAJ Nov'!$A:$H,8,0)</f>
        <v>#N/A</v>
      </c>
      <c r="AL446" s="29" t="e">
        <f>VLOOKUP(A446,'[1]Externe MAJ Nov'!$A:$G,7,0)</f>
        <v>#N/A</v>
      </c>
      <c r="AM446" s="29" t="s">
        <v>95</v>
      </c>
      <c r="AN446" s="29" t="s">
        <v>27</v>
      </c>
      <c r="AO446" s="58">
        <v>44124</v>
      </c>
      <c r="AP446" s="29" t="e">
        <f>VLOOKUP(A446,'[2]External Scan 02_21'!$B:$J,9,0)</f>
        <v>#N/A</v>
      </c>
      <c r="AQ446" s="29" t="s">
        <v>491</v>
      </c>
      <c r="AR446" s="75"/>
      <c r="AS446" s="21" t="str">
        <f>VLOOKUP(AE446,'ref statu'!A:B,2,0)</f>
        <v>Fixed</v>
      </c>
      <c r="AT446" s="8" t="e">
        <f>VLOOKUP(A446,chk!A:B,2,0)</f>
        <v>#N/A</v>
      </c>
      <c r="AU446" s="29" t="e">
        <f>VLOOKUP(A446,checker!A:B,2,0)</f>
        <v>#N/A</v>
      </c>
      <c r="AV446" s="29" t="e">
        <f>VLOOKUP(A446,checker!B:C,2,0)</f>
        <v>#N/A</v>
      </c>
    </row>
    <row r="447" spans="1:48" x14ac:dyDescent="0.3">
      <c r="A447" s="29" t="str">
        <f t="shared" si="6"/>
        <v>96.692.66.676/22/ssh-cbc-ciphers</v>
      </c>
      <c r="B447" s="29" t="s">
        <v>3007</v>
      </c>
      <c r="C447" s="29" t="s">
        <v>382</v>
      </c>
      <c r="D447" s="8" t="s">
        <v>2990</v>
      </c>
      <c r="E447" s="8" t="s">
        <v>265</v>
      </c>
      <c r="F447" s="29" t="s">
        <v>177</v>
      </c>
      <c r="G447" s="21" t="s">
        <v>383</v>
      </c>
      <c r="H447" s="29" t="s">
        <v>256</v>
      </c>
      <c r="I447" s="8" t="s">
        <v>257</v>
      </c>
      <c r="J447" s="8">
        <v>22</v>
      </c>
      <c r="K447" s="29" t="s">
        <v>268</v>
      </c>
      <c r="L447" s="29" t="s">
        <v>269</v>
      </c>
      <c r="M447" s="9">
        <v>3</v>
      </c>
      <c r="N447" s="9" t="s">
        <v>42</v>
      </c>
      <c r="O447" s="29" t="s">
        <v>55</v>
      </c>
      <c r="P447" s="29" t="s">
        <v>56</v>
      </c>
      <c r="Q447" s="29" t="s">
        <v>57</v>
      </c>
      <c r="R447" s="29" t="s">
        <v>58</v>
      </c>
      <c r="S447" s="29" t="s">
        <v>271</v>
      </c>
      <c r="T447" s="29" t="s">
        <v>59</v>
      </c>
      <c r="U447" s="29" t="s">
        <v>31</v>
      </c>
      <c r="V447" s="29" t="s">
        <v>31</v>
      </c>
      <c r="W447" s="57">
        <v>41313</v>
      </c>
      <c r="X447" s="8" t="s">
        <v>30</v>
      </c>
      <c r="Y447" s="8">
        <v>0</v>
      </c>
      <c r="Z447" s="8" t="s">
        <v>31</v>
      </c>
      <c r="AA447" s="8" t="s">
        <v>31</v>
      </c>
      <c r="AB447" s="8" t="s">
        <v>260</v>
      </c>
      <c r="AC447" s="29"/>
      <c r="AD447" s="29"/>
      <c r="AE447" s="95" t="s">
        <v>28</v>
      </c>
      <c r="AF447" s="22"/>
      <c r="AG447" s="30">
        <v>44256</v>
      </c>
      <c r="AH447" s="66"/>
      <c r="AI447" s="72">
        <v>44124</v>
      </c>
      <c r="AJ447" s="23" t="s">
        <v>270</v>
      </c>
      <c r="AK447" s="8" t="e">
        <f>VLOOKUP(A447,'[1]Externe MAJ Nov'!$A:$H,8,0)</f>
        <v>#N/A</v>
      </c>
      <c r="AL447" s="29" t="e">
        <f>VLOOKUP(A447,'[1]Externe MAJ Nov'!$A:$G,7,0)</f>
        <v>#N/A</v>
      </c>
      <c r="AM447" s="29" t="s">
        <v>95</v>
      </c>
      <c r="AN447" s="29" t="s">
        <v>27</v>
      </c>
      <c r="AO447" s="58">
        <v>44124</v>
      </c>
      <c r="AP447" s="29" t="e">
        <f>VLOOKUP(A447,'[2]External Scan 02_21'!$B:$J,9,0)</f>
        <v>#N/A</v>
      </c>
      <c r="AQ447" s="29" t="s">
        <v>491</v>
      </c>
      <c r="AR447" s="75"/>
      <c r="AS447" s="21" t="str">
        <f>VLOOKUP(AE447,'ref statu'!A:B,2,0)</f>
        <v>Fixed</v>
      </c>
      <c r="AT447" s="8" t="e">
        <f>VLOOKUP(A447,chk!A:B,2,0)</f>
        <v>#N/A</v>
      </c>
      <c r="AU447" s="29" t="e">
        <f>VLOOKUP(A447,checker!A:B,2,0)</f>
        <v>#N/A</v>
      </c>
      <c r="AV447" s="29" t="e">
        <f>VLOOKUP(A447,checker!B:C,2,0)</f>
        <v>#N/A</v>
      </c>
    </row>
    <row r="448" spans="1:48" x14ac:dyDescent="0.3">
      <c r="A448" s="29" t="str">
        <f t="shared" si="6"/>
        <v>96.692.66.676/22/ssh-cve-2015-4000</v>
      </c>
      <c r="B448" s="29" t="s">
        <v>3007</v>
      </c>
      <c r="C448" s="29" t="s">
        <v>382</v>
      </c>
      <c r="D448" s="8" t="s">
        <v>2990</v>
      </c>
      <c r="E448" s="8" t="s">
        <v>265</v>
      </c>
      <c r="F448" s="29" t="s">
        <v>177</v>
      </c>
      <c r="G448" s="21" t="s">
        <v>383</v>
      </c>
      <c r="H448" s="29" t="s">
        <v>256</v>
      </c>
      <c r="I448" s="8" t="s">
        <v>257</v>
      </c>
      <c r="J448" s="8">
        <v>22</v>
      </c>
      <c r="K448" s="29" t="s">
        <v>268</v>
      </c>
      <c r="L448" s="29" t="s">
        <v>269</v>
      </c>
      <c r="M448" s="9">
        <v>4</v>
      </c>
      <c r="N448" s="9" t="s">
        <v>29</v>
      </c>
      <c r="O448" s="29" t="s">
        <v>60</v>
      </c>
      <c r="P448" s="29" t="s">
        <v>61</v>
      </c>
      <c r="Q448" s="29" t="s">
        <v>62</v>
      </c>
      <c r="R448" s="29" t="s">
        <v>63</v>
      </c>
      <c r="S448" s="29" t="s">
        <v>64</v>
      </c>
      <c r="T448" s="29" t="s">
        <v>65</v>
      </c>
      <c r="U448" s="29" t="s">
        <v>66</v>
      </c>
      <c r="V448" s="29" t="s">
        <v>273</v>
      </c>
      <c r="W448" s="57">
        <v>42144</v>
      </c>
      <c r="X448" s="8" t="s">
        <v>30</v>
      </c>
      <c r="Y448" s="8">
        <v>0</v>
      </c>
      <c r="Z448" s="8" t="s">
        <v>31</v>
      </c>
      <c r="AA448" s="8" t="s">
        <v>31</v>
      </c>
      <c r="AB448" s="8" t="s">
        <v>260</v>
      </c>
      <c r="AC448" s="29"/>
      <c r="AD448" s="29"/>
      <c r="AE448" s="95" t="s">
        <v>28</v>
      </c>
      <c r="AF448" s="22"/>
      <c r="AG448" s="30">
        <v>44256</v>
      </c>
      <c r="AH448" s="66"/>
      <c r="AI448" s="72">
        <v>44124</v>
      </c>
      <c r="AJ448" s="23" t="s">
        <v>270</v>
      </c>
      <c r="AK448" s="8" t="e">
        <f>VLOOKUP(A448,'[1]Externe MAJ Nov'!$A:$H,8,0)</f>
        <v>#N/A</v>
      </c>
      <c r="AL448" s="29" t="e">
        <f>VLOOKUP(A448,'[1]Externe MAJ Nov'!$A:$G,7,0)</f>
        <v>#N/A</v>
      </c>
      <c r="AM448" s="29" t="s">
        <v>95</v>
      </c>
      <c r="AN448" s="29" t="s">
        <v>27</v>
      </c>
      <c r="AO448" s="58">
        <v>44124</v>
      </c>
      <c r="AP448" s="29" t="e">
        <f>VLOOKUP(A448,'[2]External Scan 02_21'!$B:$J,9,0)</f>
        <v>#N/A</v>
      </c>
      <c r="AQ448" s="29" t="s">
        <v>491</v>
      </c>
      <c r="AR448" s="75"/>
      <c r="AS448" s="21" t="str">
        <f>VLOOKUP(AE448,'ref statu'!A:B,2,0)</f>
        <v>Fixed</v>
      </c>
      <c r="AT448" s="8" t="e">
        <f>VLOOKUP(A448,chk!A:B,2,0)</f>
        <v>#N/A</v>
      </c>
      <c r="AU448" s="29" t="e">
        <f>VLOOKUP(A448,checker!A:B,2,0)</f>
        <v>#N/A</v>
      </c>
      <c r="AV448" s="29" t="e">
        <f>VLOOKUP(A448,checker!B:C,2,0)</f>
        <v>#N/A</v>
      </c>
    </row>
    <row r="449" spans="1:48" x14ac:dyDescent="0.3">
      <c r="A449" s="29" t="str">
        <f t="shared" si="6"/>
        <v>96.692.66.676/22/ssh-cve-2016-2183-sweet32</v>
      </c>
      <c r="B449" s="29" t="s">
        <v>3007</v>
      </c>
      <c r="C449" s="29" t="s">
        <v>382</v>
      </c>
      <c r="D449" s="8" t="s">
        <v>2990</v>
      </c>
      <c r="E449" s="8" t="s">
        <v>265</v>
      </c>
      <c r="F449" s="29" t="s">
        <v>177</v>
      </c>
      <c r="G449" s="21" t="s">
        <v>383</v>
      </c>
      <c r="H449" s="29" t="s">
        <v>256</v>
      </c>
      <c r="I449" s="8" t="s">
        <v>257</v>
      </c>
      <c r="J449" s="8">
        <v>22</v>
      </c>
      <c r="K449" s="29" t="s">
        <v>268</v>
      </c>
      <c r="L449" s="29" t="s">
        <v>269</v>
      </c>
      <c r="M449" s="9">
        <v>5</v>
      </c>
      <c r="N449" s="9" t="s">
        <v>29</v>
      </c>
      <c r="O449" s="29" t="s">
        <v>67</v>
      </c>
      <c r="P449" s="29" t="s">
        <v>68</v>
      </c>
      <c r="Q449" s="29" t="s">
        <v>69</v>
      </c>
      <c r="R449" s="29" t="s">
        <v>52</v>
      </c>
      <c r="S449" s="29" t="s">
        <v>53</v>
      </c>
      <c r="T449" s="29" t="s">
        <v>70</v>
      </c>
      <c r="U449" s="29" t="s">
        <v>71</v>
      </c>
      <c r="V449" s="29" t="s">
        <v>278</v>
      </c>
      <c r="W449" s="57">
        <v>42606</v>
      </c>
      <c r="X449" s="8" t="s">
        <v>30</v>
      </c>
      <c r="Y449" s="8">
        <v>1</v>
      </c>
      <c r="Z449" s="8" t="s">
        <v>279</v>
      </c>
      <c r="AA449" s="8" t="s">
        <v>280</v>
      </c>
      <c r="AB449" s="8" t="s">
        <v>260</v>
      </c>
      <c r="AC449" s="29"/>
      <c r="AD449" s="29"/>
      <c r="AE449" s="95" t="s">
        <v>28</v>
      </c>
      <c r="AF449" s="22"/>
      <c r="AG449" s="30">
        <v>44256</v>
      </c>
      <c r="AH449" s="66"/>
      <c r="AI449" s="72">
        <v>44124</v>
      </c>
      <c r="AJ449" s="23" t="s">
        <v>270</v>
      </c>
      <c r="AK449" s="8" t="e">
        <f>VLOOKUP(A449,'[1]Externe MAJ Nov'!$A:$H,8,0)</f>
        <v>#N/A</v>
      </c>
      <c r="AL449" s="29" t="e">
        <f>VLOOKUP(A449,'[1]Externe MAJ Nov'!$A:$G,7,0)</f>
        <v>#N/A</v>
      </c>
      <c r="AM449" s="29" t="s">
        <v>95</v>
      </c>
      <c r="AN449" s="29" t="s">
        <v>27</v>
      </c>
      <c r="AO449" s="58">
        <v>44124</v>
      </c>
      <c r="AP449" s="29" t="e">
        <f>VLOOKUP(A449,'[2]External Scan 02_21'!$B:$J,9,0)</f>
        <v>#N/A</v>
      </c>
      <c r="AQ449" s="29" t="s">
        <v>491</v>
      </c>
      <c r="AR449" s="75"/>
      <c r="AS449" s="21" t="str">
        <f>VLOOKUP(AE449,'ref statu'!A:B,2,0)</f>
        <v>Fixed</v>
      </c>
      <c r="AT449" s="8" t="e">
        <f>VLOOKUP(A449,chk!A:B,2,0)</f>
        <v>#N/A</v>
      </c>
      <c r="AU449" s="29" t="e">
        <f>VLOOKUP(A449,checker!A:B,2,0)</f>
        <v>#N/A</v>
      </c>
      <c r="AV449" s="29" t="e">
        <f>VLOOKUP(A449,checker!B:C,2,0)</f>
        <v>#N/A</v>
      </c>
    </row>
    <row r="450" spans="1:48" x14ac:dyDescent="0.3">
      <c r="A450" s="29" t="str">
        <f t="shared" ref="A450:A513" si="7">B450&amp;"/"&amp;J450&amp;"/"&amp;O450</f>
        <v>96.692.66.676/22/ssh-rc4-ciphers</v>
      </c>
      <c r="B450" s="29" t="s">
        <v>3007</v>
      </c>
      <c r="C450" s="29" t="s">
        <v>382</v>
      </c>
      <c r="D450" s="8" t="s">
        <v>2990</v>
      </c>
      <c r="E450" s="8" t="s">
        <v>265</v>
      </c>
      <c r="F450" s="29" t="s">
        <v>177</v>
      </c>
      <c r="G450" s="21" t="s">
        <v>383</v>
      </c>
      <c r="H450" s="29" t="s">
        <v>256</v>
      </c>
      <c r="I450" s="8" t="s">
        <v>257</v>
      </c>
      <c r="J450" s="8">
        <v>22</v>
      </c>
      <c r="K450" s="29" t="s">
        <v>268</v>
      </c>
      <c r="L450" s="29" t="s">
        <v>269</v>
      </c>
      <c r="M450" s="9">
        <v>4</v>
      </c>
      <c r="N450" s="9" t="s">
        <v>29</v>
      </c>
      <c r="O450" s="29" t="s">
        <v>84</v>
      </c>
      <c r="P450" s="29" t="s">
        <v>85</v>
      </c>
      <c r="Q450" s="29" t="s">
        <v>86</v>
      </c>
      <c r="R450" s="29" t="s">
        <v>87</v>
      </c>
      <c r="S450" s="29" t="s">
        <v>272</v>
      </c>
      <c r="T450" s="29" t="s">
        <v>88</v>
      </c>
      <c r="U450" s="29" t="s">
        <v>31</v>
      </c>
      <c r="V450" s="29" t="s">
        <v>31</v>
      </c>
      <c r="W450" s="57">
        <v>41345</v>
      </c>
      <c r="X450" s="8" t="s">
        <v>30</v>
      </c>
      <c r="Y450" s="8">
        <v>0</v>
      </c>
      <c r="Z450" s="8" t="s">
        <v>31</v>
      </c>
      <c r="AA450" s="8" t="s">
        <v>31</v>
      </c>
      <c r="AB450" s="8" t="s">
        <v>260</v>
      </c>
      <c r="AC450" s="29"/>
      <c r="AD450" s="29"/>
      <c r="AE450" s="95" t="s">
        <v>28</v>
      </c>
      <c r="AF450" s="22"/>
      <c r="AG450" s="30">
        <v>44256</v>
      </c>
      <c r="AH450" s="66"/>
      <c r="AI450" s="72">
        <v>44124</v>
      </c>
      <c r="AJ450" s="23" t="s">
        <v>270</v>
      </c>
      <c r="AK450" s="8" t="e">
        <f>VLOOKUP(A450,'[1]Externe MAJ Nov'!$A:$H,8,0)</f>
        <v>#N/A</v>
      </c>
      <c r="AL450" s="29" t="e">
        <f>VLOOKUP(A450,'[1]Externe MAJ Nov'!$A:$G,7,0)</f>
        <v>#N/A</v>
      </c>
      <c r="AM450" s="29" t="s">
        <v>95</v>
      </c>
      <c r="AN450" s="29" t="s">
        <v>27</v>
      </c>
      <c r="AO450" s="58">
        <v>44124</v>
      </c>
      <c r="AP450" s="29" t="e">
        <f>VLOOKUP(A450,'[2]External Scan 02_21'!$B:$J,9,0)</f>
        <v>#N/A</v>
      </c>
      <c r="AQ450" s="29" t="s">
        <v>491</v>
      </c>
      <c r="AR450" s="75"/>
      <c r="AS450" s="21" t="str">
        <f>VLOOKUP(AE450,'ref statu'!A:B,2,0)</f>
        <v>Fixed</v>
      </c>
      <c r="AT450" s="8" t="e">
        <f>VLOOKUP(A450,chk!A:B,2,0)</f>
        <v>#N/A</v>
      </c>
      <c r="AU450" s="29" t="e">
        <f>VLOOKUP(A450,checker!A:B,2,0)</f>
        <v>#N/A</v>
      </c>
      <c r="AV450" s="29" t="e">
        <f>VLOOKUP(A450,checker!B:C,2,0)</f>
        <v>#N/A</v>
      </c>
    </row>
    <row r="451" spans="1:48" x14ac:dyDescent="0.3">
      <c r="A451" s="29" t="str">
        <f t="shared" si="7"/>
        <v>96.692.66.676/22/ssh-weak-kex-algorithms</v>
      </c>
      <c r="B451" s="29" t="s">
        <v>3007</v>
      </c>
      <c r="C451" s="29" t="s">
        <v>382</v>
      </c>
      <c r="D451" s="8" t="s">
        <v>2990</v>
      </c>
      <c r="E451" s="8" t="s">
        <v>265</v>
      </c>
      <c r="F451" s="29" t="s">
        <v>177</v>
      </c>
      <c r="G451" s="21" t="s">
        <v>383</v>
      </c>
      <c r="H451" s="29" t="s">
        <v>256</v>
      </c>
      <c r="I451" s="8" t="s">
        <v>257</v>
      </c>
      <c r="J451" s="8">
        <v>22</v>
      </c>
      <c r="K451" s="29" t="s">
        <v>268</v>
      </c>
      <c r="L451" s="29" t="s">
        <v>269</v>
      </c>
      <c r="M451" s="9">
        <v>4</v>
      </c>
      <c r="N451" s="9" t="s">
        <v>29</v>
      </c>
      <c r="O451" s="29" t="s">
        <v>72</v>
      </c>
      <c r="P451" s="29" t="s">
        <v>73</v>
      </c>
      <c r="Q451" s="29" t="s">
        <v>74</v>
      </c>
      <c r="R451" s="29" t="s">
        <v>75</v>
      </c>
      <c r="S451" s="29" t="s">
        <v>244</v>
      </c>
      <c r="T451" s="29" t="s">
        <v>76</v>
      </c>
      <c r="U451" s="29" t="s">
        <v>31</v>
      </c>
      <c r="V451" s="29" t="s">
        <v>31</v>
      </c>
      <c r="W451" s="57">
        <v>42929</v>
      </c>
      <c r="X451" s="8" t="s">
        <v>30</v>
      </c>
      <c r="Y451" s="8">
        <v>0</v>
      </c>
      <c r="Z451" s="8" t="s">
        <v>31</v>
      </c>
      <c r="AA451" s="8" t="s">
        <v>31</v>
      </c>
      <c r="AB451" s="8" t="s">
        <v>260</v>
      </c>
      <c r="AC451" s="29"/>
      <c r="AD451" s="29"/>
      <c r="AE451" s="95" t="s">
        <v>28</v>
      </c>
      <c r="AF451" s="22"/>
      <c r="AG451" s="30">
        <v>44256</v>
      </c>
      <c r="AH451" s="66"/>
      <c r="AI451" s="72">
        <v>44124</v>
      </c>
      <c r="AJ451" s="23" t="s">
        <v>270</v>
      </c>
      <c r="AK451" s="8" t="e">
        <f>VLOOKUP(A451,'[1]Externe MAJ Nov'!$A:$H,8,0)</f>
        <v>#N/A</v>
      </c>
      <c r="AL451" s="29" t="e">
        <f>VLOOKUP(A451,'[1]Externe MAJ Nov'!$A:$G,7,0)</f>
        <v>#N/A</v>
      </c>
      <c r="AM451" s="29" t="s">
        <v>95</v>
      </c>
      <c r="AN451" s="29" t="s">
        <v>27</v>
      </c>
      <c r="AO451" s="58">
        <v>44124</v>
      </c>
      <c r="AP451" s="29" t="e">
        <f>VLOOKUP(A451,'[2]External Scan 02_21'!$B:$J,9,0)</f>
        <v>#N/A</v>
      </c>
      <c r="AQ451" s="29" t="s">
        <v>491</v>
      </c>
      <c r="AR451" s="75"/>
      <c r="AS451" s="21" t="str">
        <f>VLOOKUP(AE451,'ref statu'!A:B,2,0)</f>
        <v>Fixed</v>
      </c>
      <c r="AT451" s="8" t="e">
        <f>VLOOKUP(A451,chk!A:B,2,0)</f>
        <v>#N/A</v>
      </c>
      <c r="AU451" s="29" t="e">
        <f>VLOOKUP(A451,checker!A:B,2,0)</f>
        <v>#N/A</v>
      </c>
      <c r="AV451" s="29" t="e">
        <f>VLOOKUP(A451,checker!B:C,2,0)</f>
        <v>#N/A</v>
      </c>
    </row>
    <row r="452" spans="1:48" x14ac:dyDescent="0.3">
      <c r="A452" s="29" t="str">
        <f t="shared" si="7"/>
        <v>96.692.66.676/22/ssh-weak-message-authentication-code-algorithms</v>
      </c>
      <c r="B452" s="29" t="s">
        <v>3007</v>
      </c>
      <c r="C452" s="29" t="s">
        <v>382</v>
      </c>
      <c r="D452" s="8" t="s">
        <v>2990</v>
      </c>
      <c r="E452" s="8" t="s">
        <v>265</v>
      </c>
      <c r="F452" s="29" t="s">
        <v>177</v>
      </c>
      <c r="G452" s="21" t="s">
        <v>383</v>
      </c>
      <c r="H452" s="29" t="s">
        <v>256</v>
      </c>
      <c r="I452" s="8" t="s">
        <v>257</v>
      </c>
      <c r="J452" s="8">
        <v>22</v>
      </c>
      <c r="K452" s="29" t="s">
        <v>268</v>
      </c>
      <c r="L452" s="29" t="s">
        <v>269</v>
      </c>
      <c r="M452" s="9">
        <v>4</v>
      </c>
      <c r="N452" s="9" t="s">
        <v>29</v>
      </c>
      <c r="O452" s="29" t="s">
        <v>89</v>
      </c>
      <c r="P452" s="29" t="s">
        <v>90</v>
      </c>
      <c r="Q452" s="29" t="s">
        <v>91</v>
      </c>
      <c r="R452" s="29" t="s">
        <v>92</v>
      </c>
      <c r="S452" s="29" t="s">
        <v>274</v>
      </c>
      <c r="T452" s="29" t="s">
        <v>93</v>
      </c>
      <c r="U452" s="29" t="s">
        <v>31</v>
      </c>
      <c r="V452" s="29" t="s">
        <v>31</v>
      </c>
      <c r="W452" s="57">
        <v>41645</v>
      </c>
      <c r="X452" s="8" t="s">
        <v>30</v>
      </c>
      <c r="Y452" s="8">
        <v>0</v>
      </c>
      <c r="Z452" s="8" t="s">
        <v>31</v>
      </c>
      <c r="AA452" s="8" t="s">
        <v>31</v>
      </c>
      <c r="AB452" s="8" t="s">
        <v>260</v>
      </c>
      <c r="AC452" s="29"/>
      <c r="AD452" s="29"/>
      <c r="AE452" s="95" t="s">
        <v>28</v>
      </c>
      <c r="AF452" s="22"/>
      <c r="AG452" s="30">
        <v>44256</v>
      </c>
      <c r="AH452" s="66"/>
      <c r="AI452" s="72">
        <v>44124</v>
      </c>
      <c r="AJ452" s="23" t="s">
        <v>270</v>
      </c>
      <c r="AK452" s="8" t="e">
        <f>VLOOKUP(A452,'[1]Externe MAJ Nov'!$A:$H,8,0)</f>
        <v>#N/A</v>
      </c>
      <c r="AL452" s="29" t="e">
        <f>VLOOKUP(A452,'[1]Externe MAJ Nov'!$A:$G,7,0)</f>
        <v>#N/A</v>
      </c>
      <c r="AM452" s="29" t="s">
        <v>95</v>
      </c>
      <c r="AN452" s="29" t="s">
        <v>27</v>
      </c>
      <c r="AO452" s="58">
        <v>44124</v>
      </c>
      <c r="AP452" s="29" t="e">
        <f>VLOOKUP(A452,'[2]External Scan 02_21'!$B:$J,9,0)</f>
        <v>#N/A</v>
      </c>
      <c r="AQ452" s="29" t="s">
        <v>491</v>
      </c>
      <c r="AR452" s="75"/>
      <c r="AS452" s="21" t="str">
        <f>VLOOKUP(AE452,'ref statu'!A:B,2,0)</f>
        <v>Fixed</v>
      </c>
      <c r="AT452" s="8" t="e">
        <f>VLOOKUP(A452,chk!A:B,2,0)</f>
        <v>#N/A</v>
      </c>
      <c r="AU452" s="29" t="e">
        <f>VLOOKUP(A452,checker!A:B,2,0)</f>
        <v>#N/A</v>
      </c>
      <c r="AV452" s="29" t="e">
        <f>VLOOKUP(A452,checker!B:C,2,0)</f>
        <v>#N/A</v>
      </c>
    </row>
    <row r="453" spans="1:48" x14ac:dyDescent="0.3">
      <c r="A453" s="29" t="str">
        <f t="shared" si="7"/>
        <v>96.692.66.676/443/certificate-common-name-mismatch</v>
      </c>
      <c r="B453" s="29" t="s">
        <v>3007</v>
      </c>
      <c r="C453" s="29" t="s">
        <v>382</v>
      </c>
      <c r="D453" s="8" t="s">
        <v>2990</v>
      </c>
      <c r="E453" s="8" t="s">
        <v>265</v>
      </c>
      <c r="F453" s="29" t="s">
        <v>177</v>
      </c>
      <c r="G453" s="21" t="s">
        <v>383</v>
      </c>
      <c r="H453" s="29" t="s">
        <v>256</v>
      </c>
      <c r="I453" s="8" t="s">
        <v>257</v>
      </c>
      <c r="J453" s="8">
        <v>443</v>
      </c>
      <c r="K453" s="29" t="s">
        <v>290</v>
      </c>
      <c r="L453" s="29" t="s">
        <v>276</v>
      </c>
      <c r="M453" s="9">
        <v>7</v>
      </c>
      <c r="N453" s="10" t="s">
        <v>2540</v>
      </c>
      <c r="O453" s="29" t="s">
        <v>148</v>
      </c>
      <c r="P453" s="29" t="s">
        <v>149</v>
      </c>
      <c r="Q453" s="29" t="s">
        <v>150</v>
      </c>
      <c r="R453" s="29" t="s">
        <v>151</v>
      </c>
      <c r="S453" s="29" t="s">
        <v>387</v>
      </c>
      <c r="T453" s="29" t="s">
        <v>31</v>
      </c>
      <c r="U453" s="29" t="s">
        <v>31</v>
      </c>
      <c r="V453" s="29" t="s">
        <v>31</v>
      </c>
      <c r="W453" s="57">
        <v>39297</v>
      </c>
      <c r="X453" s="8" t="s">
        <v>36</v>
      </c>
      <c r="Y453" s="8">
        <v>0</v>
      </c>
      <c r="Z453" s="8" t="s">
        <v>31</v>
      </c>
      <c r="AA453" s="8" t="s">
        <v>31</v>
      </c>
      <c r="AB453" s="8" t="s">
        <v>260</v>
      </c>
      <c r="AC453" s="29"/>
      <c r="AD453" s="29"/>
      <c r="AE453" s="95" t="s">
        <v>28</v>
      </c>
      <c r="AF453" s="22"/>
      <c r="AG453" s="30">
        <v>44256</v>
      </c>
      <c r="AH453" s="66"/>
      <c r="AI453" s="72">
        <v>44124</v>
      </c>
      <c r="AJ453" s="23" t="s">
        <v>270</v>
      </c>
      <c r="AK453" s="8" t="e">
        <f>VLOOKUP(A453,'[1]Externe MAJ Nov'!$A:$H,8,0)</f>
        <v>#N/A</v>
      </c>
      <c r="AL453" s="29" t="e">
        <f>VLOOKUP(A453,'[1]Externe MAJ Nov'!$A:$G,7,0)</f>
        <v>#N/A</v>
      </c>
      <c r="AM453" s="29" t="s">
        <v>299</v>
      </c>
      <c r="AN453" s="29" t="s">
        <v>27</v>
      </c>
      <c r="AO453" s="58">
        <v>44124</v>
      </c>
      <c r="AP453" s="29" t="e">
        <f>VLOOKUP(A453,'[2]External Scan 02_21'!$B:$J,9,0)</f>
        <v>#N/A</v>
      </c>
      <c r="AQ453" s="29" t="s">
        <v>491</v>
      </c>
      <c r="AR453" s="75"/>
      <c r="AS453" s="21" t="str">
        <f>VLOOKUP(AE453,'ref statu'!A:B,2,0)</f>
        <v>Fixed</v>
      </c>
      <c r="AT453" s="8" t="e">
        <f>VLOOKUP(A453,chk!A:B,2,0)</f>
        <v>#N/A</v>
      </c>
      <c r="AU453" s="29" t="e">
        <f>VLOOKUP(A453,checker!A:B,2,0)</f>
        <v>#N/A</v>
      </c>
      <c r="AV453" s="29" t="e">
        <f>VLOOKUP(A453,checker!B:C,2,0)</f>
        <v>#N/A</v>
      </c>
    </row>
    <row r="454" spans="1:48" x14ac:dyDescent="0.3">
      <c r="A454" s="29" t="str">
        <f t="shared" si="7"/>
        <v>96.692.66.676/443/http-generic-browsable-dir</v>
      </c>
      <c r="B454" s="29" t="s">
        <v>3007</v>
      </c>
      <c r="C454" s="29" t="s">
        <v>382</v>
      </c>
      <c r="D454" s="8" t="s">
        <v>2990</v>
      </c>
      <c r="E454" s="8" t="s">
        <v>265</v>
      </c>
      <c r="F454" s="29" t="s">
        <v>177</v>
      </c>
      <c r="G454" s="21" t="s">
        <v>383</v>
      </c>
      <c r="H454" s="29" t="s">
        <v>256</v>
      </c>
      <c r="I454" s="8" t="s">
        <v>257</v>
      </c>
      <c r="J454" s="8">
        <v>443</v>
      </c>
      <c r="K454" s="29" t="s">
        <v>290</v>
      </c>
      <c r="L454" s="29" t="s">
        <v>276</v>
      </c>
      <c r="M454" s="9">
        <v>5</v>
      </c>
      <c r="N454" s="9" t="s">
        <v>29</v>
      </c>
      <c r="O454" s="29" t="s">
        <v>32</v>
      </c>
      <c r="P454" s="29" t="s">
        <v>33</v>
      </c>
      <c r="Q454" s="29" t="s">
        <v>34</v>
      </c>
      <c r="R454" s="29" t="s">
        <v>35</v>
      </c>
      <c r="S454" s="29" t="s">
        <v>385</v>
      </c>
      <c r="T454" s="29" t="s">
        <v>31</v>
      </c>
      <c r="U454" s="29" t="s">
        <v>31</v>
      </c>
      <c r="V454" s="29" t="s">
        <v>31</v>
      </c>
      <c r="W454" s="57">
        <v>36892</v>
      </c>
      <c r="X454" s="8" t="s">
        <v>36</v>
      </c>
      <c r="Y454" s="8">
        <v>0</v>
      </c>
      <c r="Z454" s="8" t="s">
        <v>31</v>
      </c>
      <c r="AA454" s="8" t="s">
        <v>31</v>
      </c>
      <c r="AB454" s="8" t="s">
        <v>260</v>
      </c>
      <c r="AC454" s="29"/>
      <c r="AD454" s="29"/>
      <c r="AE454" s="95" t="s">
        <v>28</v>
      </c>
      <c r="AF454" s="22"/>
      <c r="AG454" s="30">
        <v>44256</v>
      </c>
      <c r="AH454" s="66"/>
      <c r="AI454" s="72">
        <v>44124</v>
      </c>
      <c r="AJ454" s="23" t="s">
        <v>270</v>
      </c>
      <c r="AK454" s="8" t="e">
        <f>VLOOKUP(A454,'[1]Externe MAJ Nov'!$A:$H,8,0)</f>
        <v>#N/A</v>
      </c>
      <c r="AL454" s="29" t="e">
        <f>VLOOKUP(A454,'[1]Externe MAJ Nov'!$A:$G,7,0)</f>
        <v>#N/A</v>
      </c>
      <c r="AM454" s="29" t="s">
        <v>95</v>
      </c>
      <c r="AN454" s="29" t="s">
        <v>27</v>
      </c>
      <c r="AO454" s="58">
        <v>44124</v>
      </c>
      <c r="AP454" s="29" t="e">
        <f>VLOOKUP(A454,'[2]External Scan 02_21'!$B:$J,9,0)</f>
        <v>#N/A</v>
      </c>
      <c r="AQ454" s="29" t="s">
        <v>491</v>
      </c>
      <c r="AR454" s="75"/>
      <c r="AS454" s="21" t="str">
        <f>VLOOKUP(AE454,'ref statu'!A:B,2,0)</f>
        <v>Fixed</v>
      </c>
      <c r="AT454" s="8" t="e">
        <f>VLOOKUP(A454,chk!A:B,2,0)</f>
        <v>#N/A</v>
      </c>
      <c r="AU454" s="29" t="e">
        <f>VLOOKUP(A454,checker!A:B,2,0)</f>
        <v>#N/A</v>
      </c>
      <c r="AV454" s="29" t="e">
        <f>VLOOKUP(A454,checker!B:C,2,0)</f>
        <v>#N/A</v>
      </c>
    </row>
    <row r="455" spans="1:48" x14ac:dyDescent="0.3">
      <c r="A455" s="29" t="str">
        <f t="shared" si="7"/>
        <v>96.692.66.676/443/rc4-cve-2013-2566</v>
      </c>
      <c r="B455" s="29" t="s">
        <v>3007</v>
      </c>
      <c r="C455" s="29" t="s">
        <v>382</v>
      </c>
      <c r="D455" s="8" t="s">
        <v>2990</v>
      </c>
      <c r="E455" s="8" t="s">
        <v>265</v>
      </c>
      <c r="F455" s="29" t="s">
        <v>177</v>
      </c>
      <c r="G455" s="21" t="s">
        <v>383</v>
      </c>
      <c r="H455" s="29" t="s">
        <v>256</v>
      </c>
      <c r="I455" s="8" t="s">
        <v>257</v>
      </c>
      <c r="J455" s="8">
        <v>443</v>
      </c>
      <c r="K455" s="29" t="s">
        <v>290</v>
      </c>
      <c r="L455" s="29" t="s">
        <v>276</v>
      </c>
      <c r="M455" s="9">
        <v>4</v>
      </c>
      <c r="N455" s="9" t="s">
        <v>29</v>
      </c>
      <c r="O455" s="29" t="s">
        <v>152</v>
      </c>
      <c r="P455" s="29" t="s">
        <v>153</v>
      </c>
      <c r="Q455" s="29" t="s">
        <v>154</v>
      </c>
      <c r="R455" s="29" t="s">
        <v>155</v>
      </c>
      <c r="S455" s="29" t="s">
        <v>219</v>
      </c>
      <c r="T455" s="29" t="s">
        <v>156</v>
      </c>
      <c r="U455" s="29" t="s">
        <v>157</v>
      </c>
      <c r="V455" s="29" t="s">
        <v>384</v>
      </c>
      <c r="W455" s="57">
        <v>41345</v>
      </c>
      <c r="X455" s="8" t="s">
        <v>36</v>
      </c>
      <c r="Y455" s="8">
        <v>0</v>
      </c>
      <c r="Z455" s="8" t="s">
        <v>31</v>
      </c>
      <c r="AA455" s="8" t="s">
        <v>31</v>
      </c>
      <c r="AB455" s="8" t="s">
        <v>260</v>
      </c>
      <c r="AC455" s="29"/>
      <c r="AD455" s="29"/>
      <c r="AE455" s="95" t="s">
        <v>28</v>
      </c>
      <c r="AF455" s="22"/>
      <c r="AG455" s="30">
        <v>44256</v>
      </c>
      <c r="AH455" s="66"/>
      <c r="AI455" s="72">
        <v>44124</v>
      </c>
      <c r="AJ455" s="23" t="s">
        <v>270</v>
      </c>
      <c r="AK455" s="8" t="e">
        <f>VLOOKUP(A455,'[1]Externe MAJ Nov'!$A:$H,8,0)</f>
        <v>#N/A</v>
      </c>
      <c r="AL455" s="29" t="e">
        <f>VLOOKUP(A455,'[1]Externe MAJ Nov'!$A:$G,7,0)</f>
        <v>#N/A</v>
      </c>
      <c r="AM455" s="29" t="s">
        <v>95</v>
      </c>
      <c r="AN455" s="29" t="s">
        <v>27</v>
      </c>
      <c r="AO455" s="58">
        <v>44124</v>
      </c>
      <c r="AP455" s="29" t="e">
        <f>VLOOKUP(A455,'[2]External Scan 02_21'!$B:$J,9,0)</f>
        <v>#N/A</v>
      </c>
      <c r="AQ455" s="29" t="s">
        <v>491</v>
      </c>
      <c r="AR455" s="75"/>
      <c r="AS455" s="21" t="str">
        <f>VLOOKUP(AE455,'ref statu'!A:B,2,0)</f>
        <v>Fixed</v>
      </c>
      <c r="AT455" s="8" t="e">
        <f>VLOOKUP(A455,chk!A:B,2,0)</f>
        <v>#N/A</v>
      </c>
      <c r="AU455" s="29" t="e">
        <f>VLOOKUP(A455,checker!A:B,2,0)</f>
        <v>#N/A</v>
      </c>
      <c r="AV455" s="29" t="e">
        <f>VLOOKUP(A455,checker!B:C,2,0)</f>
        <v>#N/A</v>
      </c>
    </row>
    <row r="456" spans="1:48" x14ac:dyDescent="0.3">
      <c r="A456" s="29" t="str">
        <f t="shared" si="7"/>
        <v>96.692.66.676/443/ssl-3des-ciphers</v>
      </c>
      <c r="B456" s="29" t="s">
        <v>3007</v>
      </c>
      <c r="C456" s="29" t="s">
        <v>382</v>
      </c>
      <c r="D456" s="8" t="s">
        <v>2990</v>
      </c>
      <c r="E456" s="8" t="s">
        <v>265</v>
      </c>
      <c r="F456" s="29" t="s">
        <v>177</v>
      </c>
      <c r="G456" s="21" t="s">
        <v>383</v>
      </c>
      <c r="H456" s="29" t="s">
        <v>256</v>
      </c>
      <c r="I456" s="8" t="s">
        <v>257</v>
      </c>
      <c r="J456" s="8">
        <v>443</v>
      </c>
      <c r="K456" s="29" t="s">
        <v>290</v>
      </c>
      <c r="L456" s="29" t="s">
        <v>276</v>
      </c>
      <c r="M456" s="9">
        <v>1</v>
      </c>
      <c r="N456" s="9" t="s">
        <v>42</v>
      </c>
      <c r="O456" s="29" t="s">
        <v>100</v>
      </c>
      <c r="P456" s="29" t="s">
        <v>101</v>
      </c>
      <c r="Q456" s="29" t="s">
        <v>102</v>
      </c>
      <c r="R456" s="29" t="s">
        <v>103</v>
      </c>
      <c r="S456" s="29" t="s">
        <v>220</v>
      </c>
      <c r="T456" s="29" t="s">
        <v>104</v>
      </c>
      <c r="U456" s="29" t="s">
        <v>31</v>
      </c>
      <c r="V456" s="29" t="s">
        <v>31</v>
      </c>
      <c r="W456" s="57">
        <v>39845</v>
      </c>
      <c r="X456" s="8" t="s">
        <v>36</v>
      </c>
      <c r="Y456" s="8">
        <v>0</v>
      </c>
      <c r="Z456" s="8" t="s">
        <v>31</v>
      </c>
      <c r="AA456" s="8" t="s">
        <v>31</v>
      </c>
      <c r="AB456" s="8" t="s">
        <v>260</v>
      </c>
      <c r="AC456" s="29"/>
      <c r="AD456" s="29"/>
      <c r="AE456" s="95" t="s">
        <v>28</v>
      </c>
      <c r="AF456" s="22"/>
      <c r="AG456" s="30">
        <v>44256</v>
      </c>
      <c r="AH456" s="66"/>
      <c r="AI456" s="72">
        <v>44124</v>
      </c>
      <c r="AJ456" s="23" t="s">
        <v>270</v>
      </c>
      <c r="AK456" s="8" t="e">
        <f>VLOOKUP(A456,'[1]Externe MAJ Nov'!$A:$H,8,0)</f>
        <v>#N/A</v>
      </c>
      <c r="AL456" s="29" t="e">
        <f>VLOOKUP(A456,'[1]Externe MAJ Nov'!$A:$G,7,0)</f>
        <v>#N/A</v>
      </c>
      <c r="AM456" s="29" t="s">
        <v>95</v>
      </c>
      <c r="AN456" s="29" t="s">
        <v>27</v>
      </c>
      <c r="AO456" s="58">
        <v>44124</v>
      </c>
      <c r="AP456" s="29" t="e">
        <f>VLOOKUP(A456,'[2]External Scan 02_21'!$B:$J,9,0)</f>
        <v>#N/A</v>
      </c>
      <c r="AQ456" s="29" t="s">
        <v>491</v>
      </c>
      <c r="AR456" s="75"/>
      <c r="AS456" s="21" t="str">
        <f>VLOOKUP(AE456,'ref statu'!A:B,2,0)</f>
        <v>Fixed</v>
      </c>
      <c r="AT456" s="8" t="e">
        <f>VLOOKUP(A456,chk!A:B,2,0)</f>
        <v>#N/A</v>
      </c>
      <c r="AU456" s="29" t="e">
        <f>VLOOKUP(A456,checker!A:B,2,0)</f>
        <v>#N/A</v>
      </c>
      <c r="AV456" s="29" t="e">
        <f>VLOOKUP(A456,checker!B:C,2,0)</f>
        <v>#N/A</v>
      </c>
    </row>
    <row r="457" spans="1:48" x14ac:dyDescent="0.3">
      <c r="A457" s="29" t="str">
        <f t="shared" si="7"/>
        <v>96.692.66.676/443/ssl-cve-2016-2183-sweet32</v>
      </c>
      <c r="B457" s="29" t="s">
        <v>3007</v>
      </c>
      <c r="C457" s="29" t="s">
        <v>382</v>
      </c>
      <c r="D457" s="8" t="s">
        <v>2990</v>
      </c>
      <c r="E457" s="8" t="s">
        <v>265</v>
      </c>
      <c r="F457" s="29" t="s">
        <v>177</v>
      </c>
      <c r="G457" s="21" t="s">
        <v>383</v>
      </c>
      <c r="H457" s="29" t="s">
        <v>256</v>
      </c>
      <c r="I457" s="8" t="s">
        <v>257</v>
      </c>
      <c r="J457" s="8">
        <v>443</v>
      </c>
      <c r="K457" s="29" t="s">
        <v>290</v>
      </c>
      <c r="L457" s="29" t="s">
        <v>276</v>
      </c>
      <c r="M457" s="9">
        <v>5</v>
      </c>
      <c r="N457" s="9" t="s">
        <v>29</v>
      </c>
      <c r="O457" s="29" t="s">
        <v>111</v>
      </c>
      <c r="P457" s="29" t="s">
        <v>112</v>
      </c>
      <c r="Q457" s="29" t="s">
        <v>113</v>
      </c>
      <c r="R457" s="29" t="s">
        <v>103</v>
      </c>
      <c r="S457" s="29" t="s">
        <v>220</v>
      </c>
      <c r="T457" s="29" t="s">
        <v>114</v>
      </c>
      <c r="U457" s="29" t="s">
        <v>71</v>
      </c>
      <c r="V457" s="29" t="s">
        <v>278</v>
      </c>
      <c r="W457" s="57">
        <v>42606</v>
      </c>
      <c r="X457" s="8" t="s">
        <v>36</v>
      </c>
      <c r="Y457" s="8">
        <v>1</v>
      </c>
      <c r="Z457" s="8" t="s">
        <v>279</v>
      </c>
      <c r="AA457" s="8" t="s">
        <v>280</v>
      </c>
      <c r="AB457" s="8" t="s">
        <v>260</v>
      </c>
      <c r="AC457" s="29"/>
      <c r="AD457" s="29"/>
      <c r="AE457" s="95" t="s">
        <v>28</v>
      </c>
      <c r="AF457" s="22"/>
      <c r="AG457" s="30">
        <v>44256</v>
      </c>
      <c r="AH457" s="66"/>
      <c r="AI457" s="72">
        <v>44124</v>
      </c>
      <c r="AJ457" s="23" t="s">
        <v>270</v>
      </c>
      <c r="AK457" s="8" t="e">
        <f>VLOOKUP(A457,'[1]Externe MAJ Nov'!$A:$H,8,0)</f>
        <v>#N/A</v>
      </c>
      <c r="AL457" s="29" t="e">
        <f>VLOOKUP(A457,'[1]Externe MAJ Nov'!$A:$G,7,0)</f>
        <v>#N/A</v>
      </c>
      <c r="AM457" s="29" t="s">
        <v>95</v>
      </c>
      <c r="AN457" s="29" t="s">
        <v>27</v>
      </c>
      <c r="AO457" s="58">
        <v>44124</v>
      </c>
      <c r="AP457" s="29" t="e">
        <f>VLOOKUP(A457,'[2]External Scan 02_21'!$B:$J,9,0)</f>
        <v>#N/A</v>
      </c>
      <c r="AQ457" s="29" t="s">
        <v>491</v>
      </c>
      <c r="AR457" s="75"/>
      <c r="AS457" s="21" t="str">
        <f>VLOOKUP(AE457,'ref statu'!A:B,2,0)</f>
        <v>Fixed</v>
      </c>
      <c r="AT457" s="8" t="e">
        <f>VLOOKUP(A457,chk!A:B,2,0)</f>
        <v>#N/A</v>
      </c>
      <c r="AU457" s="29" t="e">
        <f>VLOOKUP(A457,checker!A:B,2,0)</f>
        <v>#N/A</v>
      </c>
      <c r="AV457" s="29" t="e">
        <f>VLOOKUP(A457,checker!B:C,2,0)</f>
        <v>#N/A</v>
      </c>
    </row>
    <row r="458" spans="1:48" x14ac:dyDescent="0.3">
      <c r="A458" s="29" t="str">
        <f t="shared" si="7"/>
        <v>96.692.66.676/443/ssl-des-ciphers</v>
      </c>
      <c r="B458" s="29" t="s">
        <v>3007</v>
      </c>
      <c r="C458" s="29" t="s">
        <v>382</v>
      </c>
      <c r="D458" s="8" t="s">
        <v>2990</v>
      </c>
      <c r="E458" s="8" t="s">
        <v>265</v>
      </c>
      <c r="F458" s="29" t="s">
        <v>177</v>
      </c>
      <c r="G458" s="21" t="s">
        <v>383</v>
      </c>
      <c r="H458" s="29" t="s">
        <v>256</v>
      </c>
      <c r="I458" s="8" t="s">
        <v>257</v>
      </c>
      <c r="J458" s="8">
        <v>443</v>
      </c>
      <c r="K458" s="29" t="s">
        <v>290</v>
      </c>
      <c r="L458" s="29" t="s">
        <v>276</v>
      </c>
      <c r="M458" s="9">
        <v>6</v>
      </c>
      <c r="N458" s="9" t="s">
        <v>29</v>
      </c>
      <c r="O458" s="29" t="s">
        <v>214</v>
      </c>
      <c r="P458" s="29" t="s">
        <v>215</v>
      </c>
      <c r="Q458" s="29" t="s">
        <v>216</v>
      </c>
      <c r="R458" s="29" t="s">
        <v>217</v>
      </c>
      <c r="S458" s="29" t="s">
        <v>221</v>
      </c>
      <c r="T458" s="29" t="s">
        <v>218</v>
      </c>
      <c r="U458" s="29" t="s">
        <v>31</v>
      </c>
      <c r="V458" s="29" t="s">
        <v>31</v>
      </c>
      <c r="W458" s="57">
        <v>39845</v>
      </c>
      <c r="X458" s="8" t="s">
        <v>36</v>
      </c>
      <c r="Y458" s="8">
        <v>0</v>
      </c>
      <c r="Z458" s="8" t="s">
        <v>31</v>
      </c>
      <c r="AA458" s="8" t="s">
        <v>31</v>
      </c>
      <c r="AB458" s="8" t="s">
        <v>260</v>
      </c>
      <c r="AC458" s="29"/>
      <c r="AD458" s="29"/>
      <c r="AE458" s="95" t="s">
        <v>28</v>
      </c>
      <c r="AF458" s="22"/>
      <c r="AG458" s="30">
        <v>44256</v>
      </c>
      <c r="AH458" s="66"/>
      <c r="AI458" s="72">
        <v>44124</v>
      </c>
      <c r="AJ458" s="23" t="s">
        <v>270</v>
      </c>
      <c r="AK458" s="8" t="e">
        <f>VLOOKUP(A458,'[1]Externe MAJ Nov'!$A:$H,8,0)</f>
        <v>#N/A</v>
      </c>
      <c r="AL458" s="29" t="e">
        <f>VLOOKUP(A458,'[1]Externe MAJ Nov'!$A:$G,7,0)</f>
        <v>#N/A</v>
      </c>
      <c r="AM458" s="29" t="s">
        <v>95</v>
      </c>
      <c r="AN458" s="29" t="s">
        <v>27</v>
      </c>
      <c r="AO458" s="58">
        <v>44124</v>
      </c>
      <c r="AP458" s="29" t="e">
        <f>VLOOKUP(A458,'[2]External Scan 02_21'!$B:$J,9,0)</f>
        <v>#N/A</v>
      </c>
      <c r="AQ458" s="29" t="s">
        <v>491</v>
      </c>
      <c r="AR458" s="75"/>
      <c r="AS458" s="21" t="str">
        <f>VLOOKUP(AE458,'ref statu'!A:B,2,0)</f>
        <v>Fixed</v>
      </c>
      <c r="AT458" s="8" t="e">
        <f>VLOOKUP(A458,chk!A:B,2,0)</f>
        <v>#N/A</v>
      </c>
      <c r="AU458" s="29" t="e">
        <f>VLOOKUP(A458,checker!A:B,2,0)</f>
        <v>#N/A</v>
      </c>
      <c r="AV458" s="29" t="e">
        <f>VLOOKUP(A458,checker!B:C,2,0)</f>
        <v>#N/A</v>
      </c>
    </row>
    <row r="459" spans="1:48" x14ac:dyDescent="0.3">
      <c r="A459" s="29" t="str">
        <f t="shared" si="7"/>
        <v>96.692.66.676/443/ssl-self-signed-certificate</v>
      </c>
      <c r="B459" s="29" t="s">
        <v>3007</v>
      </c>
      <c r="C459" s="29" t="s">
        <v>382</v>
      </c>
      <c r="D459" s="8" t="s">
        <v>2990</v>
      </c>
      <c r="E459" s="8" t="s">
        <v>265</v>
      </c>
      <c r="F459" s="29" t="s">
        <v>177</v>
      </c>
      <c r="G459" s="21" t="s">
        <v>383</v>
      </c>
      <c r="H459" s="29" t="s">
        <v>256</v>
      </c>
      <c r="I459" s="8" t="s">
        <v>257</v>
      </c>
      <c r="J459" s="8">
        <v>443</v>
      </c>
      <c r="K459" s="29" t="s">
        <v>290</v>
      </c>
      <c r="L459" s="29" t="s">
        <v>276</v>
      </c>
      <c r="M459" s="9">
        <v>4</v>
      </c>
      <c r="N459" s="9" t="s">
        <v>29</v>
      </c>
      <c r="O459" s="29" t="s">
        <v>115</v>
      </c>
      <c r="P459" s="29" t="s">
        <v>116</v>
      </c>
      <c r="Q459" s="29" t="s">
        <v>117</v>
      </c>
      <c r="R459" s="29" t="s">
        <v>118</v>
      </c>
      <c r="S459" s="29" t="s">
        <v>119</v>
      </c>
      <c r="T459" s="29" t="s">
        <v>31</v>
      </c>
      <c r="U459" s="29" t="s">
        <v>31</v>
      </c>
      <c r="V459" s="29" t="s">
        <v>31</v>
      </c>
      <c r="W459" s="57">
        <v>34700</v>
      </c>
      <c r="X459" s="8" t="s">
        <v>36</v>
      </c>
      <c r="Y459" s="8">
        <v>0</v>
      </c>
      <c r="Z459" s="8" t="s">
        <v>31</v>
      </c>
      <c r="AA459" s="8" t="s">
        <v>31</v>
      </c>
      <c r="AB459" s="8" t="s">
        <v>260</v>
      </c>
      <c r="AC459" s="29"/>
      <c r="AD459" s="29"/>
      <c r="AE459" s="95" t="s">
        <v>28</v>
      </c>
      <c r="AF459" s="22"/>
      <c r="AG459" s="30">
        <v>44256</v>
      </c>
      <c r="AH459" s="66"/>
      <c r="AI459" s="72">
        <v>44124</v>
      </c>
      <c r="AJ459" s="23" t="s">
        <v>270</v>
      </c>
      <c r="AK459" s="8" t="e">
        <f>VLOOKUP(A459,'[1]Externe MAJ Nov'!$A:$H,8,0)</f>
        <v>#N/A</v>
      </c>
      <c r="AL459" s="29" t="e">
        <f>VLOOKUP(A459,'[1]Externe MAJ Nov'!$A:$G,7,0)</f>
        <v>#N/A</v>
      </c>
      <c r="AM459" s="29" t="s">
        <v>95</v>
      </c>
      <c r="AN459" s="29" t="s">
        <v>27</v>
      </c>
      <c r="AO459" s="58">
        <v>44124</v>
      </c>
      <c r="AP459" s="29" t="e">
        <f>VLOOKUP(A459,'[2]External Scan 02_21'!$B:$J,9,0)</f>
        <v>#N/A</v>
      </c>
      <c r="AQ459" s="29" t="s">
        <v>491</v>
      </c>
      <c r="AR459" s="75"/>
      <c r="AS459" s="21" t="str">
        <f>VLOOKUP(AE459,'ref statu'!A:B,2,0)</f>
        <v>Fixed</v>
      </c>
      <c r="AT459" s="8" t="e">
        <f>VLOOKUP(A459,chk!A:B,2,0)</f>
        <v>#N/A</v>
      </c>
      <c r="AU459" s="29" t="e">
        <f>VLOOKUP(A459,checker!A:B,2,0)</f>
        <v>#N/A</v>
      </c>
      <c r="AV459" s="29" t="e">
        <f>VLOOKUP(A459,checker!B:C,2,0)</f>
        <v>#N/A</v>
      </c>
    </row>
    <row r="460" spans="1:48" x14ac:dyDescent="0.3">
      <c r="A460" s="29" t="str">
        <f t="shared" si="7"/>
        <v>96.692.66.676/443/ssl-static-key-ciphers</v>
      </c>
      <c r="B460" s="29" t="s">
        <v>3007</v>
      </c>
      <c r="C460" s="29" t="s">
        <v>382</v>
      </c>
      <c r="D460" s="8" t="s">
        <v>2990</v>
      </c>
      <c r="E460" s="8" t="s">
        <v>265</v>
      </c>
      <c r="F460" s="29" t="s">
        <v>177</v>
      </c>
      <c r="G460" s="21" t="s">
        <v>383</v>
      </c>
      <c r="H460" s="29" t="s">
        <v>256</v>
      </c>
      <c r="I460" s="8" t="s">
        <v>257</v>
      </c>
      <c r="J460" s="8">
        <v>443</v>
      </c>
      <c r="K460" s="29" t="s">
        <v>290</v>
      </c>
      <c r="L460" s="29" t="s">
        <v>276</v>
      </c>
      <c r="M460" s="9">
        <v>3</v>
      </c>
      <c r="N460" s="9" t="s">
        <v>42</v>
      </c>
      <c r="O460" s="29" t="s">
        <v>120</v>
      </c>
      <c r="P460" s="29" t="s">
        <v>121</v>
      </c>
      <c r="Q460" s="29" t="s">
        <v>122</v>
      </c>
      <c r="R460" s="29" t="s">
        <v>123</v>
      </c>
      <c r="S460" s="29" t="s">
        <v>222</v>
      </c>
      <c r="T460" s="29" t="s">
        <v>124</v>
      </c>
      <c r="U460" s="29" t="s">
        <v>31</v>
      </c>
      <c r="V460" s="29" t="s">
        <v>31</v>
      </c>
      <c r="W460" s="57">
        <v>42036</v>
      </c>
      <c r="X460" s="8" t="s">
        <v>36</v>
      </c>
      <c r="Y460" s="8">
        <v>0</v>
      </c>
      <c r="Z460" s="8" t="s">
        <v>31</v>
      </c>
      <c r="AA460" s="8" t="s">
        <v>31</v>
      </c>
      <c r="AB460" s="8" t="s">
        <v>260</v>
      </c>
      <c r="AC460" s="29"/>
      <c r="AD460" s="29"/>
      <c r="AE460" s="95" t="s">
        <v>28</v>
      </c>
      <c r="AF460" s="22"/>
      <c r="AG460" s="30">
        <v>44256</v>
      </c>
      <c r="AH460" s="66"/>
      <c r="AI460" s="72">
        <v>44124</v>
      </c>
      <c r="AJ460" s="23" t="s">
        <v>270</v>
      </c>
      <c r="AK460" s="8" t="e">
        <f>VLOOKUP(A460,'[1]Externe MAJ Nov'!$A:$H,8,0)</f>
        <v>#N/A</v>
      </c>
      <c r="AL460" s="29" t="e">
        <f>VLOOKUP(A460,'[1]Externe MAJ Nov'!$A:$G,7,0)</f>
        <v>#N/A</v>
      </c>
      <c r="AM460" s="29" t="s">
        <v>95</v>
      </c>
      <c r="AN460" s="29" t="s">
        <v>27</v>
      </c>
      <c r="AO460" s="58">
        <v>44124</v>
      </c>
      <c r="AP460" s="29" t="e">
        <f>VLOOKUP(A460,'[2]External Scan 02_21'!$B:$J,9,0)</f>
        <v>#N/A</v>
      </c>
      <c r="AQ460" s="29" t="s">
        <v>491</v>
      </c>
      <c r="AR460" s="75"/>
      <c r="AS460" s="21" t="str">
        <f>VLOOKUP(AE460,'ref statu'!A:B,2,0)</f>
        <v>Fixed</v>
      </c>
      <c r="AT460" s="8" t="e">
        <f>VLOOKUP(A460,chk!A:B,2,0)</f>
        <v>#N/A</v>
      </c>
      <c r="AU460" s="29" t="e">
        <f>VLOOKUP(A460,checker!A:B,2,0)</f>
        <v>#N/A</v>
      </c>
      <c r="AV460" s="29" t="e">
        <f>VLOOKUP(A460,checker!B:C,2,0)</f>
        <v>#N/A</v>
      </c>
    </row>
    <row r="461" spans="1:48" x14ac:dyDescent="0.3">
      <c r="A461" s="29" t="str">
        <f t="shared" si="7"/>
        <v>96.692.66.676/443/tls-server-cert-expired</v>
      </c>
      <c r="B461" s="29" t="s">
        <v>3007</v>
      </c>
      <c r="C461" s="29" t="s">
        <v>382</v>
      </c>
      <c r="D461" s="8" t="s">
        <v>2990</v>
      </c>
      <c r="E461" s="8" t="s">
        <v>265</v>
      </c>
      <c r="F461" s="29" t="s">
        <v>177</v>
      </c>
      <c r="G461" s="21" t="s">
        <v>383</v>
      </c>
      <c r="H461" s="29" t="s">
        <v>256</v>
      </c>
      <c r="I461" s="8" t="s">
        <v>257</v>
      </c>
      <c r="J461" s="8">
        <v>443</v>
      </c>
      <c r="K461" s="29" t="s">
        <v>290</v>
      </c>
      <c r="L461" s="29" t="s">
        <v>276</v>
      </c>
      <c r="M461" s="9">
        <v>7</v>
      </c>
      <c r="N461" s="10" t="s">
        <v>2540</v>
      </c>
      <c r="O461" s="29" t="s">
        <v>183</v>
      </c>
      <c r="P461" s="29" t="s">
        <v>184</v>
      </c>
      <c r="Q461" s="29" t="s">
        <v>185</v>
      </c>
      <c r="R461" s="29" t="s">
        <v>186</v>
      </c>
      <c r="S461" s="29" t="s">
        <v>223</v>
      </c>
      <c r="T461" s="29" t="s">
        <v>31</v>
      </c>
      <c r="U461" s="29" t="s">
        <v>31</v>
      </c>
      <c r="V461" s="29" t="s">
        <v>31</v>
      </c>
      <c r="W461" s="57">
        <v>34700</v>
      </c>
      <c r="X461" s="8" t="s">
        <v>36</v>
      </c>
      <c r="Y461" s="8">
        <v>0</v>
      </c>
      <c r="Z461" s="8" t="s">
        <v>31</v>
      </c>
      <c r="AA461" s="8" t="s">
        <v>31</v>
      </c>
      <c r="AB461" s="8" t="s">
        <v>260</v>
      </c>
      <c r="AC461" s="29"/>
      <c r="AD461" s="29"/>
      <c r="AE461" s="95" t="s">
        <v>28</v>
      </c>
      <c r="AF461" s="22"/>
      <c r="AG461" s="30">
        <v>44256</v>
      </c>
      <c r="AH461" s="66"/>
      <c r="AI461" s="72">
        <v>44124</v>
      </c>
      <c r="AJ461" s="23" t="s">
        <v>270</v>
      </c>
      <c r="AK461" s="8" t="e">
        <f>VLOOKUP(A461,'[1]Externe MAJ Nov'!$A:$H,8,0)</f>
        <v>#N/A</v>
      </c>
      <c r="AL461" s="29" t="e">
        <f>VLOOKUP(A461,'[1]Externe MAJ Nov'!$A:$G,7,0)</f>
        <v>#N/A</v>
      </c>
      <c r="AM461" s="29" t="s">
        <v>95</v>
      </c>
      <c r="AN461" s="29" t="s">
        <v>27</v>
      </c>
      <c r="AO461" s="58">
        <v>44124</v>
      </c>
      <c r="AP461" s="29" t="e">
        <f>VLOOKUP(A461,'[2]External Scan 02_21'!$B:$J,9,0)</f>
        <v>#N/A</v>
      </c>
      <c r="AQ461" s="29" t="s">
        <v>491</v>
      </c>
      <c r="AR461" s="75"/>
      <c r="AS461" s="21" t="str">
        <f>VLOOKUP(AE461,'ref statu'!A:B,2,0)</f>
        <v>Fixed</v>
      </c>
      <c r="AT461" s="8" t="e">
        <f>VLOOKUP(A461,chk!A:B,2,0)</f>
        <v>#N/A</v>
      </c>
      <c r="AU461" s="29" t="e">
        <f>VLOOKUP(A461,checker!A:B,2,0)</f>
        <v>#N/A</v>
      </c>
      <c r="AV461" s="29" t="e">
        <f>VLOOKUP(A461,checker!B:C,2,0)</f>
        <v>#N/A</v>
      </c>
    </row>
    <row r="462" spans="1:48" x14ac:dyDescent="0.3">
      <c r="A462" s="29" t="str">
        <f t="shared" si="7"/>
        <v>96.692.66.676/443/tls-untrusted-ca</v>
      </c>
      <c r="B462" s="29" t="s">
        <v>3007</v>
      </c>
      <c r="C462" s="29" t="s">
        <v>382</v>
      </c>
      <c r="D462" s="8" t="s">
        <v>2990</v>
      </c>
      <c r="E462" s="8" t="s">
        <v>265</v>
      </c>
      <c r="F462" s="29" t="s">
        <v>177</v>
      </c>
      <c r="G462" s="21" t="s">
        <v>383</v>
      </c>
      <c r="H462" s="29" t="s">
        <v>256</v>
      </c>
      <c r="I462" s="8" t="s">
        <v>257</v>
      </c>
      <c r="J462" s="8">
        <v>443</v>
      </c>
      <c r="K462" s="29" t="s">
        <v>290</v>
      </c>
      <c r="L462" s="29" t="s">
        <v>276</v>
      </c>
      <c r="M462" s="9">
        <v>6</v>
      </c>
      <c r="N462" s="9" t="s">
        <v>29</v>
      </c>
      <c r="O462" s="29" t="s">
        <v>131</v>
      </c>
      <c r="P462" s="29" t="s">
        <v>132</v>
      </c>
      <c r="Q462" s="29" t="s">
        <v>133</v>
      </c>
      <c r="R462" s="29" t="s">
        <v>134</v>
      </c>
      <c r="S462" s="29" t="s">
        <v>224</v>
      </c>
      <c r="T462" s="29" t="s">
        <v>135</v>
      </c>
      <c r="U462" s="29" t="s">
        <v>31</v>
      </c>
      <c r="V462" s="29" t="s">
        <v>31</v>
      </c>
      <c r="W462" s="57">
        <v>34700</v>
      </c>
      <c r="X462" s="8" t="s">
        <v>36</v>
      </c>
      <c r="Y462" s="8">
        <v>0</v>
      </c>
      <c r="Z462" s="8" t="s">
        <v>31</v>
      </c>
      <c r="AA462" s="8" t="s">
        <v>31</v>
      </c>
      <c r="AB462" s="8" t="s">
        <v>260</v>
      </c>
      <c r="AC462" s="29"/>
      <c r="AD462" s="29"/>
      <c r="AE462" s="95" t="s">
        <v>28</v>
      </c>
      <c r="AF462" s="22"/>
      <c r="AG462" s="30">
        <v>44256</v>
      </c>
      <c r="AH462" s="66"/>
      <c r="AI462" s="72">
        <v>44124</v>
      </c>
      <c r="AJ462" s="23" t="s">
        <v>270</v>
      </c>
      <c r="AK462" s="8" t="e">
        <f>VLOOKUP(A462,'[1]Externe MAJ Nov'!$A:$H,8,0)</f>
        <v>#N/A</v>
      </c>
      <c r="AL462" s="29" t="e">
        <f>VLOOKUP(A462,'[1]Externe MAJ Nov'!$A:$G,7,0)</f>
        <v>#N/A</v>
      </c>
      <c r="AM462" s="29" t="s">
        <v>95</v>
      </c>
      <c r="AN462" s="29" t="s">
        <v>27</v>
      </c>
      <c r="AO462" s="58">
        <v>44124</v>
      </c>
      <c r="AP462" s="29" t="e">
        <f>VLOOKUP(A462,'[2]External Scan 02_21'!$B:$J,9,0)</f>
        <v>#N/A</v>
      </c>
      <c r="AQ462" s="29" t="s">
        <v>491</v>
      </c>
      <c r="AR462" s="75"/>
      <c r="AS462" s="21" t="str">
        <f>VLOOKUP(AE462,'ref statu'!A:B,2,0)</f>
        <v>Fixed</v>
      </c>
      <c r="AT462" s="8" t="e">
        <f>VLOOKUP(A462,chk!A:B,2,0)</f>
        <v>#N/A</v>
      </c>
      <c r="AU462" s="29" t="e">
        <f>VLOOKUP(A462,checker!A:B,2,0)</f>
        <v>#N/A</v>
      </c>
      <c r="AV462" s="29" t="e">
        <f>VLOOKUP(A462,checker!B:C,2,0)</f>
        <v>#N/A</v>
      </c>
    </row>
    <row r="463" spans="1:48" x14ac:dyDescent="0.3">
      <c r="A463" s="29" t="str">
        <f t="shared" si="7"/>
        <v>96.692.66.676/80/http-generic-browsable-dir</v>
      </c>
      <c r="B463" s="29" t="s">
        <v>3007</v>
      </c>
      <c r="C463" s="29" t="s">
        <v>382</v>
      </c>
      <c r="D463" s="8" t="s">
        <v>2990</v>
      </c>
      <c r="E463" s="8" t="s">
        <v>265</v>
      </c>
      <c r="F463" s="29" t="s">
        <v>177</v>
      </c>
      <c r="G463" s="21" t="s">
        <v>383</v>
      </c>
      <c r="H463" s="29" t="s">
        <v>256</v>
      </c>
      <c r="I463" s="8" t="s">
        <v>257</v>
      </c>
      <c r="J463" s="8">
        <v>80</v>
      </c>
      <c r="K463" s="29" t="s">
        <v>275</v>
      </c>
      <c r="L463" s="29" t="s">
        <v>276</v>
      </c>
      <c r="M463" s="9">
        <v>5</v>
      </c>
      <c r="N463" s="9" t="s">
        <v>29</v>
      </c>
      <c r="O463" s="29" t="s">
        <v>32</v>
      </c>
      <c r="P463" s="29" t="s">
        <v>33</v>
      </c>
      <c r="Q463" s="29" t="s">
        <v>34</v>
      </c>
      <c r="R463" s="29" t="s">
        <v>35</v>
      </c>
      <c r="S463" s="29" t="s">
        <v>386</v>
      </c>
      <c r="T463" s="29" t="s">
        <v>31</v>
      </c>
      <c r="U463" s="29" t="s">
        <v>31</v>
      </c>
      <c r="V463" s="29" t="s">
        <v>31</v>
      </c>
      <c r="W463" s="57">
        <v>36892</v>
      </c>
      <c r="X463" s="8" t="s">
        <v>36</v>
      </c>
      <c r="Y463" s="8">
        <v>0</v>
      </c>
      <c r="Z463" s="8" t="s">
        <v>31</v>
      </c>
      <c r="AA463" s="8" t="s">
        <v>31</v>
      </c>
      <c r="AB463" s="8" t="s">
        <v>260</v>
      </c>
      <c r="AC463" s="29"/>
      <c r="AD463" s="29"/>
      <c r="AE463" s="95" t="s">
        <v>28</v>
      </c>
      <c r="AF463" s="22"/>
      <c r="AG463" s="30">
        <v>44256</v>
      </c>
      <c r="AH463" s="66"/>
      <c r="AI463" s="72">
        <v>44124</v>
      </c>
      <c r="AJ463" s="23" t="s">
        <v>270</v>
      </c>
      <c r="AK463" s="8" t="e">
        <f>VLOOKUP(A463,'[1]Externe MAJ Nov'!$A:$H,8,0)</f>
        <v>#N/A</v>
      </c>
      <c r="AL463" s="29" t="e">
        <f>VLOOKUP(A463,'[1]Externe MAJ Nov'!$A:$G,7,0)</f>
        <v>#N/A</v>
      </c>
      <c r="AM463" s="29" t="s">
        <v>95</v>
      </c>
      <c r="AN463" s="29" t="s">
        <v>27</v>
      </c>
      <c r="AO463" s="58">
        <v>44124</v>
      </c>
      <c r="AP463" s="29" t="e">
        <f>VLOOKUP(A463,'[2]External Scan 02_21'!$B:$J,9,0)</f>
        <v>#N/A</v>
      </c>
      <c r="AQ463" s="29" t="s">
        <v>491</v>
      </c>
      <c r="AR463" s="75"/>
      <c r="AS463" s="21" t="str">
        <f>VLOOKUP(AE463,'ref statu'!A:B,2,0)</f>
        <v>Fixed</v>
      </c>
      <c r="AT463" s="8" t="e">
        <f>VLOOKUP(A463,chk!A:B,2,0)</f>
        <v>#N/A</v>
      </c>
      <c r="AU463" s="29" t="e">
        <f>VLOOKUP(A463,checker!A:B,2,0)</f>
        <v>#N/A</v>
      </c>
      <c r="AV463" s="29" t="e">
        <f>VLOOKUP(A463,checker!B:C,2,0)</f>
        <v>#N/A</v>
      </c>
    </row>
    <row r="464" spans="1:48" x14ac:dyDescent="0.3">
      <c r="A464" s="29" t="str">
        <f t="shared" si="7"/>
        <v>96.692.66.672/0/generic-tcp-timestamp</v>
      </c>
      <c r="B464" s="59" t="s">
        <v>3008</v>
      </c>
      <c r="C464" s="59" t="s">
        <v>388</v>
      </c>
      <c r="D464" s="31" t="s">
        <v>2966</v>
      </c>
      <c r="E464" s="31" t="s">
        <v>494</v>
      </c>
      <c r="F464" s="8" t="s">
        <v>485</v>
      </c>
      <c r="G464" s="32"/>
      <c r="H464" s="59"/>
      <c r="I464" s="31"/>
      <c r="J464" s="31">
        <v>0</v>
      </c>
      <c r="K464" s="59"/>
      <c r="L464" s="59"/>
      <c r="M464" s="9">
        <v>1</v>
      </c>
      <c r="N464" s="9" t="s">
        <v>42</v>
      </c>
      <c r="O464" s="59" t="s">
        <v>78</v>
      </c>
      <c r="P464" s="59" t="s">
        <v>79</v>
      </c>
      <c r="Q464" s="59" t="s">
        <v>498</v>
      </c>
      <c r="R464" s="59" t="s">
        <v>499</v>
      </c>
      <c r="S464" s="59"/>
      <c r="T464" s="59"/>
      <c r="U464" s="59"/>
      <c r="V464" s="59"/>
      <c r="W464" s="60"/>
      <c r="X464" s="31" t="s">
        <v>36</v>
      </c>
      <c r="Y464" s="31"/>
      <c r="Z464" s="31"/>
      <c r="AA464" s="31"/>
      <c r="AB464" s="31"/>
      <c r="AC464" s="59"/>
      <c r="AD464" s="34"/>
      <c r="AE464" s="95" t="s">
        <v>28</v>
      </c>
      <c r="AF464" s="22"/>
      <c r="AG464" s="35"/>
      <c r="AH464" s="32"/>
      <c r="AI464" s="72">
        <v>44155</v>
      </c>
      <c r="AJ464" s="23" t="s">
        <v>270</v>
      </c>
      <c r="AK464" s="8" t="e">
        <f>VLOOKUP(A464,'[1]Externe MAJ Nov'!$A:$H,8,0)</f>
        <v>#N/A</v>
      </c>
      <c r="AL464" s="29" t="e">
        <f>VLOOKUP(A464,'[1]Externe MAJ Nov'!$A:$G,7,0)</f>
        <v>#N/A</v>
      </c>
      <c r="AM464" s="59"/>
      <c r="AN464" s="59"/>
      <c r="AO464" s="58">
        <v>44155</v>
      </c>
      <c r="AP464" s="29" t="e">
        <f>VLOOKUP(A464,'[2]External Scan 02_21'!$B:$J,9,0)</f>
        <v>#N/A</v>
      </c>
      <c r="AQ464" s="29" t="s">
        <v>523</v>
      </c>
      <c r="AR464" s="21"/>
      <c r="AS464" s="21" t="str">
        <f>VLOOKUP(AE464,'ref statu'!A:B,2,0)</f>
        <v>Fixed</v>
      </c>
      <c r="AT464" s="8" t="e">
        <f>VLOOKUP(A464,chk!A:B,2,0)</f>
        <v>#N/A</v>
      </c>
      <c r="AU464" s="29" t="e">
        <f>VLOOKUP(A464,checker!A:B,2,0)</f>
        <v>#N/A</v>
      </c>
      <c r="AV464" s="29" t="e">
        <f>VLOOKUP(A464,checker!B:C,2,0)</f>
        <v>#N/A</v>
      </c>
    </row>
    <row r="465" spans="1:48" x14ac:dyDescent="0.3">
      <c r="A465" s="29" t="str">
        <f t="shared" si="7"/>
        <v>96.692.66.672/22/ssh-3des-ciphers</v>
      </c>
      <c r="B465" s="29" t="s">
        <v>3008</v>
      </c>
      <c r="C465" s="29" t="s">
        <v>388</v>
      </c>
      <c r="D465" s="8" t="s">
        <v>2966</v>
      </c>
      <c r="E465" s="8" t="s">
        <v>253</v>
      </c>
      <c r="F465" s="29"/>
      <c r="G465" s="21" t="s">
        <v>389</v>
      </c>
      <c r="H465" s="29" t="s">
        <v>256</v>
      </c>
      <c r="I465" s="8" t="s">
        <v>390</v>
      </c>
      <c r="J465" s="8">
        <v>22</v>
      </c>
      <c r="K465" s="29" t="s">
        <v>268</v>
      </c>
      <c r="L465" s="29" t="s">
        <v>391</v>
      </c>
      <c r="M465" s="9">
        <v>1</v>
      </c>
      <c r="N465" s="9" t="s">
        <v>42</v>
      </c>
      <c r="O465" s="29" t="s">
        <v>49</v>
      </c>
      <c r="P465" s="29" t="s">
        <v>50</v>
      </c>
      <c r="Q465" s="29" t="s">
        <v>51</v>
      </c>
      <c r="R465" s="29" t="s">
        <v>52</v>
      </c>
      <c r="S465" s="29" t="s">
        <v>53</v>
      </c>
      <c r="T465" s="29" t="s">
        <v>54</v>
      </c>
      <c r="U465" s="29" t="s">
        <v>31</v>
      </c>
      <c r="V465" s="29" t="s">
        <v>31</v>
      </c>
      <c r="W465" s="57">
        <v>39845</v>
      </c>
      <c r="X465" s="8" t="s">
        <v>30</v>
      </c>
      <c r="Y465" s="8">
        <v>0</v>
      </c>
      <c r="Z465" s="8" t="s">
        <v>31</v>
      </c>
      <c r="AA465" s="8" t="s">
        <v>31</v>
      </c>
      <c r="AB465" s="8" t="s">
        <v>364</v>
      </c>
      <c r="AC465" s="29"/>
      <c r="AD465" s="29"/>
      <c r="AE465" s="95" t="s">
        <v>28</v>
      </c>
      <c r="AF465" s="22"/>
      <c r="AG465" s="30">
        <v>44256</v>
      </c>
      <c r="AH465" s="66"/>
      <c r="AI465" s="72">
        <v>44124</v>
      </c>
      <c r="AJ465" s="23" t="s">
        <v>270</v>
      </c>
      <c r="AK465" s="8" t="e">
        <f>VLOOKUP(A465,'[1]Externe MAJ Nov'!$A:$H,8,0)</f>
        <v>#N/A</v>
      </c>
      <c r="AL465" s="29" t="e">
        <f>VLOOKUP(A465,'[1]Externe MAJ Nov'!$A:$G,7,0)</f>
        <v>#N/A</v>
      </c>
      <c r="AM465" s="29" t="s">
        <v>95</v>
      </c>
      <c r="AN465" s="29" t="s">
        <v>27</v>
      </c>
      <c r="AO465" s="58">
        <v>44124</v>
      </c>
      <c r="AP465" s="29" t="e">
        <f>VLOOKUP(A465,'[2]External Scan 02_21'!$B:$J,9,0)</f>
        <v>#N/A</v>
      </c>
      <c r="AQ465" s="29" t="s">
        <v>523</v>
      </c>
      <c r="AR465" s="21"/>
      <c r="AS465" s="21" t="str">
        <f>VLOOKUP(AE465,'ref statu'!A:B,2,0)</f>
        <v>Fixed</v>
      </c>
      <c r="AT465" s="8" t="e">
        <f>VLOOKUP(A465,chk!A:B,2,0)</f>
        <v>#N/A</v>
      </c>
      <c r="AU465" s="29" t="e">
        <f>VLOOKUP(A465,checker!A:B,2,0)</f>
        <v>#N/A</v>
      </c>
      <c r="AV465" s="29" t="e">
        <f>VLOOKUP(A465,checker!B:C,2,0)</f>
        <v>#N/A</v>
      </c>
    </row>
    <row r="466" spans="1:48" x14ac:dyDescent="0.3">
      <c r="A466" s="29" t="str">
        <f t="shared" si="7"/>
        <v>96.692.66.672/22/ssh-cbc-ciphers</v>
      </c>
      <c r="B466" s="29" t="s">
        <v>3008</v>
      </c>
      <c r="C466" s="29" t="s">
        <v>388</v>
      </c>
      <c r="D466" s="8" t="s">
        <v>2966</v>
      </c>
      <c r="E466" s="8" t="s">
        <v>253</v>
      </c>
      <c r="F466" s="29"/>
      <c r="G466" s="21" t="s">
        <v>389</v>
      </c>
      <c r="H466" s="29" t="s">
        <v>256</v>
      </c>
      <c r="I466" s="8" t="s">
        <v>390</v>
      </c>
      <c r="J466" s="8">
        <v>22</v>
      </c>
      <c r="K466" s="29" t="s">
        <v>268</v>
      </c>
      <c r="L466" s="29" t="s">
        <v>391</v>
      </c>
      <c r="M466" s="9">
        <v>3</v>
      </c>
      <c r="N466" s="9" t="s">
        <v>42</v>
      </c>
      <c r="O466" s="29" t="s">
        <v>55</v>
      </c>
      <c r="P466" s="29" t="s">
        <v>56</v>
      </c>
      <c r="Q466" s="29" t="s">
        <v>57</v>
      </c>
      <c r="R466" s="29" t="s">
        <v>58</v>
      </c>
      <c r="S466" s="29" t="s">
        <v>392</v>
      </c>
      <c r="T466" s="29" t="s">
        <v>59</v>
      </c>
      <c r="U466" s="29" t="s">
        <v>31</v>
      </c>
      <c r="V466" s="29" t="s">
        <v>31</v>
      </c>
      <c r="W466" s="57">
        <v>41313</v>
      </c>
      <c r="X466" s="8" t="s">
        <v>30</v>
      </c>
      <c r="Y466" s="8">
        <v>0</v>
      </c>
      <c r="Z466" s="8" t="s">
        <v>31</v>
      </c>
      <c r="AA466" s="8" t="s">
        <v>31</v>
      </c>
      <c r="AB466" s="8" t="s">
        <v>364</v>
      </c>
      <c r="AC466" s="29"/>
      <c r="AD466" s="29"/>
      <c r="AE466" s="95" t="s">
        <v>28</v>
      </c>
      <c r="AF466" s="22"/>
      <c r="AG466" s="30">
        <v>44256</v>
      </c>
      <c r="AH466" s="66"/>
      <c r="AI466" s="72">
        <v>44124</v>
      </c>
      <c r="AJ466" s="23" t="s">
        <v>270</v>
      </c>
      <c r="AK466" s="8" t="e">
        <f>VLOOKUP(A466,'[1]Externe MAJ Nov'!$A:$H,8,0)</f>
        <v>#N/A</v>
      </c>
      <c r="AL466" s="29" t="e">
        <f>VLOOKUP(A466,'[1]Externe MAJ Nov'!$A:$G,7,0)</f>
        <v>#N/A</v>
      </c>
      <c r="AM466" s="29" t="s">
        <v>95</v>
      </c>
      <c r="AN466" s="29" t="s">
        <v>27</v>
      </c>
      <c r="AO466" s="58">
        <v>44124</v>
      </c>
      <c r="AP466" s="29" t="e">
        <f>VLOOKUP(A466,'[2]External Scan 02_21'!$B:$J,9,0)</f>
        <v>#N/A</v>
      </c>
      <c r="AQ466" s="29" t="s">
        <v>523</v>
      </c>
      <c r="AR466" s="21"/>
      <c r="AS466" s="21" t="str">
        <f>VLOOKUP(AE466,'ref statu'!A:B,2,0)</f>
        <v>Fixed</v>
      </c>
      <c r="AT466" s="8" t="e">
        <f>VLOOKUP(A466,chk!A:B,2,0)</f>
        <v>#N/A</v>
      </c>
      <c r="AU466" s="29" t="e">
        <f>VLOOKUP(A466,checker!A:B,2,0)</f>
        <v>#N/A</v>
      </c>
      <c r="AV466" s="29" t="e">
        <f>VLOOKUP(A466,checker!B:C,2,0)</f>
        <v>#N/A</v>
      </c>
    </row>
    <row r="467" spans="1:48" x14ac:dyDescent="0.3">
      <c r="A467" s="29" t="str">
        <f t="shared" si="7"/>
        <v>96.692.66.672/22/ssh-cve-2015-4000</v>
      </c>
      <c r="B467" s="29" t="s">
        <v>3008</v>
      </c>
      <c r="C467" s="29" t="s">
        <v>388</v>
      </c>
      <c r="D467" s="8" t="s">
        <v>2966</v>
      </c>
      <c r="E467" s="8" t="s">
        <v>253</v>
      </c>
      <c r="F467" s="29"/>
      <c r="G467" s="21" t="s">
        <v>389</v>
      </c>
      <c r="H467" s="29" t="s">
        <v>256</v>
      </c>
      <c r="I467" s="8" t="s">
        <v>390</v>
      </c>
      <c r="J467" s="8">
        <v>22</v>
      </c>
      <c r="K467" s="29" t="s">
        <v>268</v>
      </c>
      <c r="L467" s="29" t="s">
        <v>391</v>
      </c>
      <c r="M467" s="9">
        <v>4</v>
      </c>
      <c r="N467" s="9" t="s">
        <v>29</v>
      </c>
      <c r="O467" s="29" t="s">
        <v>60</v>
      </c>
      <c r="P467" s="29" t="s">
        <v>61</v>
      </c>
      <c r="Q467" s="29" t="s">
        <v>62</v>
      </c>
      <c r="R467" s="29" t="s">
        <v>63</v>
      </c>
      <c r="S467" s="29" t="s">
        <v>64</v>
      </c>
      <c r="T467" s="29" t="s">
        <v>65</v>
      </c>
      <c r="U467" s="29" t="s">
        <v>66</v>
      </c>
      <c r="V467" s="29" t="s">
        <v>273</v>
      </c>
      <c r="W467" s="57">
        <v>42144</v>
      </c>
      <c r="X467" s="8" t="s">
        <v>30</v>
      </c>
      <c r="Y467" s="8">
        <v>0</v>
      </c>
      <c r="Z467" s="8" t="s">
        <v>31</v>
      </c>
      <c r="AA467" s="8" t="s">
        <v>31</v>
      </c>
      <c r="AB467" s="8" t="s">
        <v>364</v>
      </c>
      <c r="AC467" s="29"/>
      <c r="AD467" s="29"/>
      <c r="AE467" s="95" t="s">
        <v>28</v>
      </c>
      <c r="AF467" s="30">
        <v>44196</v>
      </c>
      <c r="AG467" s="30">
        <v>44196</v>
      </c>
      <c r="AH467" s="25"/>
      <c r="AI467" s="72">
        <v>44124</v>
      </c>
      <c r="AJ467" s="23" t="s">
        <v>270</v>
      </c>
      <c r="AK467" s="8" t="e">
        <f>VLOOKUP(A467,'[1]Externe MAJ Nov'!$A:$H,8,0)</f>
        <v>#N/A</v>
      </c>
      <c r="AL467" s="29" t="e">
        <f>VLOOKUP(A467,'[1]Externe MAJ Nov'!$A:$G,7,0)</f>
        <v>#N/A</v>
      </c>
      <c r="AM467" s="29" t="s">
        <v>95</v>
      </c>
      <c r="AN467" s="29" t="s">
        <v>27</v>
      </c>
      <c r="AO467" s="58">
        <v>44124</v>
      </c>
      <c r="AP467" s="29" t="e">
        <f>VLOOKUP(A467,'[2]External Scan 02_21'!$B:$J,9,0)</f>
        <v>#N/A</v>
      </c>
      <c r="AQ467" s="29" t="s">
        <v>28</v>
      </c>
      <c r="AR467" s="21"/>
      <c r="AS467" s="21" t="str">
        <f>VLOOKUP(AE467,'ref statu'!A:B,2,0)</f>
        <v>Fixed</v>
      </c>
      <c r="AT467" s="8" t="e">
        <f>VLOOKUP(A467,chk!A:B,2,0)</f>
        <v>#N/A</v>
      </c>
      <c r="AU467" s="29" t="e">
        <f>VLOOKUP(A467,checker!A:B,2,0)</f>
        <v>#N/A</v>
      </c>
      <c r="AV467" s="29" t="e">
        <f>VLOOKUP(A467,checker!B:C,2,0)</f>
        <v>#N/A</v>
      </c>
    </row>
    <row r="468" spans="1:48" x14ac:dyDescent="0.3">
      <c r="A468" s="29" t="str">
        <f t="shared" si="7"/>
        <v>96.692.66.672/22/ssh-cve-2016-2183-sweet32</v>
      </c>
      <c r="B468" s="29" t="s">
        <v>3008</v>
      </c>
      <c r="C468" s="29" t="s">
        <v>388</v>
      </c>
      <c r="D468" s="8" t="s">
        <v>2966</v>
      </c>
      <c r="E468" s="8" t="s">
        <v>253</v>
      </c>
      <c r="F468" s="29"/>
      <c r="G468" s="21" t="s">
        <v>389</v>
      </c>
      <c r="H468" s="29" t="s">
        <v>256</v>
      </c>
      <c r="I468" s="8" t="s">
        <v>390</v>
      </c>
      <c r="J468" s="8">
        <v>22</v>
      </c>
      <c r="K468" s="29" t="s">
        <v>268</v>
      </c>
      <c r="L468" s="29" t="s">
        <v>391</v>
      </c>
      <c r="M468" s="9">
        <v>5</v>
      </c>
      <c r="N468" s="9" t="s">
        <v>29</v>
      </c>
      <c r="O468" s="29" t="s">
        <v>67</v>
      </c>
      <c r="P468" s="29" t="s">
        <v>68</v>
      </c>
      <c r="Q468" s="29" t="s">
        <v>69</v>
      </c>
      <c r="R468" s="29" t="s">
        <v>52</v>
      </c>
      <c r="S468" s="29" t="s">
        <v>53</v>
      </c>
      <c r="T468" s="29" t="s">
        <v>70</v>
      </c>
      <c r="U468" s="29" t="s">
        <v>71</v>
      </c>
      <c r="V468" s="29" t="s">
        <v>278</v>
      </c>
      <c r="W468" s="57">
        <v>42606</v>
      </c>
      <c r="X468" s="8" t="s">
        <v>30</v>
      </c>
      <c r="Y468" s="8">
        <v>1</v>
      </c>
      <c r="Z468" s="8" t="s">
        <v>279</v>
      </c>
      <c r="AA468" s="8" t="s">
        <v>280</v>
      </c>
      <c r="AB468" s="8" t="s">
        <v>364</v>
      </c>
      <c r="AC468" s="29"/>
      <c r="AD468" s="29"/>
      <c r="AE468" s="95" t="s">
        <v>28</v>
      </c>
      <c r="AF468" s="30">
        <v>44196</v>
      </c>
      <c r="AG468" s="30">
        <v>44196</v>
      </c>
      <c r="AH468" s="25"/>
      <c r="AI468" s="72">
        <v>44124</v>
      </c>
      <c r="AJ468" s="23" t="s">
        <v>270</v>
      </c>
      <c r="AK468" s="8" t="e">
        <f>VLOOKUP(A468,'[1]Externe MAJ Nov'!$A:$H,8,0)</f>
        <v>#N/A</v>
      </c>
      <c r="AL468" s="29" t="e">
        <f>VLOOKUP(A468,'[1]Externe MAJ Nov'!$A:$G,7,0)</f>
        <v>#N/A</v>
      </c>
      <c r="AM468" s="29" t="s">
        <v>95</v>
      </c>
      <c r="AN468" s="29" t="s">
        <v>27</v>
      </c>
      <c r="AO468" s="58">
        <v>44124</v>
      </c>
      <c r="AP468" s="29" t="e">
        <f>VLOOKUP(A468,'[2]External Scan 02_21'!$B:$J,9,0)</f>
        <v>#N/A</v>
      </c>
      <c r="AQ468" s="29" t="s">
        <v>28</v>
      </c>
      <c r="AR468" s="21"/>
      <c r="AS468" s="21" t="str">
        <f>VLOOKUP(AE468,'ref statu'!A:B,2,0)</f>
        <v>Fixed</v>
      </c>
      <c r="AT468" s="8" t="e">
        <f>VLOOKUP(A468,chk!A:B,2,0)</f>
        <v>#N/A</v>
      </c>
      <c r="AU468" s="29" t="e">
        <f>VLOOKUP(A468,checker!A:B,2,0)</f>
        <v>#N/A</v>
      </c>
      <c r="AV468" s="29" t="e">
        <f>VLOOKUP(A468,checker!B:C,2,0)</f>
        <v>#N/A</v>
      </c>
    </row>
    <row r="469" spans="1:48" x14ac:dyDescent="0.3">
      <c r="A469" s="29" t="str">
        <f t="shared" si="7"/>
        <v>96.692.66.672/22/ssh-weak-kex-algorithms</v>
      </c>
      <c r="B469" s="29" t="s">
        <v>3008</v>
      </c>
      <c r="C469" s="29" t="s">
        <v>388</v>
      </c>
      <c r="D469" s="8" t="s">
        <v>2966</v>
      </c>
      <c r="E469" s="8" t="s">
        <v>253</v>
      </c>
      <c r="F469" s="29"/>
      <c r="G469" s="21" t="s">
        <v>389</v>
      </c>
      <c r="H469" s="29" t="s">
        <v>256</v>
      </c>
      <c r="I469" s="8" t="s">
        <v>390</v>
      </c>
      <c r="J469" s="8">
        <v>22</v>
      </c>
      <c r="K469" s="29" t="s">
        <v>268</v>
      </c>
      <c r="L469" s="29" t="s">
        <v>391</v>
      </c>
      <c r="M469" s="9">
        <v>4</v>
      </c>
      <c r="N469" s="9" t="s">
        <v>29</v>
      </c>
      <c r="O469" s="29" t="s">
        <v>72</v>
      </c>
      <c r="P469" s="29" t="s">
        <v>73</v>
      </c>
      <c r="Q469" s="29" t="s">
        <v>74</v>
      </c>
      <c r="R469" s="29" t="s">
        <v>75</v>
      </c>
      <c r="S469" s="29" t="s">
        <v>244</v>
      </c>
      <c r="T469" s="29" t="s">
        <v>76</v>
      </c>
      <c r="U469" s="29" t="s">
        <v>31</v>
      </c>
      <c r="V469" s="29" t="s">
        <v>31</v>
      </c>
      <c r="W469" s="57">
        <v>42929</v>
      </c>
      <c r="X469" s="8" t="s">
        <v>30</v>
      </c>
      <c r="Y469" s="8">
        <v>0</v>
      </c>
      <c r="Z469" s="8" t="s">
        <v>31</v>
      </c>
      <c r="AA469" s="8" t="s">
        <v>31</v>
      </c>
      <c r="AB469" s="8" t="s">
        <v>364</v>
      </c>
      <c r="AC469" s="29"/>
      <c r="AD469" s="29"/>
      <c r="AE469" s="95" t="s">
        <v>28</v>
      </c>
      <c r="AF469" s="30">
        <v>44196</v>
      </c>
      <c r="AG469" s="30">
        <v>44196</v>
      </c>
      <c r="AH469" s="25"/>
      <c r="AI469" s="72">
        <v>44124</v>
      </c>
      <c r="AJ469" s="23" t="s">
        <v>270</v>
      </c>
      <c r="AK469" s="8" t="e">
        <f>VLOOKUP(A469,'[1]Externe MAJ Nov'!$A:$H,8,0)</f>
        <v>#N/A</v>
      </c>
      <c r="AL469" s="29" t="e">
        <f>VLOOKUP(A469,'[1]Externe MAJ Nov'!$A:$G,7,0)</f>
        <v>#N/A</v>
      </c>
      <c r="AM469" s="29" t="s">
        <v>95</v>
      </c>
      <c r="AN469" s="29" t="s">
        <v>27</v>
      </c>
      <c r="AO469" s="58">
        <v>44124</v>
      </c>
      <c r="AP469" s="29" t="e">
        <f>VLOOKUP(A469,'[2]External Scan 02_21'!$B:$J,9,0)</f>
        <v>#N/A</v>
      </c>
      <c r="AQ469" s="29" t="s">
        <v>28</v>
      </c>
      <c r="AR469" s="21"/>
      <c r="AS469" s="21" t="str">
        <f>VLOOKUP(AE469,'ref statu'!A:B,2,0)</f>
        <v>Fixed</v>
      </c>
      <c r="AT469" s="8" t="e">
        <f>VLOOKUP(A469,chk!A:B,2,0)</f>
        <v>#N/A</v>
      </c>
      <c r="AU469" s="29" t="e">
        <f>VLOOKUP(A469,checker!A:B,2,0)</f>
        <v>#N/A</v>
      </c>
      <c r="AV469" s="29" t="e">
        <f>VLOOKUP(A469,checker!B:C,2,0)</f>
        <v>#N/A</v>
      </c>
    </row>
    <row r="470" spans="1:48" x14ac:dyDescent="0.3">
      <c r="A470" s="29" t="str">
        <f t="shared" si="7"/>
        <v>96.692.66.672/80/http-cookie-http-only-flag</v>
      </c>
      <c r="B470" s="29" t="s">
        <v>3008</v>
      </c>
      <c r="C470" s="29" t="s">
        <v>388</v>
      </c>
      <c r="D470" s="8" t="s">
        <v>2966</v>
      </c>
      <c r="E470" s="8" t="s">
        <v>307</v>
      </c>
      <c r="F470" s="29" t="s">
        <v>308</v>
      </c>
      <c r="G470" s="21" t="s">
        <v>389</v>
      </c>
      <c r="H470" s="29" t="s">
        <v>256</v>
      </c>
      <c r="I470" s="8" t="s">
        <v>390</v>
      </c>
      <c r="J470" s="8">
        <v>80</v>
      </c>
      <c r="K470" s="29" t="s">
        <v>275</v>
      </c>
      <c r="L470" s="29" t="s">
        <v>276</v>
      </c>
      <c r="M470" s="9">
        <v>5</v>
      </c>
      <c r="N470" s="9" t="s">
        <v>29</v>
      </c>
      <c r="O470" s="29" t="s">
        <v>203</v>
      </c>
      <c r="P470" s="29" t="s">
        <v>204</v>
      </c>
      <c r="Q470" s="29" t="s">
        <v>205</v>
      </c>
      <c r="R470" s="29" t="s">
        <v>206</v>
      </c>
      <c r="S470" s="29" t="s">
        <v>395</v>
      </c>
      <c r="T470" s="29" t="s">
        <v>207</v>
      </c>
      <c r="U470" s="29" t="s">
        <v>31</v>
      </c>
      <c r="V470" s="29" t="s">
        <v>31</v>
      </c>
      <c r="W470" s="57">
        <v>40694</v>
      </c>
      <c r="X470" s="8" t="s">
        <v>36</v>
      </c>
      <c r="Y470" s="8">
        <v>0</v>
      </c>
      <c r="Z470" s="8" t="s">
        <v>31</v>
      </c>
      <c r="AA470" s="8" t="s">
        <v>31</v>
      </c>
      <c r="AB470" s="8" t="s">
        <v>364</v>
      </c>
      <c r="AC470" s="29"/>
      <c r="AD470" s="29"/>
      <c r="AE470" s="95" t="s">
        <v>28</v>
      </c>
      <c r="AF470" s="22"/>
      <c r="AG470" s="30">
        <v>44256</v>
      </c>
      <c r="AH470" s="67"/>
      <c r="AI470" s="72">
        <v>44124</v>
      </c>
      <c r="AJ470" s="23" t="s">
        <v>270</v>
      </c>
      <c r="AK470" s="8" t="e">
        <f>VLOOKUP(A470,'[1]Externe MAJ Nov'!$A:$H,8,0)</f>
        <v>#N/A</v>
      </c>
      <c r="AL470" s="29" t="e">
        <f>VLOOKUP(A470,'[1]Externe MAJ Nov'!$A:$G,7,0)</f>
        <v>#N/A</v>
      </c>
      <c r="AM470" s="29" t="s">
        <v>95</v>
      </c>
      <c r="AN470" s="29" t="s">
        <v>27</v>
      </c>
      <c r="AO470" s="58">
        <v>44124</v>
      </c>
      <c r="AP470" s="29" t="e">
        <f>VLOOKUP(A470,'[2]External Scan 02_21'!$B:$J,9,0)</f>
        <v>#N/A</v>
      </c>
      <c r="AQ470" s="29" t="s">
        <v>523</v>
      </c>
      <c r="AR470" s="21"/>
      <c r="AS470" s="21" t="str">
        <f>VLOOKUP(AE470,'ref statu'!A:B,2,0)</f>
        <v>Fixed</v>
      </c>
      <c r="AT470" s="8" t="e">
        <f>VLOOKUP(A470,chk!A:B,2,0)</f>
        <v>#N/A</v>
      </c>
      <c r="AU470" s="29" t="e">
        <f>VLOOKUP(A470,checker!A:B,2,0)</f>
        <v>#N/A</v>
      </c>
      <c r="AV470" s="29" t="e">
        <f>VLOOKUP(A470,checker!B:C,2,0)</f>
        <v>#N/A</v>
      </c>
    </row>
    <row r="471" spans="1:48" x14ac:dyDescent="0.3">
      <c r="A471" s="29" t="str">
        <f t="shared" si="7"/>
        <v>96.692.66.672/80/http-generic-browsable-dir</v>
      </c>
      <c r="B471" s="29" t="s">
        <v>3008</v>
      </c>
      <c r="C471" s="29" t="s">
        <v>388</v>
      </c>
      <c r="D471" s="8" t="s">
        <v>2966</v>
      </c>
      <c r="E471" s="8" t="s">
        <v>307</v>
      </c>
      <c r="F471" s="29" t="s">
        <v>308</v>
      </c>
      <c r="G471" s="21" t="s">
        <v>389</v>
      </c>
      <c r="H471" s="29" t="s">
        <v>256</v>
      </c>
      <c r="I471" s="8" t="s">
        <v>390</v>
      </c>
      <c r="J471" s="8">
        <v>80</v>
      </c>
      <c r="K471" s="29" t="s">
        <v>275</v>
      </c>
      <c r="L471" s="29" t="s">
        <v>276</v>
      </c>
      <c r="M471" s="9">
        <v>5</v>
      </c>
      <c r="N471" s="9" t="s">
        <v>29</v>
      </c>
      <c r="O471" s="29" t="s">
        <v>32</v>
      </c>
      <c r="P471" s="29" t="s">
        <v>33</v>
      </c>
      <c r="Q471" s="29" t="s">
        <v>34</v>
      </c>
      <c r="R471" s="29" t="s">
        <v>35</v>
      </c>
      <c r="S471" s="29" t="s">
        <v>396</v>
      </c>
      <c r="T471" s="29" t="s">
        <v>31</v>
      </c>
      <c r="U471" s="29" t="s">
        <v>31</v>
      </c>
      <c r="V471" s="29" t="s">
        <v>31</v>
      </c>
      <c r="W471" s="57">
        <v>36892</v>
      </c>
      <c r="X471" s="8" t="s">
        <v>36</v>
      </c>
      <c r="Y471" s="8">
        <v>0</v>
      </c>
      <c r="Z471" s="8" t="s">
        <v>31</v>
      </c>
      <c r="AA471" s="8" t="s">
        <v>31</v>
      </c>
      <c r="AB471" s="8" t="s">
        <v>364</v>
      </c>
      <c r="AC471" s="29"/>
      <c r="AD471" s="29"/>
      <c r="AE471" s="95" t="s">
        <v>28</v>
      </c>
      <c r="AF471" s="22"/>
      <c r="AG471" s="30">
        <v>44256</v>
      </c>
      <c r="AH471" s="67"/>
      <c r="AI471" s="72">
        <v>44124</v>
      </c>
      <c r="AJ471" s="23" t="s">
        <v>270</v>
      </c>
      <c r="AK471" s="8" t="e">
        <f>VLOOKUP(A471,'[1]Externe MAJ Nov'!$A:$H,8,0)</f>
        <v>#N/A</v>
      </c>
      <c r="AL471" s="29" t="e">
        <f>VLOOKUP(A471,'[1]Externe MAJ Nov'!$A:$G,7,0)</f>
        <v>#N/A</v>
      </c>
      <c r="AM471" s="29" t="s">
        <v>28</v>
      </c>
      <c r="AN471" s="29" t="s">
        <v>27</v>
      </c>
      <c r="AO471" s="58">
        <v>44124</v>
      </c>
      <c r="AP471" s="29" t="e">
        <f>VLOOKUP(A471,'[2]External Scan 02_21'!$B:$J,9,0)</f>
        <v>#N/A</v>
      </c>
      <c r="AQ471" s="29" t="s">
        <v>523</v>
      </c>
      <c r="AR471" s="21"/>
      <c r="AS471" s="21" t="str">
        <f>VLOOKUP(AE471,'ref statu'!A:B,2,0)</f>
        <v>Fixed</v>
      </c>
      <c r="AT471" s="8" t="e">
        <f>VLOOKUP(A471,chk!A:B,2,0)</f>
        <v>#N/A</v>
      </c>
      <c r="AU471" s="29" t="e">
        <f>VLOOKUP(A471,checker!A:B,2,0)</f>
        <v>#N/A</v>
      </c>
      <c r="AV471" s="29" t="e">
        <f>VLOOKUP(A471,checker!B:C,2,0)</f>
        <v>#N/A</v>
      </c>
    </row>
    <row r="472" spans="1:48" x14ac:dyDescent="0.3">
      <c r="A472" s="29" t="str">
        <f t="shared" si="7"/>
        <v>96.692.66.672/80/http-generic-click-jacking</v>
      </c>
      <c r="B472" s="29" t="s">
        <v>3008</v>
      </c>
      <c r="C472" s="29" t="s">
        <v>388</v>
      </c>
      <c r="D472" s="8" t="s">
        <v>2966</v>
      </c>
      <c r="E472" s="8" t="s">
        <v>307</v>
      </c>
      <c r="F472" s="29" t="s">
        <v>308</v>
      </c>
      <c r="G472" s="21" t="s">
        <v>389</v>
      </c>
      <c r="H472" s="29" t="s">
        <v>256</v>
      </c>
      <c r="I472" s="8" t="s">
        <v>390</v>
      </c>
      <c r="J472" s="8">
        <v>80</v>
      </c>
      <c r="K472" s="29" t="s">
        <v>275</v>
      </c>
      <c r="L472" s="29" t="s">
        <v>276</v>
      </c>
      <c r="M472" s="9">
        <v>4</v>
      </c>
      <c r="N472" s="9" t="s">
        <v>29</v>
      </c>
      <c r="O472" s="29" t="s">
        <v>37</v>
      </c>
      <c r="P472" s="29" t="s">
        <v>38</v>
      </c>
      <c r="Q472" s="29" t="s">
        <v>39</v>
      </c>
      <c r="R472" s="29" t="s">
        <v>40</v>
      </c>
      <c r="S472" s="29" t="s">
        <v>394</v>
      </c>
      <c r="T472" s="29" t="s">
        <v>41</v>
      </c>
      <c r="U472" s="29" t="s">
        <v>31</v>
      </c>
      <c r="V472" s="29" t="s">
        <v>31</v>
      </c>
      <c r="W472" s="57">
        <v>39708</v>
      </c>
      <c r="X472" s="8" t="s">
        <v>36</v>
      </c>
      <c r="Y472" s="8">
        <v>0</v>
      </c>
      <c r="Z472" s="8" t="s">
        <v>31</v>
      </c>
      <c r="AA472" s="8" t="s">
        <v>31</v>
      </c>
      <c r="AB472" s="8" t="s">
        <v>364</v>
      </c>
      <c r="AC472" s="29"/>
      <c r="AD472" s="29"/>
      <c r="AE472" s="95" t="s">
        <v>28</v>
      </c>
      <c r="AF472" s="22"/>
      <c r="AG472" s="30">
        <v>44256</v>
      </c>
      <c r="AH472" s="67"/>
      <c r="AI472" s="72">
        <v>44124</v>
      </c>
      <c r="AJ472" s="23" t="s">
        <v>270</v>
      </c>
      <c r="AK472" s="8" t="e">
        <f>VLOOKUP(A472,'[1]Externe MAJ Nov'!$A:$H,8,0)</f>
        <v>#N/A</v>
      </c>
      <c r="AL472" s="29" t="e">
        <f>VLOOKUP(A472,'[1]Externe MAJ Nov'!$A:$G,7,0)</f>
        <v>#N/A</v>
      </c>
      <c r="AM472" s="29" t="s">
        <v>28</v>
      </c>
      <c r="AN472" s="29" t="s">
        <v>27</v>
      </c>
      <c r="AO472" s="58">
        <v>44124</v>
      </c>
      <c r="AP472" s="29" t="e">
        <f>VLOOKUP(A472,'[2]External Scan 02_21'!$B:$J,9,0)</f>
        <v>#N/A</v>
      </c>
      <c r="AQ472" s="29" t="s">
        <v>523</v>
      </c>
      <c r="AR472" s="21"/>
      <c r="AS472" s="21" t="str">
        <f>VLOOKUP(AE472,'ref statu'!A:B,2,0)</f>
        <v>Fixed</v>
      </c>
      <c r="AT472" s="8" t="e">
        <f>VLOOKUP(A472,chk!A:B,2,0)</f>
        <v>#N/A</v>
      </c>
      <c r="AU472" s="29" t="e">
        <f>VLOOKUP(A472,checker!A:B,2,0)</f>
        <v>#N/A</v>
      </c>
      <c r="AV472" s="29" t="e">
        <f>VLOOKUP(A472,checker!B:C,2,0)</f>
        <v>#N/A</v>
      </c>
    </row>
    <row r="473" spans="1:48" x14ac:dyDescent="0.3">
      <c r="A473" s="29" t="str">
        <f t="shared" si="7"/>
        <v>96.692.66.672/80/http-generic-script-blind-sql-injection</v>
      </c>
      <c r="B473" s="59" t="s">
        <v>3008</v>
      </c>
      <c r="C473" s="59" t="s">
        <v>388</v>
      </c>
      <c r="D473" s="31" t="s">
        <v>2966</v>
      </c>
      <c r="E473" s="31" t="s">
        <v>494</v>
      </c>
      <c r="F473" s="8" t="s">
        <v>27</v>
      </c>
      <c r="G473" s="32" t="s">
        <v>389</v>
      </c>
      <c r="H473" s="59" t="s">
        <v>256</v>
      </c>
      <c r="I473" s="31" t="s">
        <v>257</v>
      </c>
      <c r="J473" s="31">
        <v>80</v>
      </c>
      <c r="K473" s="59" t="s">
        <v>275</v>
      </c>
      <c r="L473" s="59" t="s">
        <v>276</v>
      </c>
      <c r="M473" s="9">
        <v>9</v>
      </c>
      <c r="N473" s="10" t="s">
        <v>164</v>
      </c>
      <c r="O473" s="59" t="s">
        <v>500</v>
      </c>
      <c r="P473" s="59" t="s">
        <v>501</v>
      </c>
      <c r="Q473" s="59" t="s">
        <v>502</v>
      </c>
      <c r="R473" s="59" t="s">
        <v>503</v>
      </c>
      <c r="S473" s="59" t="s">
        <v>504</v>
      </c>
      <c r="T473" s="59" t="s">
        <v>505</v>
      </c>
      <c r="U473" s="59" t="s">
        <v>31</v>
      </c>
      <c r="V473" s="59" t="s">
        <v>31</v>
      </c>
      <c r="W473" s="60">
        <v>38353</v>
      </c>
      <c r="X473" s="31" t="s">
        <v>36</v>
      </c>
      <c r="Y473" s="31">
        <v>0</v>
      </c>
      <c r="Z473" s="31" t="s">
        <v>31</v>
      </c>
      <c r="AA473" s="31" t="s">
        <v>31</v>
      </c>
      <c r="AB473" s="31" t="s">
        <v>439</v>
      </c>
      <c r="AC473" s="59"/>
      <c r="AD473" s="34"/>
      <c r="AE473" s="95" t="s">
        <v>28</v>
      </c>
      <c r="AF473" s="22"/>
      <c r="AG473" s="35">
        <v>44256</v>
      </c>
      <c r="AH473" s="32"/>
      <c r="AI473" s="72">
        <v>44155</v>
      </c>
      <c r="AJ473" s="23" t="s">
        <v>270</v>
      </c>
      <c r="AK473" s="8" t="e">
        <f>VLOOKUP(A473,'[1]Externe MAJ Nov'!$A:$H,8,0)</f>
        <v>#N/A</v>
      </c>
      <c r="AL473" s="29" t="e">
        <f>VLOOKUP(A473,'[1]Externe MAJ Nov'!$A:$G,7,0)</f>
        <v>#N/A</v>
      </c>
      <c r="AM473" s="59"/>
      <c r="AN473" s="59"/>
      <c r="AO473" s="58">
        <v>44155</v>
      </c>
      <c r="AP473" s="29" t="e">
        <f>VLOOKUP(A473,'[2]External Scan 02_21'!$B:$J,9,0)</f>
        <v>#N/A</v>
      </c>
      <c r="AQ473" s="29" t="s">
        <v>523</v>
      </c>
      <c r="AR473" s="21"/>
      <c r="AS473" s="21" t="str">
        <f>VLOOKUP(AE473,'ref statu'!A:B,2,0)</f>
        <v>Fixed</v>
      </c>
      <c r="AT473" s="8" t="e">
        <f>VLOOKUP(A473,chk!A:B,2,0)</f>
        <v>#N/A</v>
      </c>
      <c r="AU473" s="29" t="e">
        <f>VLOOKUP(A473,checker!A:B,2,0)</f>
        <v>#N/A</v>
      </c>
      <c r="AV473" s="29" t="e">
        <f>VLOOKUP(A473,checker!B:C,2,0)</f>
        <v>#N/A</v>
      </c>
    </row>
    <row r="474" spans="1:48" x14ac:dyDescent="0.3">
      <c r="A474" s="29" t="str">
        <f t="shared" si="7"/>
        <v>96.692.66.672/80/http-generic-sensitive-form-data-unencrypted</v>
      </c>
      <c r="B474" s="29" t="s">
        <v>3008</v>
      </c>
      <c r="C474" s="29" t="s">
        <v>388</v>
      </c>
      <c r="D474" s="8" t="s">
        <v>2966</v>
      </c>
      <c r="E474" s="8" t="s">
        <v>307</v>
      </c>
      <c r="F474" s="29" t="s">
        <v>308</v>
      </c>
      <c r="G474" s="21" t="s">
        <v>389</v>
      </c>
      <c r="H474" s="29" t="s">
        <v>256</v>
      </c>
      <c r="I474" s="8" t="s">
        <v>390</v>
      </c>
      <c r="J474" s="8">
        <v>80</v>
      </c>
      <c r="K474" s="29" t="s">
        <v>275</v>
      </c>
      <c r="L474" s="29" t="s">
        <v>276</v>
      </c>
      <c r="M474" s="9">
        <v>4</v>
      </c>
      <c r="N474" s="9" t="s">
        <v>29</v>
      </c>
      <c r="O474" s="29" t="s">
        <v>236</v>
      </c>
      <c r="P474" s="29" t="s">
        <v>237</v>
      </c>
      <c r="Q474" s="29" t="s">
        <v>238</v>
      </c>
      <c r="R474" s="29" t="s">
        <v>239</v>
      </c>
      <c r="S474" s="29" t="s">
        <v>393</v>
      </c>
      <c r="T474" s="29" t="s">
        <v>31</v>
      </c>
      <c r="U474" s="29" t="s">
        <v>31</v>
      </c>
      <c r="V474" s="29" t="s">
        <v>31</v>
      </c>
      <c r="W474" s="57">
        <v>38292</v>
      </c>
      <c r="X474" s="8" t="s">
        <v>36</v>
      </c>
      <c r="Y474" s="8">
        <v>0</v>
      </c>
      <c r="Z474" s="8" t="s">
        <v>31</v>
      </c>
      <c r="AA474" s="8" t="s">
        <v>31</v>
      </c>
      <c r="AB474" s="8" t="s">
        <v>364</v>
      </c>
      <c r="AC474" s="29"/>
      <c r="AD474" s="29"/>
      <c r="AE474" s="95" t="s">
        <v>28</v>
      </c>
      <c r="AF474" s="22"/>
      <c r="AG474" s="30">
        <v>44256</v>
      </c>
      <c r="AH474" s="67"/>
      <c r="AI474" s="72">
        <v>44124</v>
      </c>
      <c r="AJ474" s="23" t="s">
        <v>270</v>
      </c>
      <c r="AK474" s="8" t="e">
        <f>VLOOKUP(A474,'[1]Externe MAJ Nov'!$A:$H,8,0)</f>
        <v>#N/A</v>
      </c>
      <c r="AL474" s="29" t="e">
        <f>VLOOKUP(A474,'[1]Externe MAJ Nov'!$A:$G,7,0)</f>
        <v>#N/A</v>
      </c>
      <c r="AM474" s="29" t="s">
        <v>95</v>
      </c>
      <c r="AN474" s="29" t="s">
        <v>27</v>
      </c>
      <c r="AO474" s="58">
        <v>44124</v>
      </c>
      <c r="AP474" s="29" t="e">
        <f>VLOOKUP(A474,'[2]External Scan 02_21'!$B:$J,9,0)</f>
        <v>#N/A</v>
      </c>
      <c r="AQ474" s="29" t="s">
        <v>523</v>
      </c>
      <c r="AR474" s="21"/>
      <c r="AS474" s="21" t="str">
        <f>VLOOKUP(AE474,'ref statu'!A:B,2,0)</f>
        <v>Fixed</v>
      </c>
      <c r="AT474" s="8" t="e">
        <f>VLOOKUP(A474,chk!A:B,2,0)</f>
        <v>#N/A</v>
      </c>
      <c r="AU474" s="29" t="e">
        <f>VLOOKUP(A474,checker!A:B,2,0)</f>
        <v>#N/A</v>
      </c>
      <c r="AV474" s="29" t="e">
        <f>VLOOKUP(A474,checker!B:C,2,0)</f>
        <v>#N/A</v>
      </c>
    </row>
    <row r="475" spans="1:48" x14ac:dyDescent="0.3">
      <c r="A475" s="29" t="str">
        <f t="shared" si="7"/>
        <v>96.692.66.672/80/spider-sensitive-form-data-autocomplete-enabled</v>
      </c>
      <c r="B475" s="61" t="s">
        <v>3008</v>
      </c>
      <c r="C475" s="61" t="s">
        <v>388</v>
      </c>
      <c r="D475" s="61" t="s">
        <v>2966</v>
      </c>
      <c r="E475" s="61" t="s">
        <v>494</v>
      </c>
      <c r="F475" s="61" t="s">
        <v>270</v>
      </c>
      <c r="G475" s="61" t="s">
        <v>389</v>
      </c>
      <c r="H475" s="61" t="s">
        <v>256</v>
      </c>
      <c r="I475" s="37" t="s">
        <v>257</v>
      </c>
      <c r="J475" s="37">
        <v>80</v>
      </c>
      <c r="K475" s="61" t="s">
        <v>275</v>
      </c>
      <c r="L475" s="61" t="s">
        <v>276</v>
      </c>
      <c r="M475" s="9">
        <v>3</v>
      </c>
      <c r="N475" s="9" t="s">
        <v>42</v>
      </c>
      <c r="O475" s="61" t="s">
        <v>96</v>
      </c>
      <c r="P475" s="61" t="s">
        <v>97</v>
      </c>
      <c r="Q475" s="61" t="s">
        <v>98</v>
      </c>
      <c r="R475" s="61" t="s">
        <v>99</v>
      </c>
      <c r="S475" s="61" t="s">
        <v>2456</v>
      </c>
      <c r="T475" s="61" t="s">
        <v>31</v>
      </c>
      <c r="U475" s="61" t="s">
        <v>31</v>
      </c>
      <c r="V475" s="61" t="s">
        <v>31</v>
      </c>
      <c r="W475" s="62">
        <v>40634</v>
      </c>
      <c r="X475" s="37" t="s">
        <v>36</v>
      </c>
      <c r="Y475" s="37">
        <v>0</v>
      </c>
      <c r="Z475" s="37" t="s">
        <v>31</v>
      </c>
      <c r="AA475" s="37" t="s">
        <v>31</v>
      </c>
      <c r="AB475" s="37" t="s">
        <v>439</v>
      </c>
      <c r="AC475" s="61"/>
      <c r="AD475" s="33"/>
      <c r="AE475" s="95" t="s">
        <v>28</v>
      </c>
      <c r="AF475" s="22"/>
      <c r="AG475" s="35">
        <v>44256</v>
      </c>
      <c r="AH475" s="40"/>
      <c r="AI475" s="72">
        <v>44185</v>
      </c>
      <c r="AJ475" s="38" t="s">
        <v>270</v>
      </c>
      <c r="AK475" s="39" t="e">
        <f>VLOOKUP(A475,'[1]Externe MAJ Nov'!$A:$H,8,0)</f>
        <v>#N/A</v>
      </c>
      <c r="AL475" s="61" t="s">
        <v>77</v>
      </c>
      <c r="AM475" s="61"/>
      <c r="AN475" s="61"/>
      <c r="AO475" s="58">
        <v>44185</v>
      </c>
      <c r="AP475" s="29" t="e">
        <f>VLOOKUP(A475,'[2]External Scan 02_21'!$B:$J,9,0)</f>
        <v>#N/A</v>
      </c>
      <c r="AQ475" s="29" t="s">
        <v>523</v>
      </c>
      <c r="AR475" s="21"/>
      <c r="AS475" s="21" t="str">
        <f>VLOOKUP(AE475,'ref statu'!A:B,2,0)</f>
        <v>Fixed</v>
      </c>
      <c r="AT475" s="8" t="e">
        <f>VLOOKUP(A475,chk!A:B,2,0)</f>
        <v>#N/A</v>
      </c>
      <c r="AU475" s="29" t="e">
        <f>VLOOKUP(A475,checker!A:B,2,0)</f>
        <v>#N/A</v>
      </c>
      <c r="AV475" s="29" t="e">
        <f>VLOOKUP(A475,checker!B:C,2,0)</f>
        <v>#N/A</v>
      </c>
    </row>
    <row r="476" spans="1:48" x14ac:dyDescent="0.3">
      <c r="A476" s="29" t="str">
        <f t="shared" si="7"/>
        <v>96.692.66.674/0/generic-tcp-timestamp</v>
      </c>
      <c r="B476" s="29" t="s">
        <v>3009</v>
      </c>
      <c r="C476" s="29" t="s">
        <v>397</v>
      </c>
      <c r="D476" s="148" t="s">
        <v>2967</v>
      </c>
      <c r="E476" s="8" t="s">
        <v>2529</v>
      </c>
      <c r="F476" s="29"/>
      <c r="G476" s="21" t="s">
        <v>398</v>
      </c>
      <c r="H476" s="29" t="s">
        <v>256</v>
      </c>
      <c r="I476" s="8" t="s">
        <v>257</v>
      </c>
      <c r="J476" s="8">
        <v>0</v>
      </c>
      <c r="K476" s="29" t="s">
        <v>258</v>
      </c>
      <c r="L476" s="29" t="s">
        <v>31</v>
      </c>
      <c r="M476" s="9">
        <v>1</v>
      </c>
      <c r="N476" s="9" t="s">
        <v>42</v>
      </c>
      <c r="O476" s="29" t="s">
        <v>78</v>
      </c>
      <c r="P476" s="29" t="s">
        <v>79</v>
      </c>
      <c r="Q476" s="29" t="s">
        <v>80</v>
      </c>
      <c r="R476" s="29" t="s">
        <v>81</v>
      </c>
      <c r="S476" s="29" t="s">
        <v>82</v>
      </c>
      <c r="T476" s="29" t="s">
        <v>83</v>
      </c>
      <c r="U476" s="29" t="s">
        <v>31</v>
      </c>
      <c r="V476" s="29" t="s">
        <v>31</v>
      </c>
      <c r="W476" s="57">
        <v>35643</v>
      </c>
      <c r="X476" s="8" t="s">
        <v>36</v>
      </c>
      <c r="Y476" s="8">
        <v>0</v>
      </c>
      <c r="Z476" s="8" t="s">
        <v>31</v>
      </c>
      <c r="AA476" s="8" t="s">
        <v>31</v>
      </c>
      <c r="AB476" s="8" t="s">
        <v>260</v>
      </c>
      <c r="AC476" s="29"/>
      <c r="AD476" s="29" t="s">
        <v>2522</v>
      </c>
      <c r="AE476" s="95" t="s">
        <v>28</v>
      </c>
      <c r="AF476" s="22"/>
      <c r="AG476" s="30">
        <v>44256</v>
      </c>
      <c r="AH476" s="66"/>
      <c r="AI476" s="72">
        <v>44124</v>
      </c>
      <c r="AJ476" s="23" t="s">
        <v>270</v>
      </c>
      <c r="AK476" s="8" t="e">
        <f>VLOOKUP(A476,'[1]Externe MAJ Nov'!$A:$H,8,0)</f>
        <v>#N/A</v>
      </c>
      <c r="AL476" s="29" t="e">
        <f>VLOOKUP(A476,'[1]Externe MAJ Nov'!$A:$G,7,0)</f>
        <v>#N/A</v>
      </c>
      <c r="AM476" s="29" t="s">
        <v>28</v>
      </c>
      <c r="AN476" s="29" t="s">
        <v>27</v>
      </c>
      <c r="AO476" s="58">
        <v>44124</v>
      </c>
      <c r="AP476" s="29" t="e">
        <f>VLOOKUP(A476,'[2]External Scan 02_21'!$B:$J,9,0)</f>
        <v>#N/A</v>
      </c>
      <c r="AQ476" s="29" t="s">
        <v>523</v>
      </c>
      <c r="AR476" s="21"/>
      <c r="AS476" s="21" t="str">
        <f>VLOOKUP(AE476,'ref statu'!A:B,2,0)</f>
        <v>Fixed</v>
      </c>
      <c r="AT476" s="8" t="e">
        <f>VLOOKUP(A476,chk!A:B,2,0)</f>
        <v>#N/A</v>
      </c>
      <c r="AU476" s="29" t="e">
        <f>VLOOKUP(A476,checker!A:B,2,0)</f>
        <v>#N/A</v>
      </c>
      <c r="AV476" s="29" t="e">
        <f>VLOOKUP(A476,checker!B:C,2,0)</f>
        <v>#N/A</v>
      </c>
    </row>
    <row r="477" spans="1:48" x14ac:dyDescent="0.3">
      <c r="A477" s="29" t="str">
        <f t="shared" si="7"/>
        <v>96.692.66.674/443/http-generic-browsable-dir</v>
      </c>
      <c r="B477" s="29" t="s">
        <v>3009</v>
      </c>
      <c r="C477" s="29" t="s">
        <v>397</v>
      </c>
      <c r="D477" s="148" t="s">
        <v>2967</v>
      </c>
      <c r="E477" s="8" t="s">
        <v>2529</v>
      </c>
      <c r="F477" s="29" t="s">
        <v>308</v>
      </c>
      <c r="G477" s="21" t="s">
        <v>398</v>
      </c>
      <c r="H477" s="29" t="s">
        <v>256</v>
      </c>
      <c r="I477" s="8" t="s">
        <v>257</v>
      </c>
      <c r="J477" s="8">
        <v>443</v>
      </c>
      <c r="K477" s="29" t="s">
        <v>290</v>
      </c>
      <c r="L477" s="29" t="s">
        <v>276</v>
      </c>
      <c r="M477" s="9">
        <v>5</v>
      </c>
      <c r="N477" s="9" t="s">
        <v>29</v>
      </c>
      <c r="O477" s="29" t="s">
        <v>32</v>
      </c>
      <c r="P477" s="29" t="s">
        <v>33</v>
      </c>
      <c r="Q477" s="29" t="s">
        <v>34</v>
      </c>
      <c r="R477" s="29" t="s">
        <v>35</v>
      </c>
      <c r="S477" s="29" t="s">
        <v>400</v>
      </c>
      <c r="T477" s="29" t="s">
        <v>31</v>
      </c>
      <c r="U477" s="29" t="s">
        <v>31</v>
      </c>
      <c r="V477" s="29" t="s">
        <v>31</v>
      </c>
      <c r="W477" s="57">
        <v>36892</v>
      </c>
      <c r="X477" s="8" t="s">
        <v>36</v>
      </c>
      <c r="Y477" s="8">
        <v>0</v>
      </c>
      <c r="Z477" s="8" t="s">
        <v>31</v>
      </c>
      <c r="AA477" s="8" t="s">
        <v>31</v>
      </c>
      <c r="AB477" s="8" t="s">
        <v>377</v>
      </c>
      <c r="AC477" s="29"/>
      <c r="AD477" s="29" t="s">
        <v>2522</v>
      </c>
      <c r="AE477" s="95" t="s">
        <v>2538</v>
      </c>
      <c r="AF477" s="22"/>
      <c r="AG477" s="30">
        <v>44256</v>
      </c>
      <c r="AH477" s="67"/>
      <c r="AI477" s="72">
        <v>44124</v>
      </c>
      <c r="AJ477" s="23" t="s">
        <v>270</v>
      </c>
      <c r="AK477" s="8" t="e">
        <f>VLOOKUP(A477,'[1]Externe MAJ Nov'!$A:$H,8,0)</f>
        <v>#N/A</v>
      </c>
      <c r="AL477" s="29" t="e">
        <f>VLOOKUP(A477,'[1]Externe MAJ Nov'!$A:$G,7,0)</f>
        <v>#N/A</v>
      </c>
      <c r="AM477" s="29" t="s">
        <v>95</v>
      </c>
      <c r="AN477" s="29" t="s">
        <v>27</v>
      </c>
      <c r="AO477" s="58">
        <v>44124</v>
      </c>
      <c r="AP477" s="29" t="e">
        <f>VLOOKUP(A477,'[2]External Scan 02_21'!$B:$J,9,0)</f>
        <v>#N/A</v>
      </c>
      <c r="AQ477" s="29" t="s">
        <v>523</v>
      </c>
      <c r="AR477" s="21"/>
      <c r="AS477" s="21" t="str">
        <f>VLOOKUP(AE477,'ref statu'!A:B,2,0)</f>
        <v>Not Fixed en cours d'investigation / Planification</v>
      </c>
      <c r="AT477" s="8" t="e">
        <f>VLOOKUP(A477,chk!A:B,2,0)</f>
        <v>#N/A</v>
      </c>
      <c r="AU477" s="29" t="e">
        <f>VLOOKUP(A477,checker!A:B,2,0)</f>
        <v>#N/A</v>
      </c>
      <c r="AV477" s="29" t="e">
        <f>VLOOKUP(A477,checker!B:C,2,0)</f>
        <v>#N/A</v>
      </c>
    </row>
    <row r="478" spans="1:48" x14ac:dyDescent="0.3">
      <c r="A478" s="29" t="str">
        <f t="shared" si="7"/>
        <v>96.692.66.674/443/http-generic-click-jacking</v>
      </c>
      <c r="B478" s="29" t="s">
        <v>3009</v>
      </c>
      <c r="C478" s="29" t="s">
        <v>397</v>
      </c>
      <c r="D478" s="148" t="s">
        <v>2967</v>
      </c>
      <c r="E478" s="8" t="s">
        <v>2529</v>
      </c>
      <c r="F478" s="29" t="s">
        <v>308</v>
      </c>
      <c r="G478" s="21" t="s">
        <v>398</v>
      </c>
      <c r="H478" s="29" t="s">
        <v>256</v>
      </c>
      <c r="I478" s="8" t="s">
        <v>257</v>
      </c>
      <c r="J478" s="8">
        <v>443</v>
      </c>
      <c r="K478" s="29" t="s">
        <v>290</v>
      </c>
      <c r="L478" s="29" t="s">
        <v>276</v>
      </c>
      <c r="M478" s="9">
        <v>4</v>
      </c>
      <c r="N478" s="9" t="s">
        <v>29</v>
      </c>
      <c r="O478" s="29" t="s">
        <v>37</v>
      </c>
      <c r="P478" s="29" t="s">
        <v>38</v>
      </c>
      <c r="Q478" s="29" t="s">
        <v>39</v>
      </c>
      <c r="R478" s="29" t="s">
        <v>40</v>
      </c>
      <c r="S478" s="29" t="s">
        <v>399</v>
      </c>
      <c r="T478" s="29" t="s">
        <v>41</v>
      </c>
      <c r="U478" s="29" t="s">
        <v>31</v>
      </c>
      <c r="V478" s="29" t="s">
        <v>31</v>
      </c>
      <c r="W478" s="57">
        <v>39708</v>
      </c>
      <c r="X478" s="8" t="s">
        <v>36</v>
      </c>
      <c r="Y478" s="8">
        <v>0</v>
      </c>
      <c r="Z478" s="8" t="s">
        <v>31</v>
      </c>
      <c r="AA478" s="8" t="s">
        <v>31</v>
      </c>
      <c r="AB478" s="8" t="s">
        <v>377</v>
      </c>
      <c r="AC478" s="29"/>
      <c r="AD478" s="29" t="s">
        <v>2522</v>
      </c>
      <c r="AE478" s="95" t="s">
        <v>2538</v>
      </c>
      <c r="AF478" s="22"/>
      <c r="AG478" s="30">
        <v>44256</v>
      </c>
      <c r="AH478" s="67"/>
      <c r="AI478" s="72">
        <v>44124</v>
      </c>
      <c r="AJ478" s="23" t="s">
        <v>270</v>
      </c>
      <c r="AK478" s="8" t="e">
        <f>VLOOKUP(A478,'[1]Externe MAJ Nov'!$A:$H,8,0)</f>
        <v>#N/A</v>
      </c>
      <c r="AL478" s="29" t="e">
        <f>VLOOKUP(A478,'[1]Externe MAJ Nov'!$A:$G,7,0)</f>
        <v>#N/A</v>
      </c>
      <c r="AM478" s="29" t="s">
        <v>95</v>
      </c>
      <c r="AN478" s="29" t="s">
        <v>27</v>
      </c>
      <c r="AO478" s="58">
        <v>44124</v>
      </c>
      <c r="AP478" s="29" t="e">
        <f>VLOOKUP(A478,'[2]External Scan 02_21'!$B:$J,9,0)</f>
        <v>#N/A</v>
      </c>
      <c r="AQ478" s="29" t="s">
        <v>523</v>
      </c>
      <c r="AR478" s="21"/>
      <c r="AS478" s="21" t="str">
        <f>VLOOKUP(AE478,'ref statu'!A:B,2,0)</f>
        <v>Not Fixed en cours d'investigation / Planification</v>
      </c>
      <c r="AT478" s="8" t="e">
        <f>VLOOKUP(A478,chk!A:B,2,0)</f>
        <v>#N/A</v>
      </c>
      <c r="AU478" s="29" t="e">
        <f>VLOOKUP(A478,checker!A:B,2,0)</f>
        <v>#N/A</v>
      </c>
      <c r="AV478" s="29" t="e">
        <f>VLOOKUP(A478,checker!B:C,2,0)</f>
        <v>#N/A</v>
      </c>
    </row>
    <row r="479" spans="1:48" x14ac:dyDescent="0.3">
      <c r="A479" s="29" t="str">
        <f t="shared" si="7"/>
        <v>96.692.66.675/0/generic-tcp-timestamp</v>
      </c>
      <c r="B479" s="29" t="s">
        <v>3010</v>
      </c>
      <c r="C479" s="29" t="s">
        <v>401</v>
      </c>
      <c r="D479" s="148" t="s">
        <v>2981</v>
      </c>
      <c r="E479" s="8" t="s">
        <v>253</v>
      </c>
      <c r="F479" s="29"/>
      <c r="G479" s="21" t="s">
        <v>402</v>
      </c>
      <c r="H479" s="29" t="s">
        <v>256</v>
      </c>
      <c r="I479" s="8" t="s">
        <v>310</v>
      </c>
      <c r="J479" s="8">
        <v>0</v>
      </c>
      <c r="K479" s="29" t="s">
        <v>258</v>
      </c>
      <c r="L479" s="29" t="s">
        <v>31</v>
      </c>
      <c r="M479" s="9">
        <v>1</v>
      </c>
      <c r="N479" s="9" t="s">
        <v>42</v>
      </c>
      <c r="O479" s="29" t="s">
        <v>78</v>
      </c>
      <c r="P479" s="29" t="s">
        <v>79</v>
      </c>
      <c r="Q479" s="29" t="s">
        <v>80</v>
      </c>
      <c r="R479" s="29" t="s">
        <v>81</v>
      </c>
      <c r="S479" s="29" t="s">
        <v>82</v>
      </c>
      <c r="T479" s="29" t="s">
        <v>83</v>
      </c>
      <c r="U479" s="29" t="s">
        <v>31</v>
      </c>
      <c r="V479" s="29" t="s">
        <v>31</v>
      </c>
      <c r="W479" s="57">
        <v>35643</v>
      </c>
      <c r="X479" s="8" t="s">
        <v>36</v>
      </c>
      <c r="Y479" s="8">
        <v>0</v>
      </c>
      <c r="Z479" s="8" t="s">
        <v>31</v>
      </c>
      <c r="AA479" s="8" t="s">
        <v>31</v>
      </c>
      <c r="AB479" s="8" t="s">
        <v>260</v>
      </c>
      <c r="AC479" s="29"/>
      <c r="AD479" s="29"/>
      <c r="AE479" s="95" t="s">
        <v>28</v>
      </c>
      <c r="AF479" s="22"/>
      <c r="AG479" s="30">
        <v>44256</v>
      </c>
      <c r="AH479" s="66"/>
      <c r="AI479" s="72">
        <v>44124</v>
      </c>
      <c r="AJ479" s="23" t="s">
        <v>270</v>
      </c>
      <c r="AK479" s="8" t="e">
        <f>VLOOKUP(A479,'[1]Externe MAJ Nov'!$A:$H,8,0)</f>
        <v>#N/A</v>
      </c>
      <c r="AL479" s="29" t="e">
        <f>VLOOKUP(A479,'[1]Externe MAJ Nov'!$A:$G,7,0)</f>
        <v>#N/A</v>
      </c>
      <c r="AM479" s="29" t="s">
        <v>28</v>
      </c>
      <c r="AN479" s="29" t="s">
        <v>270</v>
      </c>
      <c r="AO479" s="58">
        <v>44124</v>
      </c>
      <c r="AP479" s="29" t="e">
        <f>VLOOKUP(A479,'[2]External Scan 02_21'!$B:$J,9,0)</f>
        <v>#N/A</v>
      </c>
      <c r="AQ479" s="29" t="s">
        <v>2485</v>
      </c>
      <c r="AR479" s="75"/>
      <c r="AS479" s="21" t="str">
        <f>VLOOKUP(AE479,'ref statu'!A:B,2,0)</f>
        <v>Fixed</v>
      </c>
      <c r="AT479" s="8" t="e">
        <f>VLOOKUP(A479,chk!A:B,2,0)</f>
        <v>#N/A</v>
      </c>
      <c r="AU479" s="29" t="e">
        <f>VLOOKUP(A479,checker!A:B,2,0)</f>
        <v>#N/A</v>
      </c>
      <c r="AV479" s="29" t="e">
        <f>VLOOKUP(A479,checker!B:C,2,0)</f>
        <v>#N/A</v>
      </c>
    </row>
    <row r="480" spans="1:48" x14ac:dyDescent="0.3">
      <c r="A480" s="29" t="str">
        <f t="shared" si="7"/>
        <v>96.692.66.675/22/ssh-3des-ciphers</v>
      </c>
      <c r="B480" s="29" t="s">
        <v>3010</v>
      </c>
      <c r="C480" s="29" t="s">
        <v>401</v>
      </c>
      <c r="D480" s="148" t="s">
        <v>2981</v>
      </c>
      <c r="E480" s="8" t="s">
        <v>253</v>
      </c>
      <c r="F480" s="29"/>
      <c r="G480" s="21" t="s">
        <v>402</v>
      </c>
      <c r="H480" s="29" t="s">
        <v>256</v>
      </c>
      <c r="I480" s="8" t="s">
        <v>310</v>
      </c>
      <c r="J480" s="8">
        <v>22</v>
      </c>
      <c r="K480" s="29" t="s">
        <v>268</v>
      </c>
      <c r="L480" s="29" t="s">
        <v>269</v>
      </c>
      <c r="M480" s="9">
        <v>1</v>
      </c>
      <c r="N480" s="9" t="s">
        <v>42</v>
      </c>
      <c r="O480" s="29" t="s">
        <v>49</v>
      </c>
      <c r="P480" s="29" t="s">
        <v>50</v>
      </c>
      <c r="Q480" s="29" t="s">
        <v>51</v>
      </c>
      <c r="R480" s="29" t="s">
        <v>52</v>
      </c>
      <c r="S480" s="29" t="s">
        <v>53</v>
      </c>
      <c r="T480" s="29" t="s">
        <v>54</v>
      </c>
      <c r="U480" s="29" t="s">
        <v>31</v>
      </c>
      <c r="V480" s="29" t="s">
        <v>31</v>
      </c>
      <c r="W480" s="57">
        <v>39845</v>
      </c>
      <c r="X480" s="8" t="s">
        <v>30</v>
      </c>
      <c r="Y480" s="8">
        <v>0</v>
      </c>
      <c r="Z480" s="8" t="s">
        <v>31</v>
      </c>
      <c r="AA480" s="8" t="s">
        <v>31</v>
      </c>
      <c r="AB480" s="8" t="s">
        <v>260</v>
      </c>
      <c r="AC480" s="29"/>
      <c r="AD480" s="29"/>
      <c r="AE480" s="95" t="s">
        <v>28</v>
      </c>
      <c r="AF480" s="22"/>
      <c r="AG480" s="30">
        <v>44256</v>
      </c>
      <c r="AH480" s="66"/>
      <c r="AI480" s="72">
        <v>44124</v>
      </c>
      <c r="AJ480" s="23" t="s">
        <v>270</v>
      </c>
      <c r="AK480" s="8" t="e">
        <f>VLOOKUP(A480,'[1]Externe MAJ Nov'!$A:$H,8,0)</f>
        <v>#N/A</v>
      </c>
      <c r="AL480" s="29" t="e">
        <f>VLOOKUP(A480,'[1]Externe MAJ Nov'!$A:$G,7,0)</f>
        <v>#N/A</v>
      </c>
      <c r="AM480" s="29" t="s">
        <v>95</v>
      </c>
      <c r="AN480" s="29" t="s">
        <v>270</v>
      </c>
      <c r="AO480" s="58">
        <v>44124</v>
      </c>
      <c r="AP480" s="29" t="e">
        <f>VLOOKUP(A480,'[2]External Scan 02_21'!$B:$J,9,0)</f>
        <v>#N/A</v>
      </c>
      <c r="AQ480" s="29" t="s">
        <v>2485</v>
      </c>
      <c r="AR480" s="75"/>
      <c r="AS480" s="21" t="str">
        <f>VLOOKUP(AE480,'ref statu'!A:B,2,0)</f>
        <v>Fixed</v>
      </c>
      <c r="AT480" s="8" t="e">
        <f>VLOOKUP(A480,chk!A:B,2,0)</f>
        <v>#N/A</v>
      </c>
      <c r="AU480" s="29" t="e">
        <f>VLOOKUP(A480,checker!A:B,2,0)</f>
        <v>#N/A</v>
      </c>
      <c r="AV480" s="29" t="e">
        <f>VLOOKUP(A480,checker!B:C,2,0)</f>
        <v>#N/A</v>
      </c>
    </row>
    <row r="481" spans="1:48" x14ac:dyDescent="0.3">
      <c r="A481" s="29" t="str">
        <f t="shared" si="7"/>
        <v>96.692.66.675/22/ssh-cbc-ciphers</v>
      </c>
      <c r="B481" s="29" t="s">
        <v>3010</v>
      </c>
      <c r="C481" s="29" t="s">
        <v>401</v>
      </c>
      <c r="D481" s="148" t="s">
        <v>2981</v>
      </c>
      <c r="E481" s="8" t="s">
        <v>253</v>
      </c>
      <c r="F481" s="29"/>
      <c r="G481" s="21" t="s">
        <v>402</v>
      </c>
      <c r="H481" s="29" t="s">
        <v>256</v>
      </c>
      <c r="I481" s="8" t="s">
        <v>310</v>
      </c>
      <c r="J481" s="8">
        <v>22</v>
      </c>
      <c r="K481" s="29" t="s">
        <v>268</v>
      </c>
      <c r="L481" s="29" t="s">
        <v>269</v>
      </c>
      <c r="M481" s="9">
        <v>3</v>
      </c>
      <c r="N481" s="9" t="s">
        <v>42</v>
      </c>
      <c r="O481" s="29" t="s">
        <v>55</v>
      </c>
      <c r="P481" s="29" t="s">
        <v>56</v>
      </c>
      <c r="Q481" s="29" t="s">
        <v>57</v>
      </c>
      <c r="R481" s="29" t="s">
        <v>58</v>
      </c>
      <c r="S481" s="29" t="s">
        <v>271</v>
      </c>
      <c r="T481" s="29" t="s">
        <v>59</v>
      </c>
      <c r="U481" s="29" t="s">
        <v>31</v>
      </c>
      <c r="V481" s="29" t="s">
        <v>31</v>
      </c>
      <c r="W481" s="57">
        <v>41313</v>
      </c>
      <c r="X481" s="8" t="s">
        <v>30</v>
      </c>
      <c r="Y481" s="8">
        <v>0</v>
      </c>
      <c r="Z481" s="8" t="s">
        <v>31</v>
      </c>
      <c r="AA481" s="8" t="s">
        <v>31</v>
      </c>
      <c r="AB481" s="8" t="s">
        <v>260</v>
      </c>
      <c r="AC481" s="29"/>
      <c r="AD481" s="29"/>
      <c r="AE481" s="95" t="s">
        <v>28</v>
      </c>
      <c r="AF481" s="22"/>
      <c r="AG481" s="30">
        <v>44256</v>
      </c>
      <c r="AH481" s="66"/>
      <c r="AI481" s="72">
        <v>44124</v>
      </c>
      <c r="AJ481" s="23" t="s">
        <v>270</v>
      </c>
      <c r="AK481" s="8" t="e">
        <f>VLOOKUP(A481,'[1]Externe MAJ Nov'!$A:$H,8,0)</f>
        <v>#N/A</v>
      </c>
      <c r="AL481" s="29" t="e">
        <f>VLOOKUP(A481,'[1]Externe MAJ Nov'!$A:$G,7,0)</f>
        <v>#N/A</v>
      </c>
      <c r="AM481" s="29" t="s">
        <v>95</v>
      </c>
      <c r="AN481" s="29" t="s">
        <v>270</v>
      </c>
      <c r="AO481" s="58">
        <v>44124</v>
      </c>
      <c r="AP481" s="29" t="e">
        <f>VLOOKUP(A481,'[2]External Scan 02_21'!$B:$J,9,0)</f>
        <v>#N/A</v>
      </c>
      <c r="AQ481" s="29" t="s">
        <v>2485</v>
      </c>
      <c r="AR481" s="75"/>
      <c r="AS481" s="21" t="str">
        <f>VLOOKUP(AE481,'ref statu'!A:B,2,0)</f>
        <v>Fixed</v>
      </c>
      <c r="AT481" s="8" t="e">
        <f>VLOOKUP(A481,chk!A:B,2,0)</f>
        <v>#N/A</v>
      </c>
      <c r="AU481" s="29" t="e">
        <f>VLOOKUP(A481,checker!A:B,2,0)</f>
        <v>#N/A</v>
      </c>
      <c r="AV481" s="29" t="e">
        <f>VLOOKUP(A481,checker!B:C,2,0)</f>
        <v>#N/A</v>
      </c>
    </row>
    <row r="482" spans="1:48" x14ac:dyDescent="0.3">
      <c r="A482" s="29" t="str">
        <f t="shared" si="7"/>
        <v>96.692.66.675/22/ssh-cve-2015-4000</v>
      </c>
      <c r="B482" s="29" t="s">
        <v>3010</v>
      </c>
      <c r="C482" s="29" t="s">
        <v>401</v>
      </c>
      <c r="D482" s="148" t="s">
        <v>2981</v>
      </c>
      <c r="E482" s="8" t="s">
        <v>253</v>
      </c>
      <c r="F482" s="29"/>
      <c r="G482" s="21" t="s">
        <v>402</v>
      </c>
      <c r="H482" s="29" t="s">
        <v>256</v>
      </c>
      <c r="I482" s="8" t="s">
        <v>310</v>
      </c>
      <c r="J482" s="8">
        <v>22</v>
      </c>
      <c r="K482" s="29" t="s">
        <v>268</v>
      </c>
      <c r="L482" s="29" t="s">
        <v>269</v>
      </c>
      <c r="M482" s="9">
        <v>4</v>
      </c>
      <c r="N482" s="9" t="s">
        <v>29</v>
      </c>
      <c r="O482" s="29" t="s">
        <v>60</v>
      </c>
      <c r="P482" s="29" t="s">
        <v>61</v>
      </c>
      <c r="Q482" s="29" t="s">
        <v>62</v>
      </c>
      <c r="R482" s="29" t="s">
        <v>63</v>
      </c>
      <c r="S482" s="29" t="s">
        <v>64</v>
      </c>
      <c r="T482" s="29" t="s">
        <v>65</v>
      </c>
      <c r="U482" s="29" t="s">
        <v>66</v>
      </c>
      <c r="V482" s="29" t="s">
        <v>273</v>
      </c>
      <c r="W482" s="57">
        <v>42144</v>
      </c>
      <c r="X482" s="8" t="s">
        <v>30</v>
      </c>
      <c r="Y482" s="8">
        <v>0</v>
      </c>
      <c r="Z482" s="8" t="s">
        <v>31</v>
      </c>
      <c r="AA482" s="8" t="s">
        <v>31</v>
      </c>
      <c r="AB482" s="8" t="s">
        <v>260</v>
      </c>
      <c r="AC482" s="29"/>
      <c r="AD482" s="29"/>
      <c r="AE482" s="95" t="s">
        <v>28</v>
      </c>
      <c r="AF482" s="22"/>
      <c r="AG482" s="30">
        <v>44256</v>
      </c>
      <c r="AH482" s="67"/>
      <c r="AI482" s="72">
        <v>44124</v>
      </c>
      <c r="AJ482" s="23" t="s">
        <v>270</v>
      </c>
      <c r="AK482" s="8" t="e">
        <f>VLOOKUP(A482,'[1]Externe MAJ Nov'!$A:$H,8,0)</f>
        <v>#N/A</v>
      </c>
      <c r="AL482" s="29" t="e">
        <f>VLOOKUP(A482,'[1]Externe MAJ Nov'!$A:$G,7,0)</f>
        <v>#N/A</v>
      </c>
      <c r="AM482" s="29" t="s">
        <v>95</v>
      </c>
      <c r="AN482" s="29" t="s">
        <v>270</v>
      </c>
      <c r="AO482" s="58">
        <v>44124</v>
      </c>
      <c r="AP482" s="29" t="e">
        <f>VLOOKUP(A482,'[2]External Scan 02_21'!$B:$J,9,0)</f>
        <v>#N/A</v>
      </c>
      <c r="AQ482" s="29" t="s">
        <v>2485</v>
      </c>
      <c r="AR482" s="75"/>
      <c r="AS482" s="21" t="str">
        <f>VLOOKUP(AE482,'ref statu'!A:B,2,0)</f>
        <v>Fixed</v>
      </c>
      <c r="AT482" s="8" t="e">
        <f>VLOOKUP(A482,chk!A:B,2,0)</f>
        <v>#N/A</v>
      </c>
      <c r="AU482" s="29" t="e">
        <f>VLOOKUP(A482,checker!A:B,2,0)</f>
        <v>#N/A</v>
      </c>
      <c r="AV482" s="29" t="e">
        <f>VLOOKUP(A482,checker!B:C,2,0)</f>
        <v>#N/A</v>
      </c>
    </row>
    <row r="483" spans="1:48" x14ac:dyDescent="0.3">
      <c r="A483" s="29" t="str">
        <f t="shared" si="7"/>
        <v>96.692.66.675/22/ssh-cve-2016-2183-sweet32</v>
      </c>
      <c r="B483" s="29" t="s">
        <v>3010</v>
      </c>
      <c r="C483" s="29" t="s">
        <v>401</v>
      </c>
      <c r="D483" s="148" t="s">
        <v>2981</v>
      </c>
      <c r="E483" s="8" t="s">
        <v>253</v>
      </c>
      <c r="F483" s="29"/>
      <c r="G483" s="21" t="s">
        <v>402</v>
      </c>
      <c r="H483" s="29" t="s">
        <v>256</v>
      </c>
      <c r="I483" s="8" t="s">
        <v>310</v>
      </c>
      <c r="J483" s="8">
        <v>22</v>
      </c>
      <c r="K483" s="29" t="s">
        <v>268</v>
      </c>
      <c r="L483" s="29" t="s">
        <v>269</v>
      </c>
      <c r="M483" s="9">
        <v>5</v>
      </c>
      <c r="N483" s="9" t="s">
        <v>29</v>
      </c>
      <c r="O483" s="29" t="s">
        <v>67</v>
      </c>
      <c r="P483" s="29" t="s">
        <v>68</v>
      </c>
      <c r="Q483" s="29" t="s">
        <v>69</v>
      </c>
      <c r="R483" s="29" t="s">
        <v>52</v>
      </c>
      <c r="S483" s="29" t="s">
        <v>53</v>
      </c>
      <c r="T483" s="29" t="s">
        <v>70</v>
      </c>
      <c r="U483" s="29" t="s">
        <v>71</v>
      </c>
      <c r="V483" s="29" t="s">
        <v>278</v>
      </c>
      <c r="W483" s="57">
        <v>42606</v>
      </c>
      <c r="X483" s="8" t="s">
        <v>30</v>
      </c>
      <c r="Y483" s="8">
        <v>1</v>
      </c>
      <c r="Z483" s="8" t="s">
        <v>279</v>
      </c>
      <c r="AA483" s="8" t="s">
        <v>280</v>
      </c>
      <c r="AB483" s="8" t="s">
        <v>260</v>
      </c>
      <c r="AC483" s="29"/>
      <c r="AD483" s="29"/>
      <c r="AE483" s="95" t="s">
        <v>28</v>
      </c>
      <c r="AF483" s="22"/>
      <c r="AG483" s="30">
        <v>44256</v>
      </c>
      <c r="AH483" s="67"/>
      <c r="AI483" s="72">
        <v>44124</v>
      </c>
      <c r="AJ483" s="23" t="s">
        <v>270</v>
      </c>
      <c r="AK483" s="8" t="e">
        <f>VLOOKUP(A483,'[1]Externe MAJ Nov'!$A:$H,8,0)</f>
        <v>#N/A</v>
      </c>
      <c r="AL483" s="29" t="e">
        <f>VLOOKUP(A483,'[1]Externe MAJ Nov'!$A:$G,7,0)</f>
        <v>#N/A</v>
      </c>
      <c r="AM483" s="29" t="s">
        <v>95</v>
      </c>
      <c r="AN483" s="29" t="s">
        <v>270</v>
      </c>
      <c r="AO483" s="58">
        <v>44124</v>
      </c>
      <c r="AP483" s="29" t="e">
        <f>VLOOKUP(A483,'[2]External Scan 02_21'!$B:$J,9,0)</f>
        <v>#N/A</v>
      </c>
      <c r="AQ483" s="29" t="s">
        <v>2485</v>
      </c>
      <c r="AR483" s="75"/>
      <c r="AS483" s="21" t="str">
        <f>VLOOKUP(AE483,'ref statu'!A:B,2,0)</f>
        <v>Fixed</v>
      </c>
      <c r="AT483" s="8" t="e">
        <f>VLOOKUP(A483,chk!A:B,2,0)</f>
        <v>#N/A</v>
      </c>
      <c r="AU483" s="29" t="e">
        <f>VLOOKUP(A483,checker!A:B,2,0)</f>
        <v>#N/A</v>
      </c>
      <c r="AV483" s="29" t="e">
        <f>VLOOKUP(A483,checker!B:C,2,0)</f>
        <v>#N/A</v>
      </c>
    </row>
    <row r="484" spans="1:48" x14ac:dyDescent="0.3">
      <c r="A484" s="29" t="str">
        <f t="shared" si="7"/>
        <v>96.692.66.675/22/ssh-rc4-ciphers</v>
      </c>
      <c r="B484" s="29" t="s">
        <v>3010</v>
      </c>
      <c r="C484" s="29" t="s">
        <v>401</v>
      </c>
      <c r="D484" s="148" t="s">
        <v>2981</v>
      </c>
      <c r="E484" s="8" t="s">
        <v>253</v>
      </c>
      <c r="F484" s="29"/>
      <c r="G484" s="21" t="s">
        <v>402</v>
      </c>
      <c r="H484" s="29" t="s">
        <v>256</v>
      </c>
      <c r="I484" s="8" t="s">
        <v>310</v>
      </c>
      <c r="J484" s="8">
        <v>22</v>
      </c>
      <c r="K484" s="29" t="s">
        <v>268</v>
      </c>
      <c r="L484" s="29" t="s">
        <v>269</v>
      </c>
      <c r="M484" s="9">
        <v>4</v>
      </c>
      <c r="N484" s="9" t="s">
        <v>29</v>
      </c>
      <c r="O484" s="29" t="s">
        <v>84</v>
      </c>
      <c r="P484" s="29" t="s">
        <v>85</v>
      </c>
      <c r="Q484" s="29" t="s">
        <v>86</v>
      </c>
      <c r="R484" s="29" t="s">
        <v>87</v>
      </c>
      <c r="S484" s="29" t="s">
        <v>272</v>
      </c>
      <c r="T484" s="29" t="s">
        <v>88</v>
      </c>
      <c r="U484" s="29" t="s">
        <v>31</v>
      </c>
      <c r="V484" s="29" t="s">
        <v>31</v>
      </c>
      <c r="W484" s="57">
        <v>41345</v>
      </c>
      <c r="X484" s="8" t="s">
        <v>30</v>
      </c>
      <c r="Y484" s="8">
        <v>0</v>
      </c>
      <c r="Z484" s="8" t="s">
        <v>31</v>
      </c>
      <c r="AA484" s="8" t="s">
        <v>31</v>
      </c>
      <c r="AB484" s="8" t="s">
        <v>260</v>
      </c>
      <c r="AC484" s="29"/>
      <c r="AD484" s="29"/>
      <c r="AE484" s="95" t="s">
        <v>28</v>
      </c>
      <c r="AF484" s="22"/>
      <c r="AG484" s="30">
        <v>44256</v>
      </c>
      <c r="AH484" s="67"/>
      <c r="AI484" s="72">
        <v>44124</v>
      </c>
      <c r="AJ484" s="23" t="s">
        <v>270</v>
      </c>
      <c r="AK484" s="8" t="e">
        <f>VLOOKUP(A484,'[1]Externe MAJ Nov'!$A:$H,8,0)</f>
        <v>#N/A</v>
      </c>
      <c r="AL484" s="29" t="e">
        <f>VLOOKUP(A484,'[1]Externe MAJ Nov'!$A:$G,7,0)</f>
        <v>#N/A</v>
      </c>
      <c r="AM484" s="29" t="s">
        <v>95</v>
      </c>
      <c r="AN484" s="29" t="s">
        <v>270</v>
      </c>
      <c r="AO484" s="58">
        <v>44124</v>
      </c>
      <c r="AP484" s="29" t="e">
        <f>VLOOKUP(A484,'[2]External Scan 02_21'!$B:$J,9,0)</f>
        <v>#N/A</v>
      </c>
      <c r="AQ484" s="29" t="s">
        <v>2485</v>
      </c>
      <c r="AR484" s="75"/>
      <c r="AS484" s="21" t="str">
        <f>VLOOKUP(AE484,'ref statu'!A:B,2,0)</f>
        <v>Fixed</v>
      </c>
      <c r="AT484" s="8" t="e">
        <f>VLOOKUP(A484,chk!A:B,2,0)</f>
        <v>#N/A</v>
      </c>
      <c r="AU484" s="29" t="e">
        <f>VLOOKUP(A484,checker!A:B,2,0)</f>
        <v>#N/A</v>
      </c>
      <c r="AV484" s="29" t="e">
        <f>VLOOKUP(A484,checker!B:C,2,0)</f>
        <v>#N/A</v>
      </c>
    </row>
    <row r="485" spans="1:48" x14ac:dyDescent="0.3">
      <c r="A485" s="29" t="str">
        <f t="shared" si="7"/>
        <v>96.692.66.675/22/ssh-weak-kex-algorithms</v>
      </c>
      <c r="B485" s="29" t="s">
        <v>3010</v>
      </c>
      <c r="C485" s="29" t="s">
        <v>401</v>
      </c>
      <c r="D485" s="148" t="s">
        <v>2981</v>
      </c>
      <c r="E485" s="8" t="s">
        <v>253</v>
      </c>
      <c r="F485" s="29"/>
      <c r="G485" s="21" t="s">
        <v>402</v>
      </c>
      <c r="H485" s="29" t="s">
        <v>256</v>
      </c>
      <c r="I485" s="8" t="s">
        <v>310</v>
      </c>
      <c r="J485" s="8">
        <v>22</v>
      </c>
      <c r="K485" s="29" t="s">
        <v>268</v>
      </c>
      <c r="L485" s="29" t="s">
        <v>269</v>
      </c>
      <c r="M485" s="9">
        <v>4</v>
      </c>
      <c r="N485" s="9" t="s">
        <v>29</v>
      </c>
      <c r="O485" s="29" t="s">
        <v>72</v>
      </c>
      <c r="P485" s="29" t="s">
        <v>73</v>
      </c>
      <c r="Q485" s="29" t="s">
        <v>74</v>
      </c>
      <c r="R485" s="29" t="s">
        <v>75</v>
      </c>
      <c r="S485" s="29" t="s">
        <v>244</v>
      </c>
      <c r="T485" s="29" t="s">
        <v>76</v>
      </c>
      <c r="U485" s="29" t="s">
        <v>31</v>
      </c>
      <c r="V485" s="29" t="s">
        <v>31</v>
      </c>
      <c r="W485" s="57">
        <v>42929</v>
      </c>
      <c r="X485" s="8" t="s">
        <v>30</v>
      </c>
      <c r="Y485" s="8">
        <v>0</v>
      </c>
      <c r="Z485" s="8" t="s">
        <v>31</v>
      </c>
      <c r="AA485" s="8" t="s">
        <v>31</v>
      </c>
      <c r="AB485" s="8" t="s">
        <v>260</v>
      </c>
      <c r="AC485" s="29"/>
      <c r="AD485" s="29"/>
      <c r="AE485" s="95" t="s">
        <v>28</v>
      </c>
      <c r="AF485" s="22"/>
      <c r="AG485" s="30">
        <v>44256</v>
      </c>
      <c r="AH485" s="67"/>
      <c r="AI485" s="72">
        <v>44124</v>
      </c>
      <c r="AJ485" s="23" t="s">
        <v>270</v>
      </c>
      <c r="AK485" s="8" t="e">
        <f>VLOOKUP(A485,'[1]Externe MAJ Nov'!$A:$H,8,0)</f>
        <v>#N/A</v>
      </c>
      <c r="AL485" s="29" t="e">
        <f>VLOOKUP(A485,'[1]Externe MAJ Nov'!$A:$G,7,0)</f>
        <v>#N/A</v>
      </c>
      <c r="AM485" s="29" t="s">
        <v>95</v>
      </c>
      <c r="AN485" s="29" t="s">
        <v>270</v>
      </c>
      <c r="AO485" s="58">
        <v>44124</v>
      </c>
      <c r="AP485" s="29" t="e">
        <f>VLOOKUP(A485,'[2]External Scan 02_21'!$B:$J,9,0)</f>
        <v>#N/A</v>
      </c>
      <c r="AQ485" s="29" t="s">
        <v>2485</v>
      </c>
      <c r="AR485" s="75"/>
      <c r="AS485" s="21" t="str">
        <f>VLOOKUP(AE485,'ref statu'!A:B,2,0)</f>
        <v>Fixed</v>
      </c>
      <c r="AT485" s="8" t="e">
        <f>VLOOKUP(A485,chk!A:B,2,0)</f>
        <v>#N/A</v>
      </c>
      <c r="AU485" s="29" t="e">
        <f>VLOOKUP(A485,checker!A:B,2,0)</f>
        <v>#N/A</v>
      </c>
      <c r="AV485" s="29" t="e">
        <f>VLOOKUP(A485,checker!B:C,2,0)</f>
        <v>#N/A</v>
      </c>
    </row>
    <row r="486" spans="1:48" x14ac:dyDescent="0.3">
      <c r="A486" s="29" t="str">
        <f t="shared" si="7"/>
        <v>96.692.66.675/22/ssh-weak-message-authentication-code-algorithms</v>
      </c>
      <c r="B486" s="29" t="s">
        <v>3010</v>
      </c>
      <c r="C486" s="29" t="s">
        <v>401</v>
      </c>
      <c r="D486" s="148" t="s">
        <v>2981</v>
      </c>
      <c r="E486" s="8" t="s">
        <v>253</v>
      </c>
      <c r="F486" s="29"/>
      <c r="G486" s="21" t="s">
        <v>402</v>
      </c>
      <c r="H486" s="29" t="s">
        <v>256</v>
      </c>
      <c r="I486" s="8" t="s">
        <v>310</v>
      </c>
      <c r="J486" s="8">
        <v>22</v>
      </c>
      <c r="K486" s="29" t="s">
        <v>268</v>
      </c>
      <c r="L486" s="29" t="s">
        <v>269</v>
      </c>
      <c r="M486" s="9">
        <v>4</v>
      </c>
      <c r="N486" s="9" t="s">
        <v>29</v>
      </c>
      <c r="O486" s="29" t="s">
        <v>89</v>
      </c>
      <c r="P486" s="29" t="s">
        <v>90</v>
      </c>
      <c r="Q486" s="29" t="s">
        <v>91</v>
      </c>
      <c r="R486" s="29" t="s">
        <v>92</v>
      </c>
      <c r="S486" s="29" t="s">
        <v>274</v>
      </c>
      <c r="T486" s="29" t="s">
        <v>93</v>
      </c>
      <c r="U486" s="29" t="s">
        <v>31</v>
      </c>
      <c r="V486" s="29" t="s">
        <v>31</v>
      </c>
      <c r="W486" s="57">
        <v>41645</v>
      </c>
      <c r="X486" s="8" t="s">
        <v>30</v>
      </c>
      <c r="Y486" s="8">
        <v>0</v>
      </c>
      <c r="Z486" s="8" t="s">
        <v>31</v>
      </c>
      <c r="AA486" s="8" t="s">
        <v>31</v>
      </c>
      <c r="AB486" s="8" t="s">
        <v>260</v>
      </c>
      <c r="AC486" s="29"/>
      <c r="AD486" s="29"/>
      <c r="AE486" s="95" t="s">
        <v>28</v>
      </c>
      <c r="AF486" s="22"/>
      <c r="AG486" s="30">
        <v>44256</v>
      </c>
      <c r="AH486" s="67"/>
      <c r="AI486" s="72">
        <v>44124</v>
      </c>
      <c r="AJ486" s="23" t="s">
        <v>270</v>
      </c>
      <c r="AK486" s="8" t="e">
        <f>VLOOKUP(A486,'[1]Externe MAJ Nov'!$A:$H,8,0)</f>
        <v>#N/A</v>
      </c>
      <c r="AL486" s="29" t="e">
        <f>VLOOKUP(A486,'[1]Externe MAJ Nov'!$A:$G,7,0)</f>
        <v>#N/A</v>
      </c>
      <c r="AM486" s="29" t="s">
        <v>95</v>
      </c>
      <c r="AN486" s="29" t="s">
        <v>270</v>
      </c>
      <c r="AO486" s="58">
        <v>44124</v>
      </c>
      <c r="AP486" s="29" t="e">
        <f>VLOOKUP(A486,'[2]External Scan 02_21'!$B:$J,9,0)</f>
        <v>#N/A</v>
      </c>
      <c r="AQ486" s="29" t="s">
        <v>2485</v>
      </c>
      <c r="AR486" s="75"/>
      <c r="AS486" s="21" t="str">
        <f>VLOOKUP(AE486,'ref statu'!A:B,2,0)</f>
        <v>Fixed</v>
      </c>
      <c r="AT486" s="8" t="e">
        <f>VLOOKUP(A486,chk!A:B,2,0)</f>
        <v>#N/A</v>
      </c>
      <c r="AU486" s="29" t="e">
        <f>VLOOKUP(A486,checker!A:B,2,0)</f>
        <v>#N/A</v>
      </c>
      <c r="AV486" s="29" t="e">
        <f>VLOOKUP(A486,checker!B:C,2,0)</f>
        <v>#N/A</v>
      </c>
    </row>
    <row r="487" spans="1:48" x14ac:dyDescent="0.3">
      <c r="A487" s="29" t="str">
        <f t="shared" si="7"/>
        <v>96.692.66.675/443/certificate-common-name-mismatch</v>
      </c>
      <c r="B487" s="29" t="s">
        <v>3010</v>
      </c>
      <c r="C487" s="29" t="s">
        <v>401</v>
      </c>
      <c r="D487" s="148" t="s">
        <v>2981</v>
      </c>
      <c r="E487" s="8" t="s">
        <v>307</v>
      </c>
      <c r="F487" s="29" t="s">
        <v>308</v>
      </c>
      <c r="G487" s="21" t="s">
        <v>402</v>
      </c>
      <c r="H487" s="29" t="s">
        <v>256</v>
      </c>
      <c r="I487" s="8" t="s">
        <v>310</v>
      </c>
      <c r="J487" s="8">
        <v>443</v>
      </c>
      <c r="K487" s="29" t="s">
        <v>290</v>
      </c>
      <c r="L487" s="29" t="s">
        <v>314</v>
      </c>
      <c r="M487" s="9">
        <v>7</v>
      </c>
      <c r="N487" s="10" t="s">
        <v>2540</v>
      </c>
      <c r="O487" s="29" t="s">
        <v>148</v>
      </c>
      <c r="P487" s="29" t="s">
        <v>149</v>
      </c>
      <c r="Q487" s="29" t="s">
        <v>150</v>
      </c>
      <c r="R487" s="29" t="s">
        <v>151</v>
      </c>
      <c r="S487" s="29" t="s">
        <v>405</v>
      </c>
      <c r="T487" s="29" t="s">
        <v>31</v>
      </c>
      <c r="U487" s="29" t="s">
        <v>31</v>
      </c>
      <c r="V487" s="29" t="s">
        <v>31</v>
      </c>
      <c r="W487" s="57">
        <v>39297</v>
      </c>
      <c r="X487" s="8" t="s">
        <v>36</v>
      </c>
      <c r="Y487" s="8">
        <v>0</v>
      </c>
      <c r="Z487" s="8" t="s">
        <v>31</v>
      </c>
      <c r="AA487" s="8" t="s">
        <v>31</v>
      </c>
      <c r="AB487" s="8" t="s">
        <v>374</v>
      </c>
      <c r="AC487" s="29"/>
      <c r="AD487" s="29"/>
      <c r="AE487" s="95" t="s">
        <v>28</v>
      </c>
      <c r="AF487" s="22"/>
      <c r="AG487" s="30">
        <v>44256</v>
      </c>
      <c r="AH487" s="67"/>
      <c r="AI487" s="72">
        <v>44124</v>
      </c>
      <c r="AJ487" s="23" t="s">
        <v>270</v>
      </c>
      <c r="AK487" s="8" t="e">
        <f>VLOOKUP(A487,'[1]Externe MAJ Nov'!$A:$H,8,0)</f>
        <v>#N/A</v>
      </c>
      <c r="AL487" s="29" t="e">
        <f>VLOOKUP(A487,'[1]Externe MAJ Nov'!$A:$G,7,0)</f>
        <v>#N/A</v>
      </c>
      <c r="AM487" s="29" t="s">
        <v>299</v>
      </c>
      <c r="AN487" s="29" t="s">
        <v>270</v>
      </c>
      <c r="AO487" s="58">
        <v>44124</v>
      </c>
      <c r="AP487" s="29" t="e">
        <f>VLOOKUP(A487,'[2]External Scan 02_21'!$B:$J,9,0)</f>
        <v>#N/A</v>
      </c>
      <c r="AQ487" s="29" t="s">
        <v>2485</v>
      </c>
      <c r="AR487" s="75"/>
      <c r="AS487" s="21" t="str">
        <f>VLOOKUP(AE487,'ref statu'!A:B,2,0)</f>
        <v>Fixed</v>
      </c>
      <c r="AT487" s="8" t="e">
        <f>VLOOKUP(A487,chk!A:B,2,0)</f>
        <v>#N/A</v>
      </c>
      <c r="AU487" s="29" t="e">
        <f>VLOOKUP(A487,checker!A:B,2,0)</f>
        <v>#N/A</v>
      </c>
      <c r="AV487" s="29" t="e">
        <f>VLOOKUP(A487,checker!B:C,2,0)</f>
        <v>#N/A</v>
      </c>
    </row>
    <row r="488" spans="1:48" x14ac:dyDescent="0.3">
      <c r="A488" s="29" t="str">
        <f t="shared" si="7"/>
        <v>96.692.66.675/443/http-generic-browsable-dir</v>
      </c>
      <c r="B488" s="29" t="s">
        <v>3010</v>
      </c>
      <c r="C488" s="29" t="s">
        <v>401</v>
      </c>
      <c r="D488" s="148" t="s">
        <v>2981</v>
      </c>
      <c r="E488" s="8" t="s">
        <v>307</v>
      </c>
      <c r="F488" s="29" t="s">
        <v>308</v>
      </c>
      <c r="G488" s="21" t="s">
        <v>402</v>
      </c>
      <c r="H488" s="29" t="s">
        <v>256</v>
      </c>
      <c r="I488" s="8" t="s">
        <v>310</v>
      </c>
      <c r="J488" s="8">
        <v>443</v>
      </c>
      <c r="K488" s="29" t="s">
        <v>290</v>
      </c>
      <c r="L488" s="29" t="s">
        <v>314</v>
      </c>
      <c r="M488" s="9">
        <v>5</v>
      </c>
      <c r="N488" s="9" t="s">
        <v>29</v>
      </c>
      <c r="O488" s="29" t="s">
        <v>32</v>
      </c>
      <c r="P488" s="29" t="s">
        <v>33</v>
      </c>
      <c r="Q488" s="29" t="s">
        <v>34</v>
      </c>
      <c r="R488" s="29" t="s">
        <v>35</v>
      </c>
      <c r="S488" s="29" t="s">
        <v>404</v>
      </c>
      <c r="T488" s="29" t="s">
        <v>31</v>
      </c>
      <c r="U488" s="29" t="s">
        <v>31</v>
      </c>
      <c r="V488" s="29" t="s">
        <v>31</v>
      </c>
      <c r="W488" s="57">
        <v>36892</v>
      </c>
      <c r="X488" s="8" t="s">
        <v>36</v>
      </c>
      <c r="Y488" s="8">
        <v>0</v>
      </c>
      <c r="Z488" s="8" t="s">
        <v>31</v>
      </c>
      <c r="AA488" s="8" t="s">
        <v>31</v>
      </c>
      <c r="AB488" s="8" t="s">
        <v>377</v>
      </c>
      <c r="AC488" s="29"/>
      <c r="AD488" s="29"/>
      <c r="AE488" s="95" t="s">
        <v>28</v>
      </c>
      <c r="AF488" s="22"/>
      <c r="AG488" s="30">
        <v>44256</v>
      </c>
      <c r="AH488" s="67"/>
      <c r="AI488" s="72">
        <v>44124</v>
      </c>
      <c r="AJ488" s="23" t="s">
        <v>270</v>
      </c>
      <c r="AK488" s="8" t="e">
        <f>VLOOKUP(A488,'[1]Externe MAJ Nov'!$A:$H,8,0)</f>
        <v>#N/A</v>
      </c>
      <c r="AL488" s="29" t="e">
        <f>VLOOKUP(A488,'[1]Externe MAJ Nov'!$A:$G,7,0)</f>
        <v>#N/A</v>
      </c>
      <c r="AM488" s="29" t="s">
        <v>493</v>
      </c>
      <c r="AN488" s="29" t="s">
        <v>270</v>
      </c>
      <c r="AO488" s="58">
        <v>44124</v>
      </c>
      <c r="AP488" s="29" t="e">
        <f>VLOOKUP(A488,'[2]External Scan 02_21'!$B:$J,9,0)</f>
        <v>#N/A</v>
      </c>
      <c r="AQ488" s="29" t="s">
        <v>2485</v>
      </c>
      <c r="AR488" s="75"/>
      <c r="AS488" s="21" t="str">
        <f>VLOOKUP(AE488,'ref statu'!A:B,2,0)</f>
        <v>Fixed</v>
      </c>
      <c r="AT488" s="8" t="e">
        <f>VLOOKUP(A488,chk!A:B,2,0)</f>
        <v>#N/A</v>
      </c>
      <c r="AU488" s="29" t="e">
        <f>VLOOKUP(A488,checker!A:B,2,0)</f>
        <v>#N/A</v>
      </c>
      <c r="AV488" s="29" t="e">
        <f>VLOOKUP(A488,checker!B:C,2,0)</f>
        <v>#N/A</v>
      </c>
    </row>
    <row r="489" spans="1:48" x14ac:dyDescent="0.3">
      <c r="A489" s="29" t="str">
        <f t="shared" si="7"/>
        <v>96.692.66.675/443/ssl-3des-ciphers</v>
      </c>
      <c r="B489" s="29" t="s">
        <v>3010</v>
      </c>
      <c r="C489" s="29" t="s">
        <v>401</v>
      </c>
      <c r="D489" s="148" t="s">
        <v>2981</v>
      </c>
      <c r="E489" s="8" t="s">
        <v>307</v>
      </c>
      <c r="F489" s="29" t="s">
        <v>308</v>
      </c>
      <c r="G489" s="21" t="s">
        <v>402</v>
      </c>
      <c r="H489" s="29" t="s">
        <v>256</v>
      </c>
      <c r="I489" s="8" t="s">
        <v>310</v>
      </c>
      <c r="J489" s="8">
        <v>443</v>
      </c>
      <c r="K489" s="29" t="s">
        <v>290</v>
      </c>
      <c r="L489" s="29" t="s">
        <v>314</v>
      </c>
      <c r="M489" s="9">
        <v>1</v>
      </c>
      <c r="N489" s="9" t="s">
        <v>42</v>
      </c>
      <c r="O489" s="29" t="s">
        <v>100</v>
      </c>
      <c r="P489" s="29" t="s">
        <v>101</v>
      </c>
      <c r="Q489" s="29" t="s">
        <v>102</v>
      </c>
      <c r="R489" s="29" t="s">
        <v>103</v>
      </c>
      <c r="S489" s="29" t="s">
        <v>292</v>
      </c>
      <c r="T489" s="29" t="s">
        <v>104</v>
      </c>
      <c r="U489" s="29" t="s">
        <v>31</v>
      </c>
      <c r="V489" s="29" t="s">
        <v>31</v>
      </c>
      <c r="W489" s="57">
        <v>39845</v>
      </c>
      <c r="X489" s="8" t="s">
        <v>36</v>
      </c>
      <c r="Y489" s="8">
        <v>0</v>
      </c>
      <c r="Z489" s="8" t="s">
        <v>31</v>
      </c>
      <c r="AA489" s="8" t="s">
        <v>31</v>
      </c>
      <c r="AB489" s="8" t="s">
        <v>374</v>
      </c>
      <c r="AC489" s="29"/>
      <c r="AD489" s="29"/>
      <c r="AE489" s="95" t="s">
        <v>28</v>
      </c>
      <c r="AF489" s="22"/>
      <c r="AG489" s="30">
        <v>44256</v>
      </c>
      <c r="AH489" s="67"/>
      <c r="AI489" s="72">
        <v>44124</v>
      </c>
      <c r="AJ489" s="23" t="s">
        <v>270</v>
      </c>
      <c r="AK489" s="8" t="e">
        <f>VLOOKUP(A489,'[1]Externe MAJ Nov'!$A:$H,8,0)</f>
        <v>#N/A</v>
      </c>
      <c r="AL489" s="29" t="e">
        <f>VLOOKUP(A489,'[1]Externe MAJ Nov'!$A:$G,7,0)</f>
        <v>#N/A</v>
      </c>
      <c r="AM489" s="29" t="s">
        <v>493</v>
      </c>
      <c r="AN489" s="29" t="s">
        <v>270</v>
      </c>
      <c r="AO489" s="58">
        <v>44124</v>
      </c>
      <c r="AP489" s="29" t="e">
        <f>VLOOKUP(A489,'[2]External Scan 02_21'!$B:$J,9,0)</f>
        <v>#N/A</v>
      </c>
      <c r="AQ489" s="29" t="s">
        <v>2485</v>
      </c>
      <c r="AR489" s="75"/>
      <c r="AS489" s="21" t="str">
        <f>VLOOKUP(AE489,'ref statu'!A:B,2,0)</f>
        <v>Fixed</v>
      </c>
      <c r="AT489" s="8" t="e">
        <f>VLOOKUP(A489,chk!A:B,2,0)</f>
        <v>#N/A</v>
      </c>
      <c r="AU489" s="29" t="e">
        <f>VLOOKUP(A489,checker!A:B,2,0)</f>
        <v>#N/A</v>
      </c>
      <c r="AV489" s="29" t="e">
        <f>VLOOKUP(A489,checker!B:C,2,0)</f>
        <v>#N/A</v>
      </c>
    </row>
    <row r="490" spans="1:48" x14ac:dyDescent="0.3">
      <c r="A490" s="29" t="str">
        <f t="shared" si="7"/>
        <v>96.692.66.675/443/ssl-cve-2011-3389-beast</v>
      </c>
      <c r="B490" s="29" t="s">
        <v>3010</v>
      </c>
      <c r="C490" s="29" t="s">
        <v>401</v>
      </c>
      <c r="D490" s="148" t="s">
        <v>2981</v>
      </c>
      <c r="E490" s="8" t="s">
        <v>307</v>
      </c>
      <c r="F490" s="29" t="s">
        <v>308</v>
      </c>
      <c r="G490" s="21" t="s">
        <v>402</v>
      </c>
      <c r="H490" s="29" t="s">
        <v>256</v>
      </c>
      <c r="I490" s="8" t="s">
        <v>310</v>
      </c>
      <c r="J490" s="8">
        <v>443</v>
      </c>
      <c r="K490" s="29" t="s">
        <v>290</v>
      </c>
      <c r="L490" s="29" t="s">
        <v>314</v>
      </c>
      <c r="M490" s="9">
        <v>4</v>
      </c>
      <c r="N490" s="9" t="s">
        <v>29</v>
      </c>
      <c r="O490" s="29" t="s">
        <v>105</v>
      </c>
      <c r="P490" s="29" t="s">
        <v>106</v>
      </c>
      <c r="Q490" s="29" t="s">
        <v>107</v>
      </c>
      <c r="R490" s="29" t="s">
        <v>108</v>
      </c>
      <c r="S490" s="29" t="s">
        <v>296</v>
      </c>
      <c r="T490" s="29" t="s">
        <v>109</v>
      </c>
      <c r="U490" s="29" t="s">
        <v>110</v>
      </c>
      <c r="V490" s="29" t="s">
        <v>297</v>
      </c>
      <c r="W490" s="57">
        <v>40792</v>
      </c>
      <c r="X490" s="8" t="s">
        <v>36</v>
      </c>
      <c r="Y490" s="8">
        <v>0</v>
      </c>
      <c r="Z490" s="8" t="s">
        <v>31</v>
      </c>
      <c r="AA490" s="8" t="s">
        <v>31</v>
      </c>
      <c r="AB490" s="8" t="s">
        <v>374</v>
      </c>
      <c r="AC490" s="29"/>
      <c r="AD490" s="29"/>
      <c r="AE490" s="95" t="s">
        <v>28</v>
      </c>
      <c r="AF490" s="22"/>
      <c r="AG490" s="30">
        <v>44256</v>
      </c>
      <c r="AH490" s="67"/>
      <c r="AI490" s="72">
        <v>44124</v>
      </c>
      <c r="AJ490" s="23" t="s">
        <v>270</v>
      </c>
      <c r="AK490" s="8" t="e">
        <f>VLOOKUP(A490,'[1]Externe MAJ Nov'!$A:$H,8,0)</f>
        <v>#N/A</v>
      </c>
      <c r="AL490" s="29" t="e">
        <f>VLOOKUP(A490,'[1]Externe MAJ Nov'!$A:$G,7,0)</f>
        <v>#N/A</v>
      </c>
      <c r="AM490" s="29" t="s">
        <v>493</v>
      </c>
      <c r="AN490" s="29" t="s">
        <v>270</v>
      </c>
      <c r="AO490" s="58">
        <v>44124</v>
      </c>
      <c r="AP490" s="29" t="e">
        <f>VLOOKUP(A490,'[2]External Scan 02_21'!$B:$J,9,0)</f>
        <v>#N/A</v>
      </c>
      <c r="AQ490" s="29" t="s">
        <v>2485</v>
      </c>
      <c r="AR490" s="75"/>
      <c r="AS490" s="21" t="str">
        <f>VLOOKUP(AE490,'ref statu'!A:B,2,0)</f>
        <v>Fixed</v>
      </c>
      <c r="AT490" s="8" t="e">
        <f>VLOOKUP(A490,chk!A:B,2,0)</f>
        <v>#N/A</v>
      </c>
      <c r="AU490" s="29" t="e">
        <f>VLOOKUP(A490,checker!A:B,2,0)</f>
        <v>#N/A</v>
      </c>
      <c r="AV490" s="29" t="e">
        <f>VLOOKUP(A490,checker!B:C,2,0)</f>
        <v>#N/A</v>
      </c>
    </row>
    <row r="491" spans="1:48" x14ac:dyDescent="0.3">
      <c r="A491" s="29" t="str">
        <f t="shared" si="7"/>
        <v>96.692.66.675/443/ssl-cve-2016-2183-sweet32</v>
      </c>
      <c r="B491" s="29" t="s">
        <v>3010</v>
      </c>
      <c r="C491" s="29" t="s">
        <v>401</v>
      </c>
      <c r="D491" s="148" t="s">
        <v>2981</v>
      </c>
      <c r="E491" s="8" t="s">
        <v>307</v>
      </c>
      <c r="F491" s="29" t="s">
        <v>308</v>
      </c>
      <c r="G491" s="21" t="s">
        <v>402</v>
      </c>
      <c r="H491" s="29" t="s">
        <v>256</v>
      </c>
      <c r="I491" s="8" t="s">
        <v>310</v>
      </c>
      <c r="J491" s="8">
        <v>443</v>
      </c>
      <c r="K491" s="29" t="s">
        <v>290</v>
      </c>
      <c r="L491" s="29" t="s">
        <v>314</v>
      </c>
      <c r="M491" s="9">
        <v>5</v>
      </c>
      <c r="N491" s="9" t="s">
        <v>29</v>
      </c>
      <c r="O491" s="29" t="s">
        <v>111</v>
      </c>
      <c r="P491" s="29" t="s">
        <v>112</v>
      </c>
      <c r="Q491" s="29" t="s">
        <v>113</v>
      </c>
      <c r="R491" s="29" t="s">
        <v>103</v>
      </c>
      <c r="S491" s="29" t="s">
        <v>292</v>
      </c>
      <c r="T491" s="29" t="s">
        <v>114</v>
      </c>
      <c r="U491" s="29" t="s">
        <v>71</v>
      </c>
      <c r="V491" s="29" t="s">
        <v>278</v>
      </c>
      <c r="W491" s="57">
        <v>42606</v>
      </c>
      <c r="X491" s="8" t="s">
        <v>36</v>
      </c>
      <c r="Y491" s="8">
        <v>1</v>
      </c>
      <c r="Z491" s="8" t="s">
        <v>279</v>
      </c>
      <c r="AA491" s="8" t="s">
        <v>280</v>
      </c>
      <c r="AB491" s="8" t="s">
        <v>374</v>
      </c>
      <c r="AC491" s="29"/>
      <c r="AD491" s="29"/>
      <c r="AE491" s="95" t="s">
        <v>28</v>
      </c>
      <c r="AF491" s="22"/>
      <c r="AG491" s="30">
        <v>44256</v>
      </c>
      <c r="AH491" s="67"/>
      <c r="AI491" s="72">
        <v>44124</v>
      </c>
      <c r="AJ491" s="23" t="s">
        <v>270</v>
      </c>
      <c r="AK491" s="8" t="e">
        <f>VLOOKUP(A491,'[1]Externe MAJ Nov'!$A:$H,8,0)</f>
        <v>#N/A</v>
      </c>
      <c r="AL491" s="29" t="e">
        <f>VLOOKUP(A491,'[1]Externe MAJ Nov'!$A:$G,7,0)</f>
        <v>#N/A</v>
      </c>
      <c r="AM491" s="29" t="s">
        <v>493</v>
      </c>
      <c r="AN491" s="29" t="s">
        <v>270</v>
      </c>
      <c r="AO491" s="58">
        <v>44124</v>
      </c>
      <c r="AP491" s="29" t="e">
        <f>VLOOKUP(A491,'[2]External Scan 02_21'!$B:$J,9,0)</f>
        <v>#N/A</v>
      </c>
      <c r="AQ491" s="29" t="s">
        <v>2485</v>
      </c>
      <c r="AR491" s="75"/>
      <c r="AS491" s="21" t="str">
        <f>VLOOKUP(AE491,'ref statu'!A:B,2,0)</f>
        <v>Fixed</v>
      </c>
      <c r="AT491" s="8" t="e">
        <f>VLOOKUP(A491,chk!A:B,2,0)</f>
        <v>#N/A</v>
      </c>
      <c r="AU491" s="29" t="e">
        <f>VLOOKUP(A491,checker!A:B,2,0)</f>
        <v>#N/A</v>
      </c>
      <c r="AV491" s="29" t="e">
        <f>VLOOKUP(A491,checker!B:C,2,0)</f>
        <v>#N/A</v>
      </c>
    </row>
    <row r="492" spans="1:48" x14ac:dyDescent="0.3">
      <c r="A492" s="29" t="str">
        <f t="shared" si="7"/>
        <v>96.692.66.675/443/ssl-static-key-ciphers</v>
      </c>
      <c r="B492" s="29" t="s">
        <v>3010</v>
      </c>
      <c r="C492" s="29" t="s">
        <v>401</v>
      </c>
      <c r="D492" s="148" t="s">
        <v>2981</v>
      </c>
      <c r="E492" s="8" t="s">
        <v>307</v>
      </c>
      <c r="F492" s="29" t="s">
        <v>308</v>
      </c>
      <c r="G492" s="21" t="s">
        <v>402</v>
      </c>
      <c r="H492" s="29" t="s">
        <v>256</v>
      </c>
      <c r="I492" s="8" t="s">
        <v>310</v>
      </c>
      <c r="J492" s="8">
        <v>443</v>
      </c>
      <c r="K492" s="29" t="s">
        <v>290</v>
      </c>
      <c r="L492" s="29" t="s">
        <v>314</v>
      </c>
      <c r="M492" s="9">
        <v>3</v>
      </c>
      <c r="N492" s="9" t="s">
        <v>42</v>
      </c>
      <c r="O492" s="29" t="s">
        <v>120</v>
      </c>
      <c r="P492" s="29" t="s">
        <v>121</v>
      </c>
      <c r="Q492" s="29" t="s">
        <v>122</v>
      </c>
      <c r="R492" s="29" t="s">
        <v>123</v>
      </c>
      <c r="S492" s="29" t="s">
        <v>295</v>
      </c>
      <c r="T492" s="29" t="s">
        <v>124</v>
      </c>
      <c r="U492" s="29" t="s">
        <v>31</v>
      </c>
      <c r="V492" s="29" t="s">
        <v>31</v>
      </c>
      <c r="W492" s="57">
        <v>42036</v>
      </c>
      <c r="X492" s="8" t="s">
        <v>36</v>
      </c>
      <c r="Y492" s="8">
        <v>0</v>
      </c>
      <c r="Z492" s="8" t="s">
        <v>31</v>
      </c>
      <c r="AA492" s="8" t="s">
        <v>31</v>
      </c>
      <c r="AB492" s="8" t="s">
        <v>374</v>
      </c>
      <c r="AC492" s="29"/>
      <c r="AD492" s="29"/>
      <c r="AE492" s="95" t="s">
        <v>28</v>
      </c>
      <c r="AF492" s="22"/>
      <c r="AG492" s="30">
        <v>44256</v>
      </c>
      <c r="AH492" s="67"/>
      <c r="AI492" s="72">
        <v>44124</v>
      </c>
      <c r="AJ492" s="23" t="s">
        <v>270</v>
      </c>
      <c r="AK492" s="8" t="e">
        <f>VLOOKUP(A492,'[1]Externe MAJ Nov'!$A:$H,8,0)</f>
        <v>#N/A</v>
      </c>
      <c r="AL492" s="29" t="e">
        <f>VLOOKUP(A492,'[1]Externe MAJ Nov'!$A:$G,7,0)</f>
        <v>#N/A</v>
      </c>
      <c r="AM492" s="29" t="s">
        <v>493</v>
      </c>
      <c r="AN492" s="29" t="s">
        <v>270</v>
      </c>
      <c r="AO492" s="58">
        <v>44124</v>
      </c>
      <c r="AP492" s="29" t="e">
        <f>VLOOKUP(A492,'[2]External Scan 02_21'!$B:$J,9,0)</f>
        <v>#N/A</v>
      </c>
      <c r="AQ492" s="29" t="s">
        <v>2485</v>
      </c>
      <c r="AR492" s="75"/>
      <c r="AS492" s="21" t="str">
        <f>VLOOKUP(AE492,'ref statu'!A:B,2,0)</f>
        <v>Fixed</v>
      </c>
      <c r="AT492" s="8" t="e">
        <f>VLOOKUP(A492,chk!A:B,2,0)</f>
        <v>#N/A</v>
      </c>
      <c r="AU492" s="29" t="e">
        <f>VLOOKUP(A492,checker!A:B,2,0)</f>
        <v>#N/A</v>
      </c>
      <c r="AV492" s="29" t="e">
        <f>VLOOKUP(A492,checker!B:C,2,0)</f>
        <v>#N/A</v>
      </c>
    </row>
    <row r="493" spans="1:48" x14ac:dyDescent="0.3">
      <c r="A493" s="29" t="str">
        <f t="shared" si="7"/>
        <v>96.692.66.675/443/tls-server-cert-expired</v>
      </c>
      <c r="B493" s="59" t="s">
        <v>3010</v>
      </c>
      <c r="C493" s="59" t="s">
        <v>401</v>
      </c>
      <c r="D493" s="149" t="s">
        <v>2981</v>
      </c>
      <c r="E493" s="31" t="s">
        <v>494</v>
      </c>
      <c r="F493" s="8" t="s">
        <v>27</v>
      </c>
      <c r="G493" s="32" t="s">
        <v>402</v>
      </c>
      <c r="H493" s="59" t="s">
        <v>256</v>
      </c>
      <c r="I493" s="31" t="s">
        <v>310</v>
      </c>
      <c r="J493" s="31">
        <v>443</v>
      </c>
      <c r="K493" s="59" t="s">
        <v>290</v>
      </c>
      <c r="L493" s="59" t="s">
        <v>314</v>
      </c>
      <c r="M493" s="9">
        <v>7</v>
      </c>
      <c r="N493" s="10" t="s">
        <v>2540</v>
      </c>
      <c r="O493" s="59" t="s">
        <v>183</v>
      </c>
      <c r="P493" s="59" t="s">
        <v>184</v>
      </c>
      <c r="Q493" s="59" t="s">
        <v>185</v>
      </c>
      <c r="R493" s="59" t="s">
        <v>186</v>
      </c>
      <c r="S493" s="59" t="s">
        <v>403</v>
      </c>
      <c r="T493" s="59" t="s">
        <v>31</v>
      </c>
      <c r="U493" s="59" t="s">
        <v>31</v>
      </c>
      <c r="V493" s="59" t="s">
        <v>31</v>
      </c>
      <c r="W493" s="60">
        <v>34700</v>
      </c>
      <c r="X493" s="31" t="s">
        <v>36</v>
      </c>
      <c r="Y493" s="31">
        <v>0</v>
      </c>
      <c r="Z493" s="31" t="s">
        <v>31</v>
      </c>
      <c r="AA493" s="31" t="s">
        <v>31</v>
      </c>
      <c r="AB493" s="31" t="s">
        <v>513</v>
      </c>
      <c r="AC493" s="59"/>
      <c r="AD493" s="34"/>
      <c r="AE493" s="95" t="s">
        <v>28</v>
      </c>
      <c r="AF493" s="22"/>
      <c r="AG493" s="35">
        <v>44256</v>
      </c>
      <c r="AH493" s="32"/>
      <c r="AI493" s="72">
        <v>44155</v>
      </c>
      <c r="AJ493" s="23" t="s">
        <v>270</v>
      </c>
      <c r="AK493" s="8" t="e">
        <f>VLOOKUP(A493,'[1]Externe MAJ Nov'!$A:$H,8,0)</f>
        <v>#N/A</v>
      </c>
      <c r="AL493" s="29" t="e">
        <f>VLOOKUP(A493,'[1]Externe MAJ Nov'!$A:$G,7,0)</f>
        <v>#N/A</v>
      </c>
      <c r="AM493" s="59"/>
      <c r="AN493" s="59"/>
      <c r="AO493" s="58">
        <v>44155</v>
      </c>
      <c r="AP493" s="29" t="e">
        <f>VLOOKUP(A493,'[2]External Scan 02_21'!$B:$J,9,0)</f>
        <v>#N/A</v>
      </c>
      <c r="AQ493" s="29" t="s">
        <v>2485</v>
      </c>
      <c r="AR493" s="75"/>
      <c r="AS493" s="21" t="str">
        <f>VLOOKUP(AE493,'ref statu'!A:B,2,0)</f>
        <v>Fixed</v>
      </c>
      <c r="AT493" s="8" t="e">
        <f>VLOOKUP(A493,chk!A:B,2,0)</f>
        <v>#N/A</v>
      </c>
      <c r="AU493" s="29" t="e">
        <f>VLOOKUP(A493,checker!A:B,2,0)</f>
        <v>#N/A</v>
      </c>
      <c r="AV493" s="29" t="e">
        <f>VLOOKUP(A493,checker!B:C,2,0)</f>
        <v>#N/A</v>
      </c>
    </row>
    <row r="494" spans="1:48" x14ac:dyDescent="0.3">
      <c r="A494" s="29" t="str">
        <f t="shared" si="7"/>
        <v>96.692.66.675/443/tls-server-cert-to-expire</v>
      </c>
      <c r="B494" s="29" t="s">
        <v>3010</v>
      </c>
      <c r="C494" s="29" t="s">
        <v>401</v>
      </c>
      <c r="D494" s="148" t="s">
        <v>2981</v>
      </c>
      <c r="E494" s="8" t="s">
        <v>307</v>
      </c>
      <c r="F494" s="29" t="s">
        <v>308</v>
      </c>
      <c r="G494" s="21" t="s">
        <v>402</v>
      </c>
      <c r="H494" s="29" t="s">
        <v>256</v>
      </c>
      <c r="I494" s="8" t="s">
        <v>310</v>
      </c>
      <c r="J494" s="8">
        <v>443</v>
      </c>
      <c r="K494" s="29" t="s">
        <v>290</v>
      </c>
      <c r="L494" s="29" t="s">
        <v>314</v>
      </c>
      <c r="M494" s="9">
        <v>1</v>
      </c>
      <c r="N494" s="9" t="s">
        <v>42</v>
      </c>
      <c r="O494" s="29" t="s">
        <v>210</v>
      </c>
      <c r="P494" s="29" t="s">
        <v>211</v>
      </c>
      <c r="Q494" s="29" t="s">
        <v>212</v>
      </c>
      <c r="R494" s="29" t="s">
        <v>186</v>
      </c>
      <c r="S494" s="29" t="s">
        <v>403</v>
      </c>
      <c r="T494" s="29" t="s">
        <v>31</v>
      </c>
      <c r="U494" s="29" t="s">
        <v>31</v>
      </c>
      <c r="V494" s="29" t="s">
        <v>31</v>
      </c>
      <c r="W494" s="57">
        <v>34700</v>
      </c>
      <c r="X494" s="8" t="s">
        <v>36</v>
      </c>
      <c r="Y494" s="8">
        <v>0</v>
      </c>
      <c r="Z494" s="8" t="s">
        <v>31</v>
      </c>
      <c r="AA494" s="8" t="s">
        <v>31</v>
      </c>
      <c r="AB494" s="8" t="s">
        <v>340</v>
      </c>
      <c r="AC494" s="29"/>
      <c r="AD494" s="29"/>
      <c r="AE494" s="95" t="s">
        <v>28</v>
      </c>
      <c r="AF494" s="22"/>
      <c r="AG494" s="30">
        <v>44256</v>
      </c>
      <c r="AH494" s="67"/>
      <c r="AI494" s="72">
        <v>44124</v>
      </c>
      <c r="AJ494" s="23" t="s">
        <v>270</v>
      </c>
      <c r="AK494" s="8" t="e">
        <f>VLOOKUP(A494,'[1]Externe MAJ Nov'!$A:$H,8,0)</f>
        <v>#N/A</v>
      </c>
      <c r="AL494" s="29" t="e">
        <f>VLOOKUP(A494,'[1]Externe MAJ Nov'!$A:$G,7,0)</f>
        <v>#N/A</v>
      </c>
      <c r="AM494" s="29" t="s">
        <v>28</v>
      </c>
      <c r="AN494" s="29" t="s">
        <v>270</v>
      </c>
      <c r="AO494" s="58">
        <v>44124</v>
      </c>
      <c r="AP494" s="29" t="e">
        <f>VLOOKUP(A494,'[2]External Scan 02_21'!$B:$J,9,0)</f>
        <v>#N/A</v>
      </c>
      <c r="AQ494" s="29" t="s">
        <v>2485</v>
      </c>
      <c r="AR494" s="75"/>
      <c r="AS494" s="21" t="str">
        <f>VLOOKUP(AE494,'ref statu'!A:B,2,0)</f>
        <v>Fixed</v>
      </c>
      <c r="AT494" s="8" t="e">
        <f>VLOOKUP(A494,chk!A:B,2,0)</f>
        <v>#N/A</v>
      </c>
      <c r="AU494" s="29" t="e">
        <f>VLOOKUP(A494,checker!A:B,2,0)</f>
        <v>#N/A</v>
      </c>
      <c r="AV494" s="29" t="e">
        <f>VLOOKUP(A494,checker!B:C,2,0)</f>
        <v>#N/A</v>
      </c>
    </row>
    <row r="495" spans="1:48" x14ac:dyDescent="0.3">
      <c r="A495" s="29" t="str">
        <f t="shared" si="7"/>
        <v>96.692.66.675/443/tls-untrusted-ca</v>
      </c>
      <c r="B495" s="59" t="s">
        <v>3010</v>
      </c>
      <c r="C495" s="59" t="s">
        <v>401</v>
      </c>
      <c r="D495" s="149" t="s">
        <v>2981</v>
      </c>
      <c r="E495" s="31" t="s">
        <v>494</v>
      </c>
      <c r="F495" s="8" t="s">
        <v>27</v>
      </c>
      <c r="G495" s="32" t="s">
        <v>402</v>
      </c>
      <c r="H495" s="59" t="s">
        <v>256</v>
      </c>
      <c r="I495" s="31" t="s">
        <v>310</v>
      </c>
      <c r="J495" s="31">
        <v>443</v>
      </c>
      <c r="K495" s="59" t="s">
        <v>290</v>
      </c>
      <c r="L495" s="59" t="s">
        <v>314</v>
      </c>
      <c r="M495" s="9">
        <v>6</v>
      </c>
      <c r="N495" s="9" t="s">
        <v>29</v>
      </c>
      <c r="O495" s="59" t="s">
        <v>131</v>
      </c>
      <c r="P495" s="59" t="s">
        <v>132</v>
      </c>
      <c r="Q495" s="59" t="s">
        <v>133</v>
      </c>
      <c r="R495" s="59" t="s">
        <v>134</v>
      </c>
      <c r="S495" s="59" t="s">
        <v>517</v>
      </c>
      <c r="T495" s="59" t="s">
        <v>135</v>
      </c>
      <c r="U495" s="59" t="s">
        <v>31</v>
      </c>
      <c r="V495" s="59" t="s">
        <v>31</v>
      </c>
      <c r="W495" s="60">
        <v>34700</v>
      </c>
      <c r="X495" s="31" t="s">
        <v>36</v>
      </c>
      <c r="Y495" s="31">
        <v>0</v>
      </c>
      <c r="Z495" s="31" t="s">
        <v>31</v>
      </c>
      <c r="AA495" s="31" t="s">
        <v>31</v>
      </c>
      <c r="AB495" s="31" t="s">
        <v>513</v>
      </c>
      <c r="AC495" s="59"/>
      <c r="AD495" s="33"/>
      <c r="AE495" s="95" t="s">
        <v>28</v>
      </c>
      <c r="AF495" s="22"/>
      <c r="AG495" s="35">
        <v>44256</v>
      </c>
      <c r="AH495" s="32"/>
      <c r="AI495" s="72">
        <v>44155</v>
      </c>
      <c r="AJ495" s="23" t="s">
        <v>270</v>
      </c>
      <c r="AK495" s="8" t="e">
        <f>VLOOKUP(A495,'[1]Externe MAJ Nov'!$A:$H,8,0)</f>
        <v>#N/A</v>
      </c>
      <c r="AL495" s="29" t="e">
        <f>VLOOKUP(A495,'[1]Externe MAJ Nov'!$A:$G,7,0)</f>
        <v>#N/A</v>
      </c>
      <c r="AM495" s="59"/>
      <c r="AN495" s="59"/>
      <c r="AO495" s="58">
        <v>44155</v>
      </c>
      <c r="AP495" s="29" t="e">
        <f>VLOOKUP(A495,'[2]External Scan 02_21'!$B:$J,9,0)</f>
        <v>#N/A</v>
      </c>
      <c r="AQ495" s="29" t="s">
        <v>2485</v>
      </c>
      <c r="AR495" s="75"/>
      <c r="AS495" s="21" t="str">
        <f>VLOOKUP(AE495,'ref statu'!A:B,2,0)</f>
        <v>Fixed</v>
      </c>
      <c r="AT495" s="8" t="e">
        <f>VLOOKUP(A495,chk!A:B,2,0)</f>
        <v>#N/A</v>
      </c>
      <c r="AU495" s="29" t="e">
        <f>VLOOKUP(A495,checker!A:B,2,0)</f>
        <v>#N/A</v>
      </c>
      <c r="AV495" s="29" t="e">
        <f>VLOOKUP(A495,checker!B:C,2,0)</f>
        <v>#N/A</v>
      </c>
    </row>
    <row r="496" spans="1:48" x14ac:dyDescent="0.3">
      <c r="A496" s="29" t="str">
        <f t="shared" si="7"/>
        <v>96.692.66.675/443/tlsv1_0-enabled</v>
      </c>
      <c r="B496" s="29" t="s">
        <v>3010</v>
      </c>
      <c r="C496" s="29" t="s">
        <v>401</v>
      </c>
      <c r="D496" s="148" t="s">
        <v>2981</v>
      </c>
      <c r="E496" s="8" t="s">
        <v>307</v>
      </c>
      <c r="F496" s="29" t="s">
        <v>308</v>
      </c>
      <c r="G496" s="21" t="s">
        <v>402</v>
      </c>
      <c r="H496" s="29" t="s">
        <v>256</v>
      </c>
      <c r="I496" s="8" t="s">
        <v>310</v>
      </c>
      <c r="J496" s="8">
        <v>443</v>
      </c>
      <c r="K496" s="29" t="s">
        <v>290</v>
      </c>
      <c r="L496" s="29" t="s">
        <v>314</v>
      </c>
      <c r="M496" s="9">
        <v>4</v>
      </c>
      <c r="N496" s="9" t="s">
        <v>29</v>
      </c>
      <c r="O496" s="29" t="s">
        <v>136</v>
      </c>
      <c r="P496" s="29" t="s">
        <v>137</v>
      </c>
      <c r="Q496" s="29" t="s">
        <v>138</v>
      </c>
      <c r="R496" s="29" t="s">
        <v>139</v>
      </c>
      <c r="S496" s="29" t="s">
        <v>140</v>
      </c>
      <c r="T496" s="29" t="s">
        <v>141</v>
      </c>
      <c r="U496" s="29" t="s">
        <v>31</v>
      </c>
      <c r="V496" s="29" t="s">
        <v>31</v>
      </c>
      <c r="W496" s="57">
        <v>41926</v>
      </c>
      <c r="X496" s="8" t="s">
        <v>36</v>
      </c>
      <c r="Y496" s="8">
        <v>0</v>
      </c>
      <c r="Z496" s="8" t="s">
        <v>31</v>
      </c>
      <c r="AA496" s="8" t="s">
        <v>31</v>
      </c>
      <c r="AB496" s="8" t="s">
        <v>374</v>
      </c>
      <c r="AC496" s="29"/>
      <c r="AD496" s="29"/>
      <c r="AE496" s="95" t="s">
        <v>28</v>
      </c>
      <c r="AF496" s="22"/>
      <c r="AG496" s="30">
        <v>44256</v>
      </c>
      <c r="AH496" s="67"/>
      <c r="AI496" s="72">
        <v>44124</v>
      </c>
      <c r="AJ496" s="23" t="s">
        <v>270</v>
      </c>
      <c r="AK496" s="8" t="e">
        <f>VLOOKUP(A496,'[1]Externe MAJ Nov'!$A:$H,8,0)</f>
        <v>#N/A</v>
      </c>
      <c r="AL496" s="29" t="e">
        <f>VLOOKUP(A496,'[1]Externe MAJ Nov'!$A:$G,7,0)</f>
        <v>#N/A</v>
      </c>
      <c r="AM496" s="29" t="s">
        <v>493</v>
      </c>
      <c r="AN496" s="29" t="s">
        <v>270</v>
      </c>
      <c r="AO496" s="58">
        <v>44124</v>
      </c>
      <c r="AP496" s="29" t="e">
        <f>VLOOKUP(A496,'[2]External Scan 02_21'!$B:$J,9,0)</f>
        <v>#N/A</v>
      </c>
      <c r="AQ496" s="29" t="s">
        <v>2485</v>
      </c>
      <c r="AR496" s="75"/>
      <c r="AS496" s="21" t="str">
        <f>VLOOKUP(AE496,'ref statu'!A:B,2,0)</f>
        <v>Fixed</v>
      </c>
      <c r="AT496" s="8" t="e">
        <f>VLOOKUP(A496,chk!A:B,2,0)</f>
        <v>#N/A</v>
      </c>
      <c r="AU496" s="29" t="e">
        <f>VLOOKUP(A496,checker!A:B,2,0)</f>
        <v>#N/A</v>
      </c>
      <c r="AV496" s="29" t="e">
        <f>VLOOKUP(A496,checker!B:C,2,0)</f>
        <v>#N/A</v>
      </c>
    </row>
    <row r="497" spans="1:48" x14ac:dyDescent="0.3">
      <c r="A497" s="29" t="str">
        <f t="shared" si="7"/>
        <v>96.692.66.675/443/tlsv1_1-enabled</v>
      </c>
      <c r="B497" s="29" t="s">
        <v>3010</v>
      </c>
      <c r="C497" s="29" t="s">
        <v>401</v>
      </c>
      <c r="D497" s="148" t="s">
        <v>2981</v>
      </c>
      <c r="E497" s="8" t="s">
        <v>307</v>
      </c>
      <c r="F497" s="29" t="s">
        <v>308</v>
      </c>
      <c r="G497" s="21" t="s">
        <v>402</v>
      </c>
      <c r="H497" s="29" t="s">
        <v>256</v>
      </c>
      <c r="I497" s="8" t="s">
        <v>310</v>
      </c>
      <c r="J497" s="8">
        <v>443</v>
      </c>
      <c r="K497" s="29" t="s">
        <v>290</v>
      </c>
      <c r="L497" s="29" t="s">
        <v>314</v>
      </c>
      <c r="M497" s="9">
        <v>3</v>
      </c>
      <c r="N497" s="9" t="s">
        <v>42</v>
      </c>
      <c r="O497" s="29" t="s">
        <v>142</v>
      </c>
      <c r="P497" s="29" t="s">
        <v>143</v>
      </c>
      <c r="Q497" s="29" t="s">
        <v>138</v>
      </c>
      <c r="R497" s="29" t="s">
        <v>139</v>
      </c>
      <c r="S497" s="29" t="s">
        <v>144</v>
      </c>
      <c r="T497" s="29" t="s">
        <v>141</v>
      </c>
      <c r="U497" s="29" t="s">
        <v>31</v>
      </c>
      <c r="V497" s="29" t="s">
        <v>31</v>
      </c>
      <c r="W497" s="57">
        <v>41926</v>
      </c>
      <c r="X497" s="8" t="s">
        <v>36</v>
      </c>
      <c r="Y497" s="8">
        <v>0</v>
      </c>
      <c r="Z497" s="8" t="s">
        <v>31</v>
      </c>
      <c r="AA497" s="8" t="s">
        <v>31</v>
      </c>
      <c r="AB497" s="8" t="s">
        <v>374</v>
      </c>
      <c r="AC497" s="29"/>
      <c r="AD497" s="29"/>
      <c r="AE497" s="95" t="s">
        <v>28</v>
      </c>
      <c r="AF497" s="22"/>
      <c r="AG497" s="30">
        <v>44256</v>
      </c>
      <c r="AH497" s="67"/>
      <c r="AI497" s="72">
        <v>44124</v>
      </c>
      <c r="AJ497" s="23" t="s">
        <v>270</v>
      </c>
      <c r="AK497" s="8" t="e">
        <f>VLOOKUP(A497,'[1]Externe MAJ Nov'!$A:$H,8,0)</f>
        <v>#N/A</v>
      </c>
      <c r="AL497" s="29" t="e">
        <f>VLOOKUP(A497,'[1]Externe MAJ Nov'!$A:$G,7,0)</f>
        <v>#N/A</v>
      </c>
      <c r="AM497" s="29" t="s">
        <v>493</v>
      </c>
      <c r="AN497" s="29" t="s">
        <v>270</v>
      </c>
      <c r="AO497" s="58">
        <v>44124</v>
      </c>
      <c r="AP497" s="29" t="e">
        <f>VLOOKUP(A497,'[2]External Scan 02_21'!$B:$J,9,0)</f>
        <v>#N/A</v>
      </c>
      <c r="AQ497" s="29" t="s">
        <v>2485</v>
      </c>
      <c r="AR497" s="75"/>
      <c r="AS497" s="21" t="str">
        <f>VLOOKUP(AE497,'ref statu'!A:B,2,0)</f>
        <v>Fixed</v>
      </c>
      <c r="AT497" s="8" t="e">
        <f>VLOOKUP(A497,chk!A:B,2,0)</f>
        <v>#N/A</v>
      </c>
      <c r="AU497" s="29" t="e">
        <f>VLOOKUP(A497,checker!A:B,2,0)</f>
        <v>#N/A</v>
      </c>
      <c r="AV497" s="29" t="e">
        <f>VLOOKUP(A497,checker!B:C,2,0)</f>
        <v>#N/A</v>
      </c>
    </row>
    <row r="498" spans="1:48" x14ac:dyDescent="0.3">
      <c r="A498" s="29" t="str">
        <f t="shared" si="7"/>
        <v>96.692.66.677/0/generic-tcp-timestamp</v>
      </c>
      <c r="B498" s="61" t="s">
        <v>3011</v>
      </c>
      <c r="C498" s="61" t="s">
        <v>2457</v>
      </c>
      <c r="D498" s="61" t="s">
        <v>2982</v>
      </c>
      <c r="E498" s="61" t="s">
        <v>28</v>
      </c>
      <c r="F498" s="61" t="s">
        <v>2458</v>
      </c>
      <c r="G498" s="61" t="s">
        <v>2459</v>
      </c>
      <c r="H498" s="61" t="s">
        <v>256</v>
      </c>
      <c r="I498" s="37" t="s">
        <v>257</v>
      </c>
      <c r="J498" s="37">
        <v>0</v>
      </c>
      <c r="K498" s="61" t="s">
        <v>258</v>
      </c>
      <c r="L498" s="61" t="s">
        <v>31</v>
      </c>
      <c r="M498" s="9">
        <v>1</v>
      </c>
      <c r="N498" s="9" t="s">
        <v>42</v>
      </c>
      <c r="O498" s="61" t="s">
        <v>78</v>
      </c>
      <c r="P498" s="61" t="s">
        <v>79</v>
      </c>
      <c r="Q498" s="61" t="s">
        <v>80</v>
      </c>
      <c r="R498" s="61" t="s">
        <v>81</v>
      </c>
      <c r="S498" s="61" t="s">
        <v>82</v>
      </c>
      <c r="T498" s="61" t="s">
        <v>83</v>
      </c>
      <c r="U498" s="61" t="s">
        <v>31</v>
      </c>
      <c r="V498" s="61" t="s">
        <v>31</v>
      </c>
      <c r="W498" s="62">
        <v>35643</v>
      </c>
      <c r="X498" s="37" t="s">
        <v>36</v>
      </c>
      <c r="Y498" s="37">
        <v>0</v>
      </c>
      <c r="Z498" s="37" t="s">
        <v>31</v>
      </c>
      <c r="AA498" s="37" t="s">
        <v>31</v>
      </c>
      <c r="AB498" s="37" t="s">
        <v>513</v>
      </c>
      <c r="AC498" s="61"/>
      <c r="AD498" s="33"/>
      <c r="AE498" s="101" t="s">
        <v>28</v>
      </c>
      <c r="AF498" s="22">
        <v>44210</v>
      </c>
      <c r="AG498" s="36">
        <v>44210</v>
      </c>
      <c r="AH498" s="37"/>
      <c r="AI498" s="72">
        <v>44185</v>
      </c>
      <c r="AJ498" s="38" t="s">
        <v>94</v>
      </c>
      <c r="AK498" s="39" t="e">
        <f>VLOOKUP(A498,'[1]Externe MAJ Nov'!$A:$H,8,0)</f>
        <v>#N/A</v>
      </c>
      <c r="AL498" s="61"/>
      <c r="AM498" s="61"/>
      <c r="AN498" s="61"/>
      <c r="AO498" s="58">
        <v>44185</v>
      </c>
      <c r="AP498" s="29" t="e">
        <f>VLOOKUP(A498,'[2]External Scan 02_21'!$B:$J,9,0)</f>
        <v>#N/A</v>
      </c>
      <c r="AQ498" s="29" t="s">
        <v>28</v>
      </c>
      <c r="AR498" s="21"/>
      <c r="AS498" s="21" t="str">
        <f>VLOOKUP(AE498,'ref statu'!A:B,2,0)</f>
        <v>Fixed</v>
      </c>
      <c r="AT498" s="8" t="e">
        <f>VLOOKUP(A498,chk!A:B,2,0)</f>
        <v>#N/A</v>
      </c>
      <c r="AU498" s="29" t="e">
        <f>VLOOKUP(A498,checker!A:B,2,0)</f>
        <v>#N/A</v>
      </c>
      <c r="AV498" s="29" t="e">
        <f>VLOOKUP(A498,checker!B:C,2,0)</f>
        <v>#N/A</v>
      </c>
    </row>
    <row r="499" spans="1:48" x14ac:dyDescent="0.3">
      <c r="A499" s="29" t="str">
        <f t="shared" si="7"/>
        <v>96.692.66.677/443/certificate-common-name-mismatch</v>
      </c>
      <c r="B499" s="61" t="s">
        <v>3011</v>
      </c>
      <c r="C499" s="61" t="s">
        <v>2457</v>
      </c>
      <c r="D499" s="61" t="s">
        <v>2982</v>
      </c>
      <c r="E499" s="61" t="s">
        <v>28</v>
      </c>
      <c r="F499" s="61" t="s">
        <v>2458</v>
      </c>
      <c r="G499" s="61" t="s">
        <v>2459</v>
      </c>
      <c r="H499" s="61" t="s">
        <v>256</v>
      </c>
      <c r="I499" s="37" t="s">
        <v>257</v>
      </c>
      <c r="J499" s="37">
        <v>443</v>
      </c>
      <c r="K499" s="61" t="s">
        <v>290</v>
      </c>
      <c r="L499" s="61" t="s">
        <v>291</v>
      </c>
      <c r="M499" s="9">
        <v>7</v>
      </c>
      <c r="N499" s="10" t="s">
        <v>2540</v>
      </c>
      <c r="O499" s="61" t="s">
        <v>148</v>
      </c>
      <c r="P499" s="61" t="s">
        <v>149</v>
      </c>
      <c r="Q499" s="61" t="s">
        <v>150</v>
      </c>
      <c r="R499" s="61" t="s">
        <v>151</v>
      </c>
      <c r="S499" s="61" t="s">
        <v>2460</v>
      </c>
      <c r="T499" s="61" t="s">
        <v>31</v>
      </c>
      <c r="U499" s="61" t="s">
        <v>31</v>
      </c>
      <c r="V499" s="61" t="s">
        <v>31</v>
      </c>
      <c r="W499" s="62">
        <v>39297</v>
      </c>
      <c r="X499" s="37" t="s">
        <v>36</v>
      </c>
      <c r="Y499" s="37">
        <v>0</v>
      </c>
      <c r="Z499" s="37" t="s">
        <v>31</v>
      </c>
      <c r="AA499" s="37" t="s">
        <v>31</v>
      </c>
      <c r="AB499" s="37" t="s">
        <v>513</v>
      </c>
      <c r="AC499" s="61"/>
      <c r="AD499" s="34"/>
      <c r="AE499" s="101" t="s">
        <v>28</v>
      </c>
      <c r="AF499" s="22">
        <v>44210</v>
      </c>
      <c r="AG499" s="36">
        <v>44210</v>
      </c>
      <c r="AH499" s="37"/>
      <c r="AI499" s="72">
        <v>44185</v>
      </c>
      <c r="AJ499" s="38" t="s">
        <v>94</v>
      </c>
      <c r="AK499" s="39" t="e">
        <f>VLOOKUP(A499,'[1]Externe MAJ Nov'!$A:$H,8,0)</f>
        <v>#N/A</v>
      </c>
      <c r="AL499" s="61"/>
      <c r="AM499" s="61"/>
      <c r="AN499" s="61"/>
      <c r="AO499" s="58">
        <v>44185</v>
      </c>
      <c r="AP499" s="29" t="e">
        <f>VLOOKUP(A499,'[2]External Scan 02_21'!$B:$J,9,0)</f>
        <v>#N/A</v>
      </c>
      <c r="AQ499" s="29" t="s">
        <v>28</v>
      </c>
      <c r="AR499" s="21"/>
      <c r="AS499" s="21" t="str">
        <f>VLOOKUP(AE499,'ref statu'!A:B,2,0)</f>
        <v>Fixed</v>
      </c>
      <c r="AT499" s="8" t="e">
        <f>VLOOKUP(A499,chk!A:B,2,0)</f>
        <v>#N/A</v>
      </c>
      <c r="AU499" s="29" t="e">
        <f>VLOOKUP(A499,checker!A:B,2,0)</f>
        <v>#N/A</v>
      </c>
      <c r="AV499" s="29" t="e">
        <f>VLOOKUP(A499,checker!B:C,2,0)</f>
        <v>#N/A</v>
      </c>
    </row>
    <row r="500" spans="1:48" x14ac:dyDescent="0.3">
      <c r="A500" s="29" t="str">
        <f t="shared" si="7"/>
        <v>96.692.66.677/443/http-generic-browsable-dir</v>
      </c>
      <c r="B500" s="61" t="s">
        <v>3011</v>
      </c>
      <c r="C500" s="61" t="s">
        <v>2457</v>
      </c>
      <c r="D500" s="61" t="s">
        <v>2982</v>
      </c>
      <c r="E500" s="61" t="s">
        <v>28</v>
      </c>
      <c r="F500" s="61" t="s">
        <v>2458</v>
      </c>
      <c r="G500" s="61" t="s">
        <v>2459</v>
      </c>
      <c r="H500" s="61" t="s">
        <v>256</v>
      </c>
      <c r="I500" s="37" t="s">
        <v>257</v>
      </c>
      <c r="J500" s="37">
        <v>443</v>
      </c>
      <c r="K500" s="61" t="s">
        <v>290</v>
      </c>
      <c r="L500" s="61" t="s">
        <v>291</v>
      </c>
      <c r="M500" s="9">
        <v>5</v>
      </c>
      <c r="N500" s="9" t="s">
        <v>29</v>
      </c>
      <c r="O500" s="61" t="s">
        <v>32</v>
      </c>
      <c r="P500" s="61" t="s">
        <v>33</v>
      </c>
      <c r="Q500" s="61" t="s">
        <v>34</v>
      </c>
      <c r="R500" s="61" t="s">
        <v>35</v>
      </c>
      <c r="S500" s="61" t="s">
        <v>2461</v>
      </c>
      <c r="T500" s="61" t="s">
        <v>31</v>
      </c>
      <c r="U500" s="61" t="s">
        <v>31</v>
      </c>
      <c r="V500" s="61" t="s">
        <v>31</v>
      </c>
      <c r="W500" s="62">
        <v>36892</v>
      </c>
      <c r="X500" s="37" t="s">
        <v>36</v>
      </c>
      <c r="Y500" s="37">
        <v>0</v>
      </c>
      <c r="Z500" s="37" t="s">
        <v>31</v>
      </c>
      <c r="AA500" s="37" t="s">
        <v>31</v>
      </c>
      <c r="AB500" s="37" t="s">
        <v>513</v>
      </c>
      <c r="AC500" s="61"/>
      <c r="AD500" s="34"/>
      <c r="AE500" s="101" t="s">
        <v>28</v>
      </c>
      <c r="AF500" s="22">
        <v>44210</v>
      </c>
      <c r="AG500" s="36">
        <v>44210</v>
      </c>
      <c r="AH500" s="37"/>
      <c r="AI500" s="72">
        <v>44185</v>
      </c>
      <c r="AJ500" s="38" t="s">
        <v>94</v>
      </c>
      <c r="AK500" s="39" t="e">
        <f>VLOOKUP(A500,'[1]Externe MAJ Nov'!$A:$H,8,0)</f>
        <v>#N/A</v>
      </c>
      <c r="AL500" s="61"/>
      <c r="AM500" s="61"/>
      <c r="AN500" s="61"/>
      <c r="AO500" s="58">
        <v>44185</v>
      </c>
      <c r="AP500" s="29" t="e">
        <f>VLOOKUP(A500,'[2]External Scan 02_21'!$B:$J,9,0)</f>
        <v>#N/A</v>
      </c>
      <c r="AQ500" s="29" t="s">
        <v>28</v>
      </c>
      <c r="AR500" s="21"/>
      <c r="AS500" s="21" t="str">
        <f>VLOOKUP(AE500,'ref statu'!A:B,2,0)</f>
        <v>Fixed</v>
      </c>
      <c r="AT500" s="8" t="e">
        <f>VLOOKUP(A500,chk!A:B,2,0)</f>
        <v>#N/A</v>
      </c>
      <c r="AU500" s="29" t="e">
        <f>VLOOKUP(A500,checker!A:B,2,0)</f>
        <v>#N/A</v>
      </c>
      <c r="AV500" s="29" t="e">
        <f>VLOOKUP(A500,checker!B:C,2,0)</f>
        <v>#N/A</v>
      </c>
    </row>
    <row r="501" spans="1:48" x14ac:dyDescent="0.3">
      <c r="A501" s="29" t="str">
        <f t="shared" si="7"/>
        <v>96.692.66.677/443/http-options-method-enabled</v>
      </c>
      <c r="B501" s="61" t="s">
        <v>3011</v>
      </c>
      <c r="C501" s="61" t="s">
        <v>2457</v>
      </c>
      <c r="D501" s="61" t="s">
        <v>2982</v>
      </c>
      <c r="E501" s="61" t="s">
        <v>28</v>
      </c>
      <c r="F501" s="61" t="s">
        <v>2458</v>
      </c>
      <c r="G501" s="61" t="s">
        <v>2459</v>
      </c>
      <c r="H501" s="61" t="s">
        <v>256</v>
      </c>
      <c r="I501" s="37" t="s">
        <v>257</v>
      </c>
      <c r="J501" s="37">
        <v>443</v>
      </c>
      <c r="K501" s="61" t="s">
        <v>290</v>
      </c>
      <c r="L501" s="61" t="s">
        <v>291</v>
      </c>
      <c r="M501" s="9">
        <v>3</v>
      </c>
      <c r="N501" s="9" t="s">
        <v>42</v>
      </c>
      <c r="O501" s="61" t="s">
        <v>43</v>
      </c>
      <c r="P501" s="61" t="s">
        <v>44</v>
      </c>
      <c r="Q501" s="61" t="s">
        <v>45</v>
      </c>
      <c r="R501" s="61" t="s">
        <v>46</v>
      </c>
      <c r="S501" s="61" t="s">
        <v>47</v>
      </c>
      <c r="T501" s="61" t="s">
        <v>48</v>
      </c>
      <c r="U501" s="61" t="s">
        <v>31</v>
      </c>
      <c r="V501" s="61" t="s">
        <v>31</v>
      </c>
      <c r="W501" s="62">
        <v>38632</v>
      </c>
      <c r="X501" s="37" t="s">
        <v>36</v>
      </c>
      <c r="Y501" s="37">
        <v>0</v>
      </c>
      <c r="Z501" s="37" t="s">
        <v>31</v>
      </c>
      <c r="AA501" s="37" t="s">
        <v>31</v>
      </c>
      <c r="AB501" s="37" t="s">
        <v>513</v>
      </c>
      <c r="AC501" s="61"/>
      <c r="AD501" s="33"/>
      <c r="AE501" s="101" t="s">
        <v>28</v>
      </c>
      <c r="AF501" s="22">
        <v>44210</v>
      </c>
      <c r="AG501" s="36">
        <v>44210</v>
      </c>
      <c r="AH501" s="37"/>
      <c r="AI501" s="72">
        <v>44185</v>
      </c>
      <c r="AJ501" s="38" t="s">
        <v>94</v>
      </c>
      <c r="AK501" s="39" t="e">
        <f>VLOOKUP(A501,'[1]Externe MAJ Nov'!$A:$H,8,0)</f>
        <v>#N/A</v>
      </c>
      <c r="AL501" s="61"/>
      <c r="AM501" s="61"/>
      <c r="AN501" s="61"/>
      <c r="AO501" s="58">
        <v>44185</v>
      </c>
      <c r="AP501" s="29" t="e">
        <f>VLOOKUP(A501,'[2]External Scan 02_21'!$B:$J,9,0)</f>
        <v>#N/A</v>
      </c>
      <c r="AQ501" s="29" t="s">
        <v>28</v>
      </c>
      <c r="AR501" s="21"/>
      <c r="AS501" s="21" t="str">
        <f>VLOOKUP(AE501,'ref statu'!A:B,2,0)</f>
        <v>Fixed</v>
      </c>
      <c r="AT501" s="8" t="e">
        <f>VLOOKUP(A501,chk!A:B,2,0)</f>
        <v>#N/A</v>
      </c>
      <c r="AU501" s="29" t="e">
        <f>VLOOKUP(A501,checker!A:B,2,0)</f>
        <v>#N/A</v>
      </c>
      <c r="AV501" s="29" t="e">
        <f>VLOOKUP(A501,checker!B:C,2,0)</f>
        <v>#N/A</v>
      </c>
    </row>
    <row r="502" spans="1:48" x14ac:dyDescent="0.3">
      <c r="A502" s="29" t="str">
        <f t="shared" si="7"/>
        <v>96.692.66.677/443/http-trace-method-enabled</v>
      </c>
      <c r="B502" s="61" t="s">
        <v>3011</v>
      </c>
      <c r="C502" s="61" t="s">
        <v>2457</v>
      </c>
      <c r="D502" s="61" t="s">
        <v>2982</v>
      </c>
      <c r="E502" s="61" t="s">
        <v>28</v>
      </c>
      <c r="F502" s="61" t="s">
        <v>2458</v>
      </c>
      <c r="G502" s="61" t="s">
        <v>2459</v>
      </c>
      <c r="H502" s="61" t="s">
        <v>256</v>
      </c>
      <c r="I502" s="37" t="s">
        <v>257</v>
      </c>
      <c r="J502" s="37">
        <v>443</v>
      </c>
      <c r="K502" s="61" t="s">
        <v>290</v>
      </c>
      <c r="L502" s="61" t="s">
        <v>291</v>
      </c>
      <c r="M502" s="9">
        <v>6</v>
      </c>
      <c r="N502" s="9" t="s">
        <v>29</v>
      </c>
      <c r="O502" s="61" t="s">
        <v>187</v>
      </c>
      <c r="P502" s="61" t="s">
        <v>188</v>
      </c>
      <c r="Q502" s="61" t="s">
        <v>189</v>
      </c>
      <c r="R502" s="61" t="s">
        <v>2462</v>
      </c>
      <c r="S502" s="61" t="s">
        <v>2463</v>
      </c>
      <c r="T502" s="61" t="s">
        <v>190</v>
      </c>
      <c r="U502" s="61" t="s">
        <v>191</v>
      </c>
      <c r="V502" s="61" t="s">
        <v>284</v>
      </c>
      <c r="W502" s="62">
        <v>38292</v>
      </c>
      <c r="X502" s="37" t="s">
        <v>36</v>
      </c>
      <c r="Y502" s="37">
        <v>2</v>
      </c>
      <c r="Z502" s="37" t="s">
        <v>241</v>
      </c>
      <c r="AA502" s="37" t="s">
        <v>242</v>
      </c>
      <c r="AB502" s="37" t="s">
        <v>513</v>
      </c>
      <c r="AC502" s="61"/>
      <c r="AD502" s="34"/>
      <c r="AE502" s="101" t="s">
        <v>28</v>
      </c>
      <c r="AF502" s="22">
        <v>44210</v>
      </c>
      <c r="AG502" s="36">
        <v>44210</v>
      </c>
      <c r="AH502" s="37"/>
      <c r="AI502" s="72">
        <v>44185</v>
      </c>
      <c r="AJ502" s="38" t="s">
        <v>94</v>
      </c>
      <c r="AK502" s="39" t="e">
        <f>VLOOKUP(A502,'[1]Externe MAJ Nov'!$A:$H,8,0)</f>
        <v>#N/A</v>
      </c>
      <c r="AL502" s="61"/>
      <c r="AM502" s="61"/>
      <c r="AN502" s="61"/>
      <c r="AO502" s="58">
        <v>44185</v>
      </c>
      <c r="AP502" s="29" t="e">
        <f>VLOOKUP(A502,'[2]External Scan 02_21'!$B:$J,9,0)</f>
        <v>#N/A</v>
      </c>
      <c r="AQ502" s="29" t="s">
        <v>28</v>
      </c>
      <c r="AR502" s="21"/>
      <c r="AS502" s="21" t="str">
        <f>VLOOKUP(AE502,'ref statu'!A:B,2,0)</f>
        <v>Fixed</v>
      </c>
      <c r="AT502" s="8" t="e">
        <f>VLOOKUP(A502,chk!A:B,2,0)</f>
        <v>#N/A</v>
      </c>
      <c r="AU502" s="29" t="e">
        <f>VLOOKUP(A502,checker!A:B,2,0)</f>
        <v>#N/A</v>
      </c>
      <c r="AV502" s="29" t="e">
        <f>VLOOKUP(A502,checker!B:C,2,0)</f>
        <v>#N/A</v>
      </c>
    </row>
    <row r="503" spans="1:48" x14ac:dyDescent="0.3">
      <c r="A503" s="29" t="str">
        <f t="shared" si="7"/>
        <v>96.692.66.672/22/ssh-cbc-ciphers</v>
      </c>
      <c r="B503" s="61" t="s">
        <v>3008</v>
      </c>
      <c r="C503" s="61" t="s">
        <v>2464</v>
      </c>
      <c r="D503" s="61" t="s">
        <v>2968</v>
      </c>
      <c r="E503" s="61" t="s">
        <v>494</v>
      </c>
      <c r="F503" s="61" t="s">
        <v>2465</v>
      </c>
      <c r="G503" s="61" t="s">
        <v>2466</v>
      </c>
      <c r="H503" s="61" t="s">
        <v>2467</v>
      </c>
      <c r="I503" s="37" t="s">
        <v>2468</v>
      </c>
      <c r="J503" s="37">
        <v>22</v>
      </c>
      <c r="K503" s="61" t="s">
        <v>268</v>
      </c>
      <c r="L503" s="61" t="s">
        <v>31</v>
      </c>
      <c r="M503" s="9">
        <v>3</v>
      </c>
      <c r="N503" s="9" t="s">
        <v>42</v>
      </c>
      <c r="O503" s="61" t="s">
        <v>55</v>
      </c>
      <c r="P503" s="61" t="s">
        <v>56</v>
      </c>
      <c r="Q503" s="61" t="s">
        <v>57</v>
      </c>
      <c r="R503" s="61" t="s">
        <v>58</v>
      </c>
      <c r="S503" s="61" t="s">
        <v>147</v>
      </c>
      <c r="T503" s="61" t="s">
        <v>59</v>
      </c>
      <c r="U503" s="61" t="s">
        <v>31</v>
      </c>
      <c r="V503" s="61" t="s">
        <v>31</v>
      </c>
      <c r="W503" s="62">
        <v>41313</v>
      </c>
      <c r="X503" s="37" t="s">
        <v>30</v>
      </c>
      <c r="Y503" s="37">
        <v>0</v>
      </c>
      <c r="Z503" s="37" t="s">
        <v>31</v>
      </c>
      <c r="AA503" s="37" t="s">
        <v>31</v>
      </c>
      <c r="AB503" s="37" t="s">
        <v>513</v>
      </c>
      <c r="AC503" s="61"/>
      <c r="AD503" s="34"/>
      <c r="AE503" s="101" t="s">
        <v>2481</v>
      </c>
      <c r="AF503" s="22"/>
      <c r="AG503" s="36"/>
      <c r="AH503" s="40"/>
      <c r="AI503" s="72">
        <v>44185</v>
      </c>
      <c r="AJ503" s="38" t="s">
        <v>94</v>
      </c>
      <c r="AK503" s="39" t="e">
        <f>VLOOKUP(A503,'[1]Externe MAJ Nov'!$A:$H,8,0)</f>
        <v>#N/A</v>
      </c>
      <c r="AL503" s="61"/>
      <c r="AM503" s="61"/>
      <c r="AN503" s="61"/>
      <c r="AO503" s="58">
        <v>44185</v>
      </c>
      <c r="AP503" s="29" t="e">
        <f>VLOOKUP(A503,'[2]External Scan 02_21'!$B:$J,9,0)</f>
        <v>#N/A</v>
      </c>
      <c r="AQ503" s="29" t="s">
        <v>2481</v>
      </c>
      <c r="AR503" s="21"/>
      <c r="AS503" s="21" t="str">
        <f>VLOOKUP(AE503,'ref statu'!A:B,2,0)</f>
        <v>SI arrêté planification de l intervetion de l'éditeur encours (ExpressWay)</v>
      </c>
      <c r="AT503" s="8" t="e">
        <f>VLOOKUP(A503,chk!A:B,2,0)</f>
        <v>#N/A</v>
      </c>
      <c r="AU503" s="29" t="e">
        <f>VLOOKUP(A503,checker!A:B,2,0)</f>
        <v>#N/A</v>
      </c>
      <c r="AV503" s="29" t="e">
        <f>VLOOKUP(A503,checker!B:C,2,0)</f>
        <v>#N/A</v>
      </c>
    </row>
    <row r="504" spans="1:48" x14ac:dyDescent="0.3">
      <c r="A504" s="29" t="str">
        <f t="shared" si="7"/>
        <v>96.692.66.672/22/ssh-cve-2015-4000</v>
      </c>
      <c r="B504" s="61" t="s">
        <v>3008</v>
      </c>
      <c r="C504" s="61" t="s">
        <v>2464</v>
      </c>
      <c r="D504" s="61" t="s">
        <v>2968</v>
      </c>
      <c r="E504" s="61" t="s">
        <v>494</v>
      </c>
      <c r="F504" s="61" t="s">
        <v>2465</v>
      </c>
      <c r="G504" s="61" t="s">
        <v>2466</v>
      </c>
      <c r="H504" s="61" t="s">
        <v>2467</v>
      </c>
      <c r="I504" s="37" t="s">
        <v>2468</v>
      </c>
      <c r="J504" s="37">
        <v>22</v>
      </c>
      <c r="K504" s="61" t="s">
        <v>268</v>
      </c>
      <c r="L504" s="61" t="s">
        <v>31</v>
      </c>
      <c r="M504" s="9">
        <v>4</v>
      </c>
      <c r="N504" s="9" t="s">
        <v>29</v>
      </c>
      <c r="O504" s="61" t="s">
        <v>60</v>
      </c>
      <c r="P504" s="61" t="s">
        <v>61</v>
      </c>
      <c r="Q504" s="61" t="s">
        <v>62</v>
      </c>
      <c r="R504" s="61" t="s">
        <v>63</v>
      </c>
      <c r="S504" s="61" t="s">
        <v>64</v>
      </c>
      <c r="T504" s="61" t="s">
        <v>65</v>
      </c>
      <c r="U504" s="61" t="s">
        <v>66</v>
      </c>
      <c r="V504" s="61" t="s">
        <v>273</v>
      </c>
      <c r="W504" s="62">
        <v>42144</v>
      </c>
      <c r="X504" s="37" t="s">
        <v>30</v>
      </c>
      <c r="Y504" s="37">
        <v>0</v>
      </c>
      <c r="Z504" s="37" t="s">
        <v>31</v>
      </c>
      <c r="AA504" s="37" t="s">
        <v>31</v>
      </c>
      <c r="AB504" s="37" t="s">
        <v>513</v>
      </c>
      <c r="AC504" s="61"/>
      <c r="AD504" s="33"/>
      <c r="AE504" s="101" t="s">
        <v>2481</v>
      </c>
      <c r="AF504" s="22"/>
      <c r="AG504" s="36"/>
      <c r="AH504" s="40"/>
      <c r="AI504" s="72">
        <v>44185</v>
      </c>
      <c r="AJ504" s="38" t="s">
        <v>94</v>
      </c>
      <c r="AK504" s="39" t="e">
        <f>VLOOKUP(A504,'[1]Externe MAJ Nov'!$A:$H,8,0)</f>
        <v>#N/A</v>
      </c>
      <c r="AL504" s="61"/>
      <c r="AM504" s="61"/>
      <c r="AN504" s="61"/>
      <c r="AO504" s="58">
        <v>44185</v>
      </c>
      <c r="AP504" s="29" t="e">
        <f>VLOOKUP(A504,'[2]External Scan 02_21'!$B:$J,9,0)</f>
        <v>#N/A</v>
      </c>
      <c r="AQ504" s="29" t="s">
        <v>2481</v>
      </c>
      <c r="AR504" s="21"/>
      <c r="AS504" s="21" t="str">
        <f>VLOOKUP(AE504,'ref statu'!A:B,2,0)</f>
        <v>SI arrêté planification de l intervetion de l'éditeur encours (ExpressWay)</v>
      </c>
      <c r="AT504" s="8" t="e">
        <f>VLOOKUP(A504,chk!A:B,2,0)</f>
        <v>#N/A</v>
      </c>
      <c r="AU504" s="29" t="e">
        <f>VLOOKUP(A504,checker!A:B,2,0)</f>
        <v>#N/A</v>
      </c>
      <c r="AV504" s="29" t="e">
        <f>VLOOKUP(A504,checker!B:C,2,0)</f>
        <v>#N/A</v>
      </c>
    </row>
    <row r="505" spans="1:48" x14ac:dyDescent="0.3">
      <c r="A505" s="29" t="str">
        <f t="shared" si="7"/>
        <v>96.692.66.672/22/ssh-weak-kex-algorithms</v>
      </c>
      <c r="B505" s="61" t="s">
        <v>3008</v>
      </c>
      <c r="C505" s="61" t="s">
        <v>2464</v>
      </c>
      <c r="D505" s="61" t="s">
        <v>2968</v>
      </c>
      <c r="E505" s="61" t="s">
        <v>494</v>
      </c>
      <c r="F505" s="61" t="s">
        <v>2465</v>
      </c>
      <c r="G505" s="61" t="s">
        <v>2466</v>
      </c>
      <c r="H505" s="61" t="s">
        <v>2467</v>
      </c>
      <c r="I505" s="37" t="s">
        <v>2468</v>
      </c>
      <c r="J505" s="37">
        <v>22</v>
      </c>
      <c r="K505" s="61" t="s">
        <v>268</v>
      </c>
      <c r="L505" s="61" t="s">
        <v>31</v>
      </c>
      <c r="M505" s="9">
        <v>4</v>
      </c>
      <c r="N505" s="9" t="s">
        <v>29</v>
      </c>
      <c r="O505" s="61" t="s">
        <v>72</v>
      </c>
      <c r="P505" s="61" t="s">
        <v>73</v>
      </c>
      <c r="Q505" s="61" t="s">
        <v>74</v>
      </c>
      <c r="R505" s="61" t="s">
        <v>75</v>
      </c>
      <c r="S505" s="61" t="s">
        <v>165</v>
      </c>
      <c r="T505" s="61" t="s">
        <v>76</v>
      </c>
      <c r="U505" s="61" t="s">
        <v>31</v>
      </c>
      <c r="V505" s="61" t="s">
        <v>31</v>
      </c>
      <c r="W505" s="62">
        <v>42929</v>
      </c>
      <c r="X505" s="37" t="s">
        <v>30</v>
      </c>
      <c r="Y505" s="37">
        <v>0</v>
      </c>
      <c r="Z505" s="37" t="s">
        <v>31</v>
      </c>
      <c r="AA505" s="37" t="s">
        <v>31</v>
      </c>
      <c r="AB505" s="37" t="s">
        <v>513</v>
      </c>
      <c r="AC505" s="61"/>
      <c r="AD505" s="34"/>
      <c r="AE505" s="101" t="s">
        <v>2481</v>
      </c>
      <c r="AF505" s="22"/>
      <c r="AG505" s="36"/>
      <c r="AH505" s="40"/>
      <c r="AI505" s="72">
        <v>44185</v>
      </c>
      <c r="AJ505" s="38" t="s">
        <v>94</v>
      </c>
      <c r="AK505" s="39" t="e">
        <f>VLOOKUP(A505,'[1]Externe MAJ Nov'!$A:$H,8,0)</f>
        <v>#N/A</v>
      </c>
      <c r="AL505" s="61"/>
      <c r="AM505" s="61"/>
      <c r="AN505" s="61"/>
      <c r="AO505" s="58">
        <v>44185</v>
      </c>
      <c r="AP505" s="29" t="e">
        <f>VLOOKUP(A505,'[2]External Scan 02_21'!$B:$J,9,0)</f>
        <v>#N/A</v>
      </c>
      <c r="AQ505" s="29" t="s">
        <v>2481</v>
      </c>
      <c r="AR505" s="21"/>
      <c r="AS505" s="21" t="str">
        <f>VLOOKUP(AE505,'ref statu'!A:B,2,0)</f>
        <v>SI arrêté planification de l intervetion de l'éditeur encours (ExpressWay)</v>
      </c>
      <c r="AT505" s="8" t="e">
        <f>VLOOKUP(A505,chk!A:B,2,0)</f>
        <v>#N/A</v>
      </c>
      <c r="AU505" s="29" t="e">
        <f>VLOOKUP(A505,checker!A:B,2,0)</f>
        <v>#N/A</v>
      </c>
      <c r="AV505" s="29" t="e">
        <f>VLOOKUP(A505,checker!B:C,2,0)</f>
        <v>#N/A</v>
      </c>
    </row>
    <row r="506" spans="1:48" x14ac:dyDescent="0.3">
      <c r="A506" s="29" t="str">
        <f t="shared" si="7"/>
        <v>96.692.66.672/443/certificate-common-name-mismatch</v>
      </c>
      <c r="B506" s="61" t="s">
        <v>3008</v>
      </c>
      <c r="C506" s="61" t="s">
        <v>2464</v>
      </c>
      <c r="D506" s="61" t="s">
        <v>2968</v>
      </c>
      <c r="E506" s="61" t="s">
        <v>299</v>
      </c>
      <c r="F506" s="61" t="s">
        <v>299</v>
      </c>
      <c r="G506" s="61" t="s">
        <v>2466</v>
      </c>
      <c r="H506" s="61" t="s">
        <v>2467</v>
      </c>
      <c r="I506" s="37" t="s">
        <v>2468</v>
      </c>
      <c r="J506" s="37">
        <v>443</v>
      </c>
      <c r="K506" s="61" t="s">
        <v>290</v>
      </c>
      <c r="L506" s="61" t="s">
        <v>2469</v>
      </c>
      <c r="M506" s="9">
        <v>7</v>
      </c>
      <c r="N506" s="10" t="s">
        <v>2540</v>
      </c>
      <c r="O506" s="61" t="s">
        <v>148</v>
      </c>
      <c r="P506" s="61" t="s">
        <v>149</v>
      </c>
      <c r="Q506" s="61" t="s">
        <v>150</v>
      </c>
      <c r="R506" s="61" t="s">
        <v>151</v>
      </c>
      <c r="S506" s="61" t="s">
        <v>2470</v>
      </c>
      <c r="T506" s="61" t="s">
        <v>31</v>
      </c>
      <c r="U506" s="61" t="s">
        <v>31</v>
      </c>
      <c r="V506" s="61" t="s">
        <v>31</v>
      </c>
      <c r="W506" s="62">
        <v>39297</v>
      </c>
      <c r="X506" s="37" t="s">
        <v>36</v>
      </c>
      <c r="Y506" s="37">
        <v>0</v>
      </c>
      <c r="Z506" s="37" t="s">
        <v>31</v>
      </c>
      <c r="AA506" s="37" t="s">
        <v>31</v>
      </c>
      <c r="AB506" s="37" t="s">
        <v>513</v>
      </c>
      <c r="AC506" s="61"/>
      <c r="AD506" s="34"/>
      <c r="AE506" s="101" t="s">
        <v>299</v>
      </c>
      <c r="AF506" s="22"/>
      <c r="AG506" s="36"/>
      <c r="AH506" s="40"/>
      <c r="AI506" s="72">
        <v>44185</v>
      </c>
      <c r="AJ506" s="38" t="s">
        <v>94</v>
      </c>
      <c r="AK506" s="39" t="e">
        <f>VLOOKUP(A506,'[1]Externe MAJ Nov'!$A:$H,8,0)</f>
        <v>#N/A</v>
      </c>
      <c r="AL506" s="61" t="s">
        <v>2482</v>
      </c>
      <c r="AM506" s="61"/>
      <c r="AN506" s="61"/>
      <c r="AO506" s="58">
        <v>44185</v>
      </c>
      <c r="AP506" s="29" t="e">
        <f>VLOOKUP(A506,'[2]External Scan 02_21'!$B:$J,9,0)</f>
        <v>#N/A</v>
      </c>
      <c r="AQ506" s="29" t="s">
        <v>299</v>
      </c>
      <c r="AR506" s="21"/>
      <c r="AS506" s="21" t="str">
        <f>VLOOKUP(AE506,'ref statu'!A:B,2,0)</f>
        <v>Faux Positive</v>
      </c>
      <c r="AT506" s="8" t="e">
        <f>VLOOKUP(A506,chk!A:B,2,0)</f>
        <v>#N/A</v>
      </c>
      <c r="AU506" s="29" t="e">
        <f>VLOOKUP(A506,checker!A:B,2,0)</f>
        <v>#N/A</v>
      </c>
      <c r="AV506" s="29" t="e">
        <f>VLOOKUP(A506,checker!B:C,2,0)</f>
        <v>#N/A</v>
      </c>
    </row>
    <row r="507" spans="1:48" x14ac:dyDescent="0.3">
      <c r="A507" s="29" t="str">
        <f t="shared" si="7"/>
        <v>96.692.66.672/443/ssl-cve-2011-3389-beast</v>
      </c>
      <c r="B507" s="61" t="s">
        <v>3008</v>
      </c>
      <c r="C507" s="61" t="s">
        <v>2464</v>
      </c>
      <c r="D507" s="61" t="s">
        <v>2968</v>
      </c>
      <c r="E507" s="61" t="s">
        <v>494</v>
      </c>
      <c r="F507" s="61" t="s">
        <v>2465</v>
      </c>
      <c r="G507" s="61" t="s">
        <v>2466</v>
      </c>
      <c r="H507" s="61" t="s">
        <v>2467</v>
      </c>
      <c r="I507" s="37" t="s">
        <v>2468</v>
      </c>
      <c r="J507" s="37">
        <v>443</v>
      </c>
      <c r="K507" s="61" t="s">
        <v>290</v>
      </c>
      <c r="L507" s="61" t="s">
        <v>2469</v>
      </c>
      <c r="M507" s="9">
        <v>4</v>
      </c>
      <c r="N507" s="9" t="s">
        <v>29</v>
      </c>
      <c r="O507" s="61" t="s">
        <v>105</v>
      </c>
      <c r="P507" s="61" t="s">
        <v>106</v>
      </c>
      <c r="Q507" s="61" t="s">
        <v>107</v>
      </c>
      <c r="R507" s="61" t="s">
        <v>108</v>
      </c>
      <c r="S507" s="61" t="s">
        <v>170</v>
      </c>
      <c r="T507" s="61" t="s">
        <v>109</v>
      </c>
      <c r="U507" s="61" t="s">
        <v>110</v>
      </c>
      <c r="V507" s="61" t="s">
        <v>297</v>
      </c>
      <c r="W507" s="62">
        <v>40792</v>
      </c>
      <c r="X507" s="37" t="s">
        <v>36</v>
      </c>
      <c r="Y507" s="37">
        <v>0</v>
      </c>
      <c r="Z507" s="37" t="s">
        <v>31</v>
      </c>
      <c r="AA507" s="37" t="s">
        <v>31</v>
      </c>
      <c r="AB507" s="37" t="s">
        <v>513</v>
      </c>
      <c r="AC507" s="61"/>
      <c r="AD507" s="33"/>
      <c r="AE507" s="101" t="s">
        <v>2481</v>
      </c>
      <c r="AF507" s="22"/>
      <c r="AG507" s="36"/>
      <c r="AH507" s="40"/>
      <c r="AI507" s="72">
        <v>44185</v>
      </c>
      <c r="AJ507" s="38" t="s">
        <v>94</v>
      </c>
      <c r="AK507" s="39" t="e">
        <f>VLOOKUP(A507,'[1]Externe MAJ Nov'!$A:$H,8,0)</f>
        <v>#N/A</v>
      </c>
      <c r="AL507" s="61"/>
      <c r="AM507" s="61"/>
      <c r="AN507" s="61"/>
      <c r="AO507" s="58">
        <v>44185</v>
      </c>
      <c r="AP507" s="29" t="e">
        <f>VLOOKUP(A507,'[2]External Scan 02_21'!$B:$J,9,0)</f>
        <v>#N/A</v>
      </c>
      <c r="AQ507" s="29" t="s">
        <v>2481</v>
      </c>
      <c r="AR507" s="21"/>
      <c r="AS507" s="21" t="str">
        <f>VLOOKUP(AE507,'ref statu'!A:B,2,0)</f>
        <v>SI arrêté planification de l intervetion de l'éditeur encours (ExpressWay)</v>
      </c>
      <c r="AT507" s="8" t="e">
        <f>VLOOKUP(A507,chk!A:B,2,0)</f>
        <v>#N/A</v>
      </c>
      <c r="AU507" s="29" t="e">
        <f>VLOOKUP(A507,checker!A:B,2,0)</f>
        <v>#N/A</v>
      </c>
      <c r="AV507" s="29" t="e">
        <f>VLOOKUP(A507,checker!B:C,2,0)</f>
        <v>#N/A</v>
      </c>
    </row>
    <row r="508" spans="1:48" x14ac:dyDescent="0.3">
      <c r="A508" s="29" t="str">
        <f t="shared" si="7"/>
        <v>96.692.66.672/443/ssl-static-key-ciphers</v>
      </c>
      <c r="B508" s="61" t="s">
        <v>3008</v>
      </c>
      <c r="C508" s="61" t="s">
        <v>2464</v>
      </c>
      <c r="D508" s="61" t="s">
        <v>2968</v>
      </c>
      <c r="E508" s="61" t="s">
        <v>494</v>
      </c>
      <c r="F508" s="61" t="s">
        <v>2465</v>
      </c>
      <c r="G508" s="61" t="s">
        <v>2466</v>
      </c>
      <c r="H508" s="61" t="s">
        <v>2467</v>
      </c>
      <c r="I508" s="37" t="s">
        <v>2468</v>
      </c>
      <c r="J508" s="37">
        <v>443</v>
      </c>
      <c r="K508" s="61" t="s">
        <v>290</v>
      </c>
      <c r="L508" s="61" t="s">
        <v>2469</v>
      </c>
      <c r="M508" s="9">
        <v>3</v>
      </c>
      <c r="N508" s="9" t="s">
        <v>42</v>
      </c>
      <c r="O508" s="61" t="s">
        <v>120</v>
      </c>
      <c r="P508" s="61" t="s">
        <v>121</v>
      </c>
      <c r="Q508" s="61" t="s">
        <v>122</v>
      </c>
      <c r="R508" s="61" t="s">
        <v>123</v>
      </c>
      <c r="S508" s="61" t="s">
        <v>171</v>
      </c>
      <c r="T508" s="61" t="s">
        <v>124</v>
      </c>
      <c r="U508" s="61" t="s">
        <v>31</v>
      </c>
      <c r="V508" s="61" t="s">
        <v>31</v>
      </c>
      <c r="W508" s="62">
        <v>42036</v>
      </c>
      <c r="X508" s="37" t="s">
        <v>36</v>
      </c>
      <c r="Y508" s="37">
        <v>0</v>
      </c>
      <c r="Z508" s="37" t="s">
        <v>31</v>
      </c>
      <c r="AA508" s="37" t="s">
        <v>31</v>
      </c>
      <c r="AB508" s="37" t="s">
        <v>513</v>
      </c>
      <c r="AC508" s="61"/>
      <c r="AD508" s="34"/>
      <c r="AE508" s="101" t="s">
        <v>2481</v>
      </c>
      <c r="AF508" s="22"/>
      <c r="AG508" s="36"/>
      <c r="AH508" s="40"/>
      <c r="AI508" s="72">
        <v>44185</v>
      </c>
      <c r="AJ508" s="38" t="s">
        <v>94</v>
      </c>
      <c r="AK508" s="39" t="e">
        <f>VLOOKUP(A508,'[1]Externe MAJ Nov'!$A:$H,8,0)</f>
        <v>#N/A</v>
      </c>
      <c r="AL508" s="61"/>
      <c r="AM508" s="61"/>
      <c r="AN508" s="61"/>
      <c r="AO508" s="58">
        <v>44185</v>
      </c>
      <c r="AP508" s="29" t="e">
        <f>VLOOKUP(A508,'[2]External Scan 02_21'!$B:$J,9,0)</f>
        <v>#N/A</v>
      </c>
      <c r="AQ508" s="29" t="s">
        <v>2481</v>
      </c>
      <c r="AR508" s="21"/>
      <c r="AS508" s="21" t="str">
        <f>VLOOKUP(AE508,'ref statu'!A:B,2,0)</f>
        <v>SI arrêté planification de l intervetion de l'éditeur encours (ExpressWay)</v>
      </c>
      <c r="AT508" s="8" t="e">
        <f>VLOOKUP(A508,chk!A:B,2,0)</f>
        <v>#N/A</v>
      </c>
      <c r="AU508" s="29" t="e">
        <f>VLOOKUP(A508,checker!A:B,2,0)</f>
        <v>#N/A</v>
      </c>
      <c r="AV508" s="29" t="e">
        <f>VLOOKUP(A508,checker!B:C,2,0)</f>
        <v>#N/A</v>
      </c>
    </row>
    <row r="509" spans="1:48" x14ac:dyDescent="0.3">
      <c r="A509" s="29" t="str">
        <f t="shared" si="7"/>
        <v>96.692.66.672/443/tls-dh-primes</v>
      </c>
      <c r="B509" s="61" t="s">
        <v>3008</v>
      </c>
      <c r="C509" s="61" t="s">
        <v>2464</v>
      </c>
      <c r="D509" s="61" t="s">
        <v>2968</v>
      </c>
      <c r="E509" s="61" t="s">
        <v>494</v>
      </c>
      <c r="F509" s="61" t="s">
        <v>2465</v>
      </c>
      <c r="G509" s="61" t="s">
        <v>2466</v>
      </c>
      <c r="H509" s="61" t="s">
        <v>2467</v>
      </c>
      <c r="I509" s="37" t="s">
        <v>2468</v>
      </c>
      <c r="J509" s="37">
        <v>443</v>
      </c>
      <c r="K509" s="61" t="s">
        <v>290</v>
      </c>
      <c r="L509" s="61" t="s">
        <v>2469</v>
      </c>
      <c r="M509" s="9">
        <v>3</v>
      </c>
      <c r="N509" s="9" t="s">
        <v>42</v>
      </c>
      <c r="O509" s="61" t="s">
        <v>125</v>
      </c>
      <c r="P509" s="61" t="s">
        <v>126</v>
      </c>
      <c r="Q509" s="61" t="s">
        <v>127</v>
      </c>
      <c r="R509" s="61" t="s">
        <v>128</v>
      </c>
      <c r="S509" s="61" t="s">
        <v>172</v>
      </c>
      <c r="T509" s="61" t="s">
        <v>130</v>
      </c>
      <c r="U509" s="61" t="s">
        <v>31</v>
      </c>
      <c r="V509" s="61" t="s">
        <v>31</v>
      </c>
      <c r="W509" s="62">
        <v>42144</v>
      </c>
      <c r="X509" s="37" t="s">
        <v>36</v>
      </c>
      <c r="Y509" s="37">
        <v>0</v>
      </c>
      <c r="Z509" s="37" t="s">
        <v>31</v>
      </c>
      <c r="AA509" s="37" t="s">
        <v>31</v>
      </c>
      <c r="AB509" s="37" t="s">
        <v>513</v>
      </c>
      <c r="AC509" s="61"/>
      <c r="AD509" s="34"/>
      <c r="AE509" s="101" t="s">
        <v>2481</v>
      </c>
      <c r="AF509" s="22"/>
      <c r="AG509" s="36"/>
      <c r="AH509" s="40"/>
      <c r="AI509" s="72">
        <v>44185</v>
      </c>
      <c r="AJ509" s="38" t="s">
        <v>94</v>
      </c>
      <c r="AK509" s="39" t="e">
        <f>VLOOKUP(A509,'[1]Externe MAJ Nov'!$A:$H,8,0)</f>
        <v>#N/A</v>
      </c>
      <c r="AL509" s="61"/>
      <c r="AM509" s="61"/>
      <c r="AN509" s="61"/>
      <c r="AO509" s="58">
        <v>44185</v>
      </c>
      <c r="AP509" s="29" t="e">
        <f>VLOOKUP(A509,'[2]External Scan 02_21'!$B:$J,9,0)</f>
        <v>#N/A</v>
      </c>
      <c r="AQ509" s="29" t="s">
        <v>2481</v>
      </c>
      <c r="AR509" s="21"/>
      <c r="AS509" s="21" t="str">
        <f>VLOOKUP(AE509,'ref statu'!A:B,2,0)</f>
        <v>SI arrêté planification de l intervetion de l'éditeur encours (ExpressWay)</v>
      </c>
      <c r="AT509" s="8" t="e">
        <f>VLOOKUP(A509,chk!A:B,2,0)</f>
        <v>#N/A</v>
      </c>
      <c r="AU509" s="29" t="e">
        <f>VLOOKUP(A509,checker!A:B,2,0)</f>
        <v>#N/A</v>
      </c>
      <c r="AV509" s="29" t="e">
        <f>VLOOKUP(A509,checker!B:C,2,0)</f>
        <v>#N/A</v>
      </c>
    </row>
    <row r="510" spans="1:48" x14ac:dyDescent="0.3">
      <c r="A510" s="29" t="str">
        <f t="shared" si="7"/>
        <v>96.692.66.672/443/tls-untrusted-ca</v>
      </c>
      <c r="B510" s="61" t="s">
        <v>3008</v>
      </c>
      <c r="C510" s="61" t="s">
        <v>2464</v>
      </c>
      <c r="D510" s="61" t="s">
        <v>2968</v>
      </c>
      <c r="E510" s="61" t="s">
        <v>494</v>
      </c>
      <c r="F510" s="61" t="s">
        <v>2465</v>
      </c>
      <c r="G510" s="61" t="s">
        <v>2466</v>
      </c>
      <c r="H510" s="61" t="s">
        <v>2467</v>
      </c>
      <c r="I510" s="37" t="s">
        <v>2468</v>
      </c>
      <c r="J510" s="37">
        <v>443</v>
      </c>
      <c r="K510" s="61" t="s">
        <v>290</v>
      </c>
      <c r="L510" s="61" t="s">
        <v>2469</v>
      </c>
      <c r="M510" s="9">
        <v>6</v>
      </c>
      <c r="N510" s="9" t="s">
        <v>29</v>
      </c>
      <c r="O510" s="61" t="s">
        <v>131</v>
      </c>
      <c r="P510" s="61" t="s">
        <v>132</v>
      </c>
      <c r="Q510" s="61" t="s">
        <v>133</v>
      </c>
      <c r="R510" s="61" t="s">
        <v>134</v>
      </c>
      <c r="S510" s="61" t="s">
        <v>2471</v>
      </c>
      <c r="T510" s="61" t="s">
        <v>135</v>
      </c>
      <c r="U510" s="61" t="s">
        <v>31</v>
      </c>
      <c r="V510" s="61" t="s">
        <v>31</v>
      </c>
      <c r="W510" s="62">
        <v>34700</v>
      </c>
      <c r="X510" s="37" t="s">
        <v>36</v>
      </c>
      <c r="Y510" s="37">
        <v>0</v>
      </c>
      <c r="Z510" s="37" t="s">
        <v>31</v>
      </c>
      <c r="AA510" s="37" t="s">
        <v>31</v>
      </c>
      <c r="AB510" s="37" t="s">
        <v>513</v>
      </c>
      <c r="AC510" s="61"/>
      <c r="AD510" s="33"/>
      <c r="AE510" s="101" t="s">
        <v>2481</v>
      </c>
      <c r="AF510" s="22"/>
      <c r="AG510" s="36"/>
      <c r="AH510" s="40"/>
      <c r="AI510" s="72">
        <v>44185</v>
      </c>
      <c r="AJ510" s="38" t="s">
        <v>94</v>
      </c>
      <c r="AK510" s="39" t="e">
        <f>VLOOKUP(A510,'[1]Externe MAJ Nov'!$A:$H,8,0)</f>
        <v>#N/A</v>
      </c>
      <c r="AL510" s="61"/>
      <c r="AM510" s="61"/>
      <c r="AN510" s="61"/>
      <c r="AO510" s="58">
        <v>44185</v>
      </c>
      <c r="AP510" s="29" t="e">
        <f>VLOOKUP(A510,'[2]External Scan 02_21'!$B:$J,9,0)</f>
        <v>#N/A</v>
      </c>
      <c r="AQ510" s="29" t="s">
        <v>2481</v>
      </c>
      <c r="AR510" s="21"/>
      <c r="AS510" s="21" t="str">
        <f>VLOOKUP(AE510,'ref statu'!A:B,2,0)</f>
        <v>SI arrêté planification de l intervetion de l'éditeur encours (ExpressWay)</v>
      </c>
      <c r="AT510" s="8" t="e">
        <f>VLOOKUP(A510,chk!A:B,2,0)</f>
        <v>#N/A</v>
      </c>
      <c r="AU510" s="29" t="e">
        <f>VLOOKUP(A510,checker!A:B,2,0)</f>
        <v>#N/A</v>
      </c>
      <c r="AV510" s="29" t="e">
        <f>VLOOKUP(A510,checker!B:C,2,0)</f>
        <v>#N/A</v>
      </c>
    </row>
    <row r="511" spans="1:48" x14ac:dyDescent="0.3">
      <c r="A511" s="29" t="str">
        <f t="shared" si="7"/>
        <v>96.692.66.672/443/tlsv1_0-enabled</v>
      </c>
      <c r="B511" s="61" t="s">
        <v>3008</v>
      </c>
      <c r="C511" s="61" t="s">
        <v>2464</v>
      </c>
      <c r="D511" s="61" t="s">
        <v>2968</v>
      </c>
      <c r="E511" s="61" t="s">
        <v>494</v>
      </c>
      <c r="F511" s="61" t="s">
        <v>2465</v>
      </c>
      <c r="G511" s="61" t="s">
        <v>2466</v>
      </c>
      <c r="H511" s="61" t="s">
        <v>2467</v>
      </c>
      <c r="I511" s="37" t="s">
        <v>2468</v>
      </c>
      <c r="J511" s="37">
        <v>443</v>
      </c>
      <c r="K511" s="61" t="s">
        <v>290</v>
      </c>
      <c r="L511" s="61" t="s">
        <v>2469</v>
      </c>
      <c r="M511" s="9">
        <v>4</v>
      </c>
      <c r="N511" s="9" t="s">
        <v>29</v>
      </c>
      <c r="O511" s="61" t="s">
        <v>136</v>
      </c>
      <c r="P511" s="61" t="s">
        <v>137</v>
      </c>
      <c r="Q511" s="61" t="s">
        <v>138</v>
      </c>
      <c r="R511" s="61" t="s">
        <v>139</v>
      </c>
      <c r="S511" s="61" t="s">
        <v>140</v>
      </c>
      <c r="T511" s="61" t="s">
        <v>141</v>
      </c>
      <c r="U511" s="61" t="s">
        <v>31</v>
      </c>
      <c r="V511" s="61" t="s">
        <v>31</v>
      </c>
      <c r="W511" s="62">
        <v>41926</v>
      </c>
      <c r="X511" s="37" t="s">
        <v>36</v>
      </c>
      <c r="Y511" s="37">
        <v>0</v>
      </c>
      <c r="Z511" s="37" t="s">
        <v>31</v>
      </c>
      <c r="AA511" s="37" t="s">
        <v>31</v>
      </c>
      <c r="AB511" s="37" t="s">
        <v>513</v>
      </c>
      <c r="AC511" s="61"/>
      <c r="AD511" s="34"/>
      <c r="AE511" s="101" t="s">
        <v>2481</v>
      </c>
      <c r="AF511" s="22"/>
      <c r="AG511" s="36"/>
      <c r="AH511" s="40"/>
      <c r="AI511" s="72">
        <v>44185</v>
      </c>
      <c r="AJ511" s="38" t="s">
        <v>94</v>
      </c>
      <c r="AK511" s="39" t="e">
        <f>VLOOKUP(A511,'[1]Externe MAJ Nov'!$A:$H,8,0)</f>
        <v>#N/A</v>
      </c>
      <c r="AL511" s="61"/>
      <c r="AM511" s="61"/>
      <c r="AN511" s="61"/>
      <c r="AO511" s="58">
        <v>44185</v>
      </c>
      <c r="AP511" s="29" t="e">
        <f>VLOOKUP(A511,'[2]External Scan 02_21'!$B:$J,9,0)</f>
        <v>#N/A</v>
      </c>
      <c r="AQ511" s="29" t="s">
        <v>2481</v>
      </c>
      <c r="AR511" s="21"/>
      <c r="AS511" s="21" t="str">
        <f>VLOOKUP(AE511,'ref statu'!A:B,2,0)</f>
        <v>SI arrêté planification de l intervetion de l'éditeur encours (ExpressWay)</v>
      </c>
      <c r="AT511" s="8" t="e">
        <f>VLOOKUP(A511,chk!A:B,2,0)</f>
        <v>#N/A</v>
      </c>
      <c r="AU511" s="29" t="e">
        <f>VLOOKUP(A511,checker!A:B,2,0)</f>
        <v>#N/A</v>
      </c>
      <c r="AV511" s="29" t="e">
        <f>VLOOKUP(A511,checker!B:C,2,0)</f>
        <v>#N/A</v>
      </c>
    </row>
    <row r="512" spans="1:48" x14ac:dyDescent="0.3">
      <c r="A512" s="29" t="str">
        <f t="shared" si="7"/>
        <v>96.692.66.672/443/tlsv1_1-enabled</v>
      </c>
      <c r="B512" s="61" t="s">
        <v>3008</v>
      </c>
      <c r="C512" s="61" t="s">
        <v>2464</v>
      </c>
      <c r="D512" s="61" t="s">
        <v>2968</v>
      </c>
      <c r="E512" s="61" t="s">
        <v>494</v>
      </c>
      <c r="F512" s="61" t="s">
        <v>2465</v>
      </c>
      <c r="G512" s="61" t="s">
        <v>2466</v>
      </c>
      <c r="H512" s="61" t="s">
        <v>2467</v>
      </c>
      <c r="I512" s="37" t="s">
        <v>2468</v>
      </c>
      <c r="J512" s="37">
        <v>443</v>
      </c>
      <c r="K512" s="61" t="s">
        <v>290</v>
      </c>
      <c r="L512" s="61" t="s">
        <v>2469</v>
      </c>
      <c r="M512" s="9">
        <v>3</v>
      </c>
      <c r="N512" s="9" t="s">
        <v>42</v>
      </c>
      <c r="O512" s="61" t="s">
        <v>142</v>
      </c>
      <c r="P512" s="61" t="s">
        <v>143</v>
      </c>
      <c r="Q512" s="61" t="s">
        <v>138</v>
      </c>
      <c r="R512" s="61" t="s">
        <v>139</v>
      </c>
      <c r="S512" s="61" t="s">
        <v>144</v>
      </c>
      <c r="T512" s="61" t="s">
        <v>141</v>
      </c>
      <c r="U512" s="61" t="s">
        <v>31</v>
      </c>
      <c r="V512" s="61" t="s">
        <v>31</v>
      </c>
      <c r="W512" s="62">
        <v>41926</v>
      </c>
      <c r="X512" s="37" t="s">
        <v>36</v>
      </c>
      <c r="Y512" s="37">
        <v>0</v>
      </c>
      <c r="Z512" s="37" t="s">
        <v>31</v>
      </c>
      <c r="AA512" s="37" t="s">
        <v>31</v>
      </c>
      <c r="AB512" s="37" t="s">
        <v>513</v>
      </c>
      <c r="AC512" s="61"/>
      <c r="AD512" s="34"/>
      <c r="AE512" s="101" t="s">
        <v>2481</v>
      </c>
      <c r="AF512" s="22"/>
      <c r="AG512" s="36"/>
      <c r="AH512" s="40"/>
      <c r="AI512" s="72">
        <v>44185</v>
      </c>
      <c r="AJ512" s="38" t="s">
        <v>94</v>
      </c>
      <c r="AK512" s="39" t="e">
        <f>VLOOKUP(A512,'[1]Externe MAJ Nov'!$A:$H,8,0)</f>
        <v>#N/A</v>
      </c>
      <c r="AL512" s="61"/>
      <c r="AM512" s="61"/>
      <c r="AN512" s="61"/>
      <c r="AO512" s="58">
        <v>44185</v>
      </c>
      <c r="AP512" s="29" t="e">
        <f>VLOOKUP(A512,'[2]External Scan 02_21'!$B:$J,9,0)</f>
        <v>#N/A</v>
      </c>
      <c r="AQ512" s="29" t="s">
        <v>2481</v>
      </c>
      <c r="AR512" s="21"/>
      <c r="AS512" s="21" t="str">
        <f>VLOOKUP(AE512,'ref statu'!A:B,2,0)</f>
        <v>SI arrêté planification de l intervetion de l'éditeur encours (ExpressWay)</v>
      </c>
      <c r="AT512" s="8" t="e">
        <f>VLOOKUP(A512,chk!A:B,2,0)</f>
        <v>#N/A</v>
      </c>
      <c r="AU512" s="29" t="e">
        <f>VLOOKUP(A512,checker!A:B,2,0)</f>
        <v>#N/A</v>
      </c>
      <c r="AV512" s="29" t="e">
        <f>VLOOKUP(A512,checker!B:C,2,0)</f>
        <v>#N/A</v>
      </c>
    </row>
    <row r="513" spans="1:48" x14ac:dyDescent="0.3">
      <c r="A513" s="29" t="str">
        <f t="shared" si="7"/>
        <v>96.692.66.672/5061/certificate-common-name-mismatch</v>
      </c>
      <c r="B513" s="61" t="s">
        <v>3008</v>
      </c>
      <c r="C513" s="61" t="s">
        <v>2464</v>
      </c>
      <c r="D513" s="61" t="s">
        <v>2968</v>
      </c>
      <c r="E513" s="61" t="s">
        <v>299</v>
      </c>
      <c r="F513" s="61" t="s">
        <v>299</v>
      </c>
      <c r="G513" s="61" t="s">
        <v>2466</v>
      </c>
      <c r="H513" s="61" t="s">
        <v>2467</v>
      </c>
      <c r="I513" s="37" t="s">
        <v>2468</v>
      </c>
      <c r="J513" s="37">
        <v>5061</v>
      </c>
      <c r="K513" s="61" t="s">
        <v>2472</v>
      </c>
      <c r="L513" s="61" t="s">
        <v>31</v>
      </c>
      <c r="M513" s="9">
        <v>7</v>
      </c>
      <c r="N513" s="10" t="s">
        <v>2540</v>
      </c>
      <c r="O513" s="61" t="s">
        <v>148</v>
      </c>
      <c r="P513" s="61" t="s">
        <v>149</v>
      </c>
      <c r="Q513" s="61" t="s">
        <v>150</v>
      </c>
      <c r="R513" s="61" t="s">
        <v>151</v>
      </c>
      <c r="S513" s="61" t="s">
        <v>2470</v>
      </c>
      <c r="T513" s="61" t="s">
        <v>31</v>
      </c>
      <c r="U513" s="61" t="s">
        <v>31</v>
      </c>
      <c r="V513" s="61" t="s">
        <v>31</v>
      </c>
      <c r="W513" s="62">
        <v>39297</v>
      </c>
      <c r="X513" s="37" t="s">
        <v>36</v>
      </c>
      <c r="Y513" s="37">
        <v>0</v>
      </c>
      <c r="Z513" s="37" t="s">
        <v>31</v>
      </c>
      <c r="AA513" s="37" t="s">
        <v>31</v>
      </c>
      <c r="AB513" s="37" t="s">
        <v>513</v>
      </c>
      <c r="AC513" s="61"/>
      <c r="AD513" s="33"/>
      <c r="AE513" s="101" t="s">
        <v>299</v>
      </c>
      <c r="AF513" s="22"/>
      <c r="AG513" s="36"/>
      <c r="AH513" s="40"/>
      <c r="AI513" s="72">
        <v>44185</v>
      </c>
      <c r="AJ513" s="38" t="s">
        <v>94</v>
      </c>
      <c r="AK513" s="39" t="e">
        <f>VLOOKUP(A513,'[1]Externe MAJ Nov'!$A:$H,8,0)</f>
        <v>#N/A</v>
      </c>
      <c r="AL513" s="61" t="s">
        <v>2482</v>
      </c>
      <c r="AM513" s="61"/>
      <c r="AN513" s="61"/>
      <c r="AO513" s="58">
        <v>44185</v>
      </c>
      <c r="AP513" s="29" t="e">
        <f>VLOOKUP(A513,'[2]External Scan 02_21'!$B:$J,9,0)</f>
        <v>#N/A</v>
      </c>
      <c r="AQ513" s="29" t="s">
        <v>299</v>
      </c>
      <c r="AR513" s="21"/>
      <c r="AS513" s="21" t="str">
        <f>VLOOKUP(AE513,'ref statu'!A:B,2,0)</f>
        <v>Faux Positive</v>
      </c>
      <c r="AT513" s="8" t="e">
        <f>VLOOKUP(A513,chk!A:B,2,0)</f>
        <v>#N/A</v>
      </c>
      <c r="AU513" s="29" t="e">
        <f>VLOOKUP(A513,checker!A:B,2,0)</f>
        <v>#N/A</v>
      </c>
      <c r="AV513" s="29" t="e">
        <f>VLOOKUP(A513,checker!B:C,2,0)</f>
        <v>#N/A</v>
      </c>
    </row>
    <row r="514" spans="1:48" x14ac:dyDescent="0.3">
      <c r="A514" s="29" t="str">
        <f t="shared" ref="A514:A577" si="8">B514&amp;"/"&amp;J514&amp;"/"&amp;O514</f>
        <v>96.692.66.672/5061/ssl-3des-ciphers</v>
      </c>
      <c r="B514" s="61" t="s">
        <v>3008</v>
      </c>
      <c r="C514" s="61" t="s">
        <v>2464</v>
      </c>
      <c r="D514" s="61" t="s">
        <v>2968</v>
      </c>
      <c r="E514" s="61" t="s">
        <v>494</v>
      </c>
      <c r="F514" s="61" t="s">
        <v>2465</v>
      </c>
      <c r="G514" s="61" t="s">
        <v>2466</v>
      </c>
      <c r="H514" s="61" t="s">
        <v>2467</v>
      </c>
      <c r="I514" s="37" t="s">
        <v>2468</v>
      </c>
      <c r="J514" s="37">
        <v>5061</v>
      </c>
      <c r="K514" s="61" t="s">
        <v>2472</v>
      </c>
      <c r="L514" s="61" t="s">
        <v>31</v>
      </c>
      <c r="M514" s="9">
        <v>1</v>
      </c>
      <c r="N514" s="9" t="s">
        <v>42</v>
      </c>
      <c r="O514" s="61" t="s">
        <v>100</v>
      </c>
      <c r="P514" s="61" t="s">
        <v>101</v>
      </c>
      <c r="Q514" s="61" t="s">
        <v>102</v>
      </c>
      <c r="R514" s="61" t="s">
        <v>103</v>
      </c>
      <c r="S514" s="61" t="s">
        <v>173</v>
      </c>
      <c r="T514" s="61" t="s">
        <v>104</v>
      </c>
      <c r="U514" s="61" t="s">
        <v>31</v>
      </c>
      <c r="V514" s="61" t="s">
        <v>31</v>
      </c>
      <c r="W514" s="62">
        <v>39845</v>
      </c>
      <c r="X514" s="37" t="s">
        <v>36</v>
      </c>
      <c r="Y514" s="37">
        <v>0</v>
      </c>
      <c r="Z514" s="37" t="s">
        <v>31</v>
      </c>
      <c r="AA514" s="37" t="s">
        <v>31</v>
      </c>
      <c r="AB514" s="37" t="s">
        <v>513</v>
      </c>
      <c r="AC514" s="61"/>
      <c r="AD514" s="34"/>
      <c r="AE514" s="101" t="s">
        <v>2481</v>
      </c>
      <c r="AF514" s="22"/>
      <c r="AG514" s="36"/>
      <c r="AH514" s="40"/>
      <c r="AI514" s="72">
        <v>44185</v>
      </c>
      <c r="AJ514" s="38" t="s">
        <v>94</v>
      </c>
      <c r="AK514" s="39" t="e">
        <f>VLOOKUP(A514,'[1]Externe MAJ Nov'!$A:$H,8,0)</f>
        <v>#N/A</v>
      </c>
      <c r="AL514" s="61"/>
      <c r="AM514" s="61"/>
      <c r="AN514" s="61"/>
      <c r="AO514" s="58">
        <v>44185</v>
      </c>
      <c r="AP514" s="29" t="e">
        <f>VLOOKUP(A514,'[2]External Scan 02_21'!$B:$J,9,0)</f>
        <v>#N/A</v>
      </c>
      <c r="AQ514" s="29" t="s">
        <v>2481</v>
      </c>
      <c r="AR514" s="21"/>
      <c r="AS514" s="21" t="str">
        <f>VLOOKUP(AE514,'ref statu'!A:B,2,0)</f>
        <v>SI arrêté planification de l intervetion de l'éditeur encours (ExpressWay)</v>
      </c>
      <c r="AT514" s="8" t="e">
        <f>VLOOKUP(A514,chk!A:B,2,0)</f>
        <v>#N/A</v>
      </c>
      <c r="AU514" s="29" t="e">
        <f>VLOOKUP(A514,checker!A:B,2,0)</f>
        <v>#N/A</v>
      </c>
      <c r="AV514" s="29" t="e">
        <f>VLOOKUP(A514,checker!B:C,2,0)</f>
        <v>#N/A</v>
      </c>
    </row>
    <row r="515" spans="1:48" x14ac:dyDescent="0.3">
      <c r="A515" s="29" t="str">
        <f t="shared" si="8"/>
        <v>96.692.66.672/5061/ssl-cve-2011-3389-beast</v>
      </c>
      <c r="B515" s="61" t="s">
        <v>3008</v>
      </c>
      <c r="C515" s="61" t="s">
        <v>2464</v>
      </c>
      <c r="D515" s="61" t="s">
        <v>2968</v>
      </c>
      <c r="E515" s="61" t="s">
        <v>494</v>
      </c>
      <c r="F515" s="61" t="s">
        <v>2465</v>
      </c>
      <c r="G515" s="61" t="s">
        <v>2466</v>
      </c>
      <c r="H515" s="61" t="s">
        <v>2467</v>
      </c>
      <c r="I515" s="37" t="s">
        <v>2468</v>
      </c>
      <c r="J515" s="37">
        <v>5061</v>
      </c>
      <c r="K515" s="61" t="s">
        <v>2472</v>
      </c>
      <c r="L515" s="61" t="s">
        <v>31</v>
      </c>
      <c r="M515" s="9">
        <v>4</v>
      </c>
      <c r="N515" s="9" t="s">
        <v>29</v>
      </c>
      <c r="O515" s="61" t="s">
        <v>105</v>
      </c>
      <c r="P515" s="61" t="s">
        <v>106</v>
      </c>
      <c r="Q515" s="61" t="s">
        <v>107</v>
      </c>
      <c r="R515" s="61" t="s">
        <v>108</v>
      </c>
      <c r="S515" s="61" t="s">
        <v>174</v>
      </c>
      <c r="T515" s="61" t="s">
        <v>109</v>
      </c>
      <c r="U515" s="61" t="s">
        <v>110</v>
      </c>
      <c r="V515" s="61" t="s">
        <v>297</v>
      </c>
      <c r="W515" s="62">
        <v>40792</v>
      </c>
      <c r="X515" s="37" t="s">
        <v>36</v>
      </c>
      <c r="Y515" s="37">
        <v>0</v>
      </c>
      <c r="Z515" s="37" t="s">
        <v>31</v>
      </c>
      <c r="AA515" s="37" t="s">
        <v>31</v>
      </c>
      <c r="AB515" s="37" t="s">
        <v>513</v>
      </c>
      <c r="AC515" s="61"/>
      <c r="AD515" s="34"/>
      <c r="AE515" s="101" t="s">
        <v>2481</v>
      </c>
      <c r="AF515" s="22"/>
      <c r="AG515" s="36"/>
      <c r="AH515" s="40"/>
      <c r="AI515" s="72">
        <v>44185</v>
      </c>
      <c r="AJ515" s="38" t="s">
        <v>94</v>
      </c>
      <c r="AK515" s="39" t="e">
        <f>VLOOKUP(A515,'[1]Externe MAJ Nov'!$A:$H,8,0)</f>
        <v>#N/A</v>
      </c>
      <c r="AL515" s="61"/>
      <c r="AM515" s="61"/>
      <c r="AN515" s="61"/>
      <c r="AO515" s="58">
        <v>44185</v>
      </c>
      <c r="AP515" s="29" t="e">
        <f>VLOOKUP(A515,'[2]External Scan 02_21'!$B:$J,9,0)</f>
        <v>#N/A</v>
      </c>
      <c r="AQ515" s="29" t="s">
        <v>2481</v>
      </c>
      <c r="AR515" s="21"/>
      <c r="AS515" s="21" t="str">
        <f>VLOOKUP(AE515,'ref statu'!A:B,2,0)</f>
        <v>SI arrêté planification de l intervetion de l'éditeur encours (ExpressWay)</v>
      </c>
      <c r="AT515" s="8" t="e">
        <f>VLOOKUP(A515,chk!A:B,2,0)</f>
        <v>#N/A</v>
      </c>
      <c r="AU515" s="29" t="e">
        <f>VLOOKUP(A515,checker!A:B,2,0)</f>
        <v>#N/A</v>
      </c>
      <c r="AV515" s="29" t="e">
        <f>VLOOKUP(A515,checker!B:C,2,0)</f>
        <v>#N/A</v>
      </c>
    </row>
    <row r="516" spans="1:48" x14ac:dyDescent="0.3">
      <c r="A516" s="29" t="str">
        <f t="shared" si="8"/>
        <v>96.692.66.672/5061/ssl-cve-2016-2183-sweet32</v>
      </c>
      <c r="B516" s="61" t="s">
        <v>3008</v>
      </c>
      <c r="C516" s="61" t="s">
        <v>2464</v>
      </c>
      <c r="D516" s="61" t="s">
        <v>2968</v>
      </c>
      <c r="E516" s="61" t="s">
        <v>494</v>
      </c>
      <c r="F516" s="61" t="s">
        <v>2465</v>
      </c>
      <c r="G516" s="61" t="s">
        <v>2466</v>
      </c>
      <c r="H516" s="61" t="s">
        <v>2467</v>
      </c>
      <c r="I516" s="37" t="s">
        <v>2468</v>
      </c>
      <c r="J516" s="37">
        <v>5061</v>
      </c>
      <c r="K516" s="61" t="s">
        <v>2472</v>
      </c>
      <c r="L516" s="61" t="s">
        <v>31</v>
      </c>
      <c r="M516" s="9">
        <v>5</v>
      </c>
      <c r="N516" s="9" t="s">
        <v>29</v>
      </c>
      <c r="O516" s="61" t="s">
        <v>111</v>
      </c>
      <c r="P516" s="61" t="s">
        <v>112</v>
      </c>
      <c r="Q516" s="61" t="s">
        <v>113</v>
      </c>
      <c r="R516" s="61" t="s">
        <v>103</v>
      </c>
      <c r="S516" s="61" t="s">
        <v>173</v>
      </c>
      <c r="T516" s="61" t="s">
        <v>114</v>
      </c>
      <c r="U516" s="61" t="s">
        <v>71</v>
      </c>
      <c r="V516" s="61" t="s">
        <v>278</v>
      </c>
      <c r="W516" s="62">
        <v>42606</v>
      </c>
      <c r="X516" s="37" t="s">
        <v>36</v>
      </c>
      <c r="Y516" s="37">
        <v>0</v>
      </c>
      <c r="Z516" s="37" t="s">
        <v>31</v>
      </c>
      <c r="AA516" s="37" t="s">
        <v>31</v>
      </c>
      <c r="AB516" s="37" t="s">
        <v>513</v>
      </c>
      <c r="AC516" s="61"/>
      <c r="AD516" s="33"/>
      <c r="AE516" s="101" t="s">
        <v>2481</v>
      </c>
      <c r="AF516" s="22"/>
      <c r="AG516" s="36"/>
      <c r="AH516" s="40"/>
      <c r="AI516" s="72">
        <v>44185</v>
      </c>
      <c r="AJ516" s="38" t="s">
        <v>94</v>
      </c>
      <c r="AK516" s="39" t="e">
        <f>VLOOKUP(A516,'[1]Externe MAJ Nov'!$A:$H,8,0)</f>
        <v>#N/A</v>
      </c>
      <c r="AL516" s="61"/>
      <c r="AM516" s="61"/>
      <c r="AN516" s="61"/>
      <c r="AO516" s="58">
        <v>44185</v>
      </c>
      <c r="AP516" s="29" t="e">
        <f>VLOOKUP(A516,'[2]External Scan 02_21'!$B:$J,9,0)</f>
        <v>#N/A</v>
      </c>
      <c r="AQ516" s="29" t="s">
        <v>2481</v>
      </c>
      <c r="AR516" s="21"/>
      <c r="AS516" s="21" t="str">
        <f>VLOOKUP(AE516,'ref statu'!A:B,2,0)</f>
        <v>SI arrêté planification de l intervetion de l'éditeur encours (ExpressWay)</v>
      </c>
      <c r="AT516" s="8" t="e">
        <f>VLOOKUP(A516,chk!A:B,2,0)</f>
        <v>#N/A</v>
      </c>
      <c r="AU516" s="29" t="e">
        <f>VLOOKUP(A516,checker!A:B,2,0)</f>
        <v>#N/A</v>
      </c>
      <c r="AV516" s="29" t="e">
        <f>VLOOKUP(A516,checker!B:C,2,0)</f>
        <v>#N/A</v>
      </c>
    </row>
    <row r="517" spans="1:48" x14ac:dyDescent="0.3">
      <c r="A517" s="29" t="str">
        <f t="shared" si="8"/>
        <v>96.692.66.672/5061/ssl-static-key-ciphers</v>
      </c>
      <c r="B517" s="61" t="s">
        <v>3008</v>
      </c>
      <c r="C517" s="61" t="s">
        <v>2464</v>
      </c>
      <c r="D517" s="61" t="s">
        <v>2968</v>
      </c>
      <c r="E517" s="61" t="s">
        <v>494</v>
      </c>
      <c r="F517" s="61" t="s">
        <v>2465</v>
      </c>
      <c r="G517" s="61" t="s">
        <v>2466</v>
      </c>
      <c r="H517" s="61" t="s">
        <v>2467</v>
      </c>
      <c r="I517" s="37" t="s">
        <v>2468</v>
      </c>
      <c r="J517" s="37">
        <v>5061</v>
      </c>
      <c r="K517" s="61" t="s">
        <v>2472</v>
      </c>
      <c r="L517" s="61" t="s">
        <v>31</v>
      </c>
      <c r="M517" s="9">
        <v>3</v>
      </c>
      <c r="N517" s="9" t="s">
        <v>42</v>
      </c>
      <c r="O517" s="61" t="s">
        <v>120</v>
      </c>
      <c r="P517" s="61" t="s">
        <v>121</v>
      </c>
      <c r="Q517" s="61" t="s">
        <v>122</v>
      </c>
      <c r="R517" s="61" t="s">
        <v>123</v>
      </c>
      <c r="S517" s="61" t="s">
        <v>175</v>
      </c>
      <c r="T517" s="61" t="s">
        <v>124</v>
      </c>
      <c r="U517" s="61" t="s">
        <v>31</v>
      </c>
      <c r="V517" s="61" t="s">
        <v>31</v>
      </c>
      <c r="W517" s="62">
        <v>42036</v>
      </c>
      <c r="X517" s="37" t="s">
        <v>36</v>
      </c>
      <c r="Y517" s="37">
        <v>0</v>
      </c>
      <c r="Z517" s="37" t="s">
        <v>31</v>
      </c>
      <c r="AA517" s="37" t="s">
        <v>31</v>
      </c>
      <c r="AB517" s="37" t="s">
        <v>513</v>
      </c>
      <c r="AC517" s="61"/>
      <c r="AD517" s="34"/>
      <c r="AE517" s="101" t="s">
        <v>2481</v>
      </c>
      <c r="AF517" s="22"/>
      <c r="AG517" s="36"/>
      <c r="AH517" s="40"/>
      <c r="AI517" s="72">
        <v>44185</v>
      </c>
      <c r="AJ517" s="38" t="s">
        <v>94</v>
      </c>
      <c r="AK517" s="39" t="e">
        <f>VLOOKUP(A517,'[1]Externe MAJ Nov'!$A:$H,8,0)</f>
        <v>#N/A</v>
      </c>
      <c r="AL517" s="61"/>
      <c r="AM517" s="61"/>
      <c r="AN517" s="61"/>
      <c r="AO517" s="58">
        <v>44185</v>
      </c>
      <c r="AP517" s="29" t="e">
        <f>VLOOKUP(A517,'[2]External Scan 02_21'!$B:$J,9,0)</f>
        <v>#N/A</v>
      </c>
      <c r="AQ517" s="29" t="s">
        <v>2481</v>
      </c>
      <c r="AR517" s="21"/>
      <c r="AS517" s="21" t="str">
        <f>VLOOKUP(AE517,'ref statu'!A:B,2,0)</f>
        <v>SI arrêté planification de l intervetion de l'éditeur encours (ExpressWay)</v>
      </c>
      <c r="AT517" s="8" t="e">
        <f>VLOOKUP(A517,chk!A:B,2,0)</f>
        <v>#N/A</v>
      </c>
      <c r="AU517" s="29" t="e">
        <f>VLOOKUP(A517,checker!A:B,2,0)</f>
        <v>#N/A</v>
      </c>
      <c r="AV517" s="29" t="e">
        <f>VLOOKUP(A517,checker!B:C,2,0)</f>
        <v>#N/A</v>
      </c>
    </row>
    <row r="518" spans="1:48" x14ac:dyDescent="0.3">
      <c r="A518" s="29" t="str">
        <f t="shared" si="8"/>
        <v>96.692.66.672/5061/tls-dh-prime-under-2048-bits</v>
      </c>
      <c r="B518" s="61" t="s">
        <v>3008</v>
      </c>
      <c r="C518" s="61" t="s">
        <v>2464</v>
      </c>
      <c r="D518" s="61" t="s">
        <v>2968</v>
      </c>
      <c r="E518" s="61" t="s">
        <v>494</v>
      </c>
      <c r="F518" s="61" t="s">
        <v>2465</v>
      </c>
      <c r="G518" s="61" t="s">
        <v>2466</v>
      </c>
      <c r="H518" s="61" t="s">
        <v>2467</v>
      </c>
      <c r="I518" s="37" t="s">
        <v>2468</v>
      </c>
      <c r="J518" s="37">
        <v>5061</v>
      </c>
      <c r="K518" s="61" t="s">
        <v>2472</v>
      </c>
      <c r="L518" s="61" t="s">
        <v>31</v>
      </c>
      <c r="M518" s="9">
        <v>3</v>
      </c>
      <c r="N518" s="9" t="s">
        <v>42</v>
      </c>
      <c r="O518" s="61" t="s">
        <v>166</v>
      </c>
      <c r="P518" s="61" t="s">
        <v>167</v>
      </c>
      <c r="Q518" s="61" t="s">
        <v>168</v>
      </c>
      <c r="R518" s="61" t="s">
        <v>169</v>
      </c>
      <c r="S518" s="61" t="s">
        <v>176</v>
      </c>
      <c r="T518" s="61" t="s">
        <v>65</v>
      </c>
      <c r="U518" s="61" t="s">
        <v>31</v>
      </c>
      <c r="V518" s="61" t="s">
        <v>31</v>
      </c>
      <c r="W518" s="62">
        <v>42144</v>
      </c>
      <c r="X518" s="37" t="s">
        <v>36</v>
      </c>
      <c r="Y518" s="37">
        <v>0</v>
      </c>
      <c r="Z518" s="37" t="s">
        <v>31</v>
      </c>
      <c r="AA518" s="37" t="s">
        <v>31</v>
      </c>
      <c r="AB518" s="37" t="s">
        <v>513</v>
      </c>
      <c r="AC518" s="61"/>
      <c r="AD518" s="34"/>
      <c r="AE518" s="101" t="s">
        <v>2481</v>
      </c>
      <c r="AF518" s="22"/>
      <c r="AG518" s="36"/>
      <c r="AH518" s="40"/>
      <c r="AI518" s="72">
        <v>44185</v>
      </c>
      <c r="AJ518" s="38" t="s">
        <v>94</v>
      </c>
      <c r="AK518" s="39" t="e">
        <f>VLOOKUP(A518,'[1]Externe MAJ Nov'!$A:$H,8,0)</f>
        <v>#N/A</v>
      </c>
      <c r="AL518" s="61"/>
      <c r="AM518" s="61"/>
      <c r="AN518" s="61"/>
      <c r="AO518" s="58">
        <v>44185</v>
      </c>
      <c r="AP518" s="29" t="e">
        <f>VLOOKUP(A518,'[2]External Scan 02_21'!$B:$J,9,0)</f>
        <v>#N/A</v>
      </c>
      <c r="AQ518" s="29" t="s">
        <v>2481</v>
      </c>
      <c r="AR518" s="21"/>
      <c r="AS518" s="21" t="str">
        <f>VLOOKUP(AE518,'ref statu'!A:B,2,0)</f>
        <v>SI arrêté planification de l intervetion de l'éditeur encours (ExpressWay)</v>
      </c>
      <c r="AT518" s="8" t="e">
        <f>VLOOKUP(A518,chk!A:B,2,0)</f>
        <v>#N/A</v>
      </c>
      <c r="AU518" s="29" t="e">
        <f>VLOOKUP(A518,checker!A:B,2,0)</f>
        <v>#N/A</v>
      </c>
      <c r="AV518" s="29" t="e">
        <f>VLOOKUP(A518,checker!B:C,2,0)</f>
        <v>#N/A</v>
      </c>
    </row>
    <row r="519" spans="1:48" x14ac:dyDescent="0.3">
      <c r="A519" s="29" t="str">
        <f t="shared" si="8"/>
        <v>96.692.66.672/5061/tls-untrusted-ca</v>
      </c>
      <c r="B519" s="61" t="s">
        <v>3008</v>
      </c>
      <c r="C519" s="61" t="s">
        <v>2464</v>
      </c>
      <c r="D519" s="61" t="s">
        <v>2968</v>
      </c>
      <c r="E519" s="61" t="s">
        <v>494</v>
      </c>
      <c r="F519" s="61" t="s">
        <v>2465</v>
      </c>
      <c r="G519" s="61" t="s">
        <v>2466</v>
      </c>
      <c r="H519" s="61" t="s">
        <v>2467</v>
      </c>
      <c r="I519" s="37" t="s">
        <v>2468</v>
      </c>
      <c r="J519" s="37">
        <v>5061</v>
      </c>
      <c r="K519" s="61" t="s">
        <v>2472</v>
      </c>
      <c r="L519" s="61" t="s">
        <v>31</v>
      </c>
      <c r="M519" s="9">
        <v>6</v>
      </c>
      <c r="N519" s="9" t="s">
        <v>29</v>
      </c>
      <c r="O519" s="61" t="s">
        <v>131</v>
      </c>
      <c r="P519" s="61" t="s">
        <v>132</v>
      </c>
      <c r="Q519" s="61" t="s">
        <v>133</v>
      </c>
      <c r="R519" s="61" t="s">
        <v>134</v>
      </c>
      <c r="S519" s="61" t="s">
        <v>2471</v>
      </c>
      <c r="T519" s="61" t="s">
        <v>135</v>
      </c>
      <c r="U519" s="61" t="s">
        <v>31</v>
      </c>
      <c r="V519" s="61" t="s">
        <v>31</v>
      </c>
      <c r="W519" s="62">
        <v>34700</v>
      </c>
      <c r="X519" s="37" t="s">
        <v>36</v>
      </c>
      <c r="Y519" s="37">
        <v>0</v>
      </c>
      <c r="Z519" s="37" t="s">
        <v>31</v>
      </c>
      <c r="AA519" s="37" t="s">
        <v>31</v>
      </c>
      <c r="AB519" s="37" t="s">
        <v>513</v>
      </c>
      <c r="AC519" s="61"/>
      <c r="AD519" s="33"/>
      <c r="AE519" s="101" t="s">
        <v>2481</v>
      </c>
      <c r="AF519" s="22"/>
      <c r="AG519" s="36"/>
      <c r="AH519" s="40"/>
      <c r="AI519" s="72">
        <v>44185</v>
      </c>
      <c r="AJ519" s="38" t="s">
        <v>94</v>
      </c>
      <c r="AK519" s="39" t="e">
        <f>VLOOKUP(A519,'[1]Externe MAJ Nov'!$A:$H,8,0)</f>
        <v>#N/A</v>
      </c>
      <c r="AL519" s="61"/>
      <c r="AM519" s="61"/>
      <c r="AN519" s="61"/>
      <c r="AO519" s="58">
        <v>44185</v>
      </c>
      <c r="AP519" s="29" t="e">
        <f>VLOOKUP(A519,'[2]External Scan 02_21'!$B:$J,9,0)</f>
        <v>#N/A</v>
      </c>
      <c r="AQ519" s="29" t="s">
        <v>2481</v>
      </c>
      <c r="AR519" s="21"/>
      <c r="AS519" s="21" t="str">
        <f>VLOOKUP(AE519,'ref statu'!A:B,2,0)</f>
        <v>SI arrêté planification de l intervetion de l'éditeur encours (ExpressWay)</v>
      </c>
      <c r="AT519" s="8" t="e">
        <f>VLOOKUP(A519,chk!A:B,2,0)</f>
        <v>#N/A</v>
      </c>
      <c r="AU519" s="29" t="e">
        <f>VLOOKUP(A519,checker!A:B,2,0)</f>
        <v>#N/A</v>
      </c>
      <c r="AV519" s="29" t="e">
        <f>VLOOKUP(A519,checker!B:C,2,0)</f>
        <v>#N/A</v>
      </c>
    </row>
    <row r="520" spans="1:48" x14ac:dyDescent="0.3">
      <c r="A520" s="29" t="str">
        <f t="shared" si="8"/>
        <v>96.692.66.672/5061/tlsv1_0-enabled</v>
      </c>
      <c r="B520" s="61" t="s">
        <v>3008</v>
      </c>
      <c r="C520" s="61" t="s">
        <v>2464</v>
      </c>
      <c r="D520" s="61" t="s">
        <v>2968</v>
      </c>
      <c r="E520" s="61" t="s">
        <v>494</v>
      </c>
      <c r="F520" s="61" t="s">
        <v>2465</v>
      </c>
      <c r="G520" s="61" t="s">
        <v>2466</v>
      </c>
      <c r="H520" s="61" t="s">
        <v>2467</v>
      </c>
      <c r="I520" s="37" t="s">
        <v>2468</v>
      </c>
      <c r="J520" s="37">
        <v>5061</v>
      </c>
      <c r="K520" s="61" t="s">
        <v>2472</v>
      </c>
      <c r="L520" s="61" t="s">
        <v>31</v>
      </c>
      <c r="M520" s="9">
        <v>4</v>
      </c>
      <c r="N520" s="9" t="s">
        <v>29</v>
      </c>
      <c r="O520" s="61" t="s">
        <v>136</v>
      </c>
      <c r="P520" s="61" t="s">
        <v>137</v>
      </c>
      <c r="Q520" s="61" t="s">
        <v>138</v>
      </c>
      <c r="R520" s="61" t="s">
        <v>139</v>
      </c>
      <c r="S520" s="61" t="s">
        <v>140</v>
      </c>
      <c r="T520" s="61" t="s">
        <v>141</v>
      </c>
      <c r="U520" s="61" t="s">
        <v>31</v>
      </c>
      <c r="V520" s="61" t="s">
        <v>31</v>
      </c>
      <c r="W520" s="62">
        <v>41926</v>
      </c>
      <c r="X520" s="37" t="s">
        <v>36</v>
      </c>
      <c r="Y520" s="37">
        <v>0</v>
      </c>
      <c r="Z520" s="37" t="s">
        <v>31</v>
      </c>
      <c r="AA520" s="37" t="s">
        <v>31</v>
      </c>
      <c r="AB520" s="37" t="s">
        <v>513</v>
      </c>
      <c r="AC520" s="61"/>
      <c r="AD520" s="34"/>
      <c r="AE520" s="101" t="s">
        <v>2481</v>
      </c>
      <c r="AF520" s="22"/>
      <c r="AG520" s="36"/>
      <c r="AH520" s="40"/>
      <c r="AI520" s="72">
        <v>44185</v>
      </c>
      <c r="AJ520" s="38" t="s">
        <v>94</v>
      </c>
      <c r="AK520" s="39" t="e">
        <f>VLOOKUP(A520,'[1]Externe MAJ Nov'!$A:$H,8,0)</f>
        <v>#N/A</v>
      </c>
      <c r="AL520" s="61"/>
      <c r="AM520" s="61"/>
      <c r="AN520" s="61"/>
      <c r="AO520" s="58">
        <v>44185</v>
      </c>
      <c r="AP520" s="29" t="e">
        <f>VLOOKUP(A520,'[2]External Scan 02_21'!$B:$J,9,0)</f>
        <v>#N/A</v>
      </c>
      <c r="AQ520" s="29" t="s">
        <v>2481</v>
      </c>
      <c r="AR520" s="21"/>
      <c r="AS520" s="21" t="str">
        <f>VLOOKUP(AE520,'ref statu'!A:B,2,0)</f>
        <v>SI arrêté planification de l intervetion de l'éditeur encours (ExpressWay)</v>
      </c>
      <c r="AT520" s="8" t="e">
        <f>VLOOKUP(A520,chk!A:B,2,0)</f>
        <v>#N/A</v>
      </c>
      <c r="AU520" s="29" t="e">
        <f>VLOOKUP(A520,checker!A:B,2,0)</f>
        <v>#N/A</v>
      </c>
      <c r="AV520" s="29" t="e">
        <f>VLOOKUP(A520,checker!B:C,2,0)</f>
        <v>#N/A</v>
      </c>
    </row>
    <row r="521" spans="1:48" x14ac:dyDescent="0.3">
      <c r="A521" s="29" t="str">
        <f t="shared" si="8"/>
        <v>96.692.66.672/5061/tlsv1_1-enabled</v>
      </c>
      <c r="B521" s="61" t="s">
        <v>3008</v>
      </c>
      <c r="C521" s="61" t="s">
        <v>2464</v>
      </c>
      <c r="D521" s="61" t="s">
        <v>2968</v>
      </c>
      <c r="E521" s="61" t="s">
        <v>494</v>
      </c>
      <c r="F521" s="61" t="s">
        <v>2465</v>
      </c>
      <c r="G521" s="61" t="s">
        <v>2466</v>
      </c>
      <c r="H521" s="61" t="s">
        <v>2467</v>
      </c>
      <c r="I521" s="37" t="s">
        <v>2468</v>
      </c>
      <c r="J521" s="37">
        <v>5061</v>
      </c>
      <c r="K521" s="61" t="s">
        <v>2472</v>
      </c>
      <c r="L521" s="61" t="s">
        <v>31</v>
      </c>
      <c r="M521" s="9">
        <v>3</v>
      </c>
      <c r="N521" s="9" t="s">
        <v>42</v>
      </c>
      <c r="O521" s="61" t="s">
        <v>142</v>
      </c>
      <c r="P521" s="61" t="s">
        <v>143</v>
      </c>
      <c r="Q521" s="61" t="s">
        <v>138</v>
      </c>
      <c r="R521" s="61" t="s">
        <v>139</v>
      </c>
      <c r="S521" s="61" t="s">
        <v>144</v>
      </c>
      <c r="T521" s="61" t="s">
        <v>141</v>
      </c>
      <c r="U521" s="61" t="s">
        <v>31</v>
      </c>
      <c r="V521" s="61" t="s">
        <v>31</v>
      </c>
      <c r="W521" s="62">
        <v>41926</v>
      </c>
      <c r="X521" s="37" t="s">
        <v>36</v>
      </c>
      <c r="Y521" s="37">
        <v>0</v>
      </c>
      <c r="Z521" s="37" t="s">
        <v>31</v>
      </c>
      <c r="AA521" s="37" t="s">
        <v>31</v>
      </c>
      <c r="AB521" s="37" t="s">
        <v>513</v>
      </c>
      <c r="AC521" s="61"/>
      <c r="AD521" s="34"/>
      <c r="AE521" s="101" t="s">
        <v>2481</v>
      </c>
      <c r="AF521" s="22"/>
      <c r="AG521" s="36"/>
      <c r="AH521" s="40"/>
      <c r="AI521" s="72">
        <v>44185</v>
      </c>
      <c r="AJ521" s="38" t="s">
        <v>94</v>
      </c>
      <c r="AK521" s="39" t="e">
        <f>VLOOKUP(A521,'[1]Externe MAJ Nov'!$A:$H,8,0)</f>
        <v>#N/A</v>
      </c>
      <c r="AL521" s="61"/>
      <c r="AM521" s="61"/>
      <c r="AN521" s="61"/>
      <c r="AO521" s="58">
        <v>44185</v>
      </c>
      <c r="AP521" s="29" t="e">
        <f>VLOOKUP(A521,'[2]External Scan 02_21'!$B:$J,9,0)</f>
        <v>#N/A</v>
      </c>
      <c r="AQ521" s="29" t="s">
        <v>2481</v>
      </c>
      <c r="AR521" s="21"/>
      <c r="AS521" s="21" t="str">
        <f>VLOOKUP(AE521,'ref statu'!A:B,2,0)</f>
        <v>SI arrêté planification de l intervetion de l'éditeur encours (ExpressWay)</v>
      </c>
      <c r="AT521" s="8" t="e">
        <f>VLOOKUP(A521,chk!A:B,2,0)</f>
        <v>#N/A</v>
      </c>
      <c r="AU521" s="29" t="e">
        <f>VLOOKUP(A521,checker!A:B,2,0)</f>
        <v>#N/A</v>
      </c>
      <c r="AV521" s="29" t="e">
        <f>VLOOKUP(A521,checker!B:C,2,0)</f>
        <v>#N/A</v>
      </c>
    </row>
    <row r="522" spans="1:48" x14ac:dyDescent="0.3">
      <c r="A522" s="29" t="str">
        <f t="shared" si="8"/>
        <v>96.692.66.672/7001/ssl-3des-ciphers</v>
      </c>
      <c r="B522" s="61" t="s">
        <v>3008</v>
      </c>
      <c r="C522" s="61" t="s">
        <v>2464</v>
      </c>
      <c r="D522" s="61" t="s">
        <v>2968</v>
      </c>
      <c r="E522" s="61" t="s">
        <v>494</v>
      </c>
      <c r="F522" s="61" t="s">
        <v>2465</v>
      </c>
      <c r="G522" s="61" t="s">
        <v>2466</v>
      </c>
      <c r="H522" s="61" t="s">
        <v>2467</v>
      </c>
      <c r="I522" s="37" t="s">
        <v>2468</v>
      </c>
      <c r="J522" s="37">
        <v>7001</v>
      </c>
      <c r="K522" s="61" t="s">
        <v>2473</v>
      </c>
      <c r="L522" s="61" t="s">
        <v>31</v>
      </c>
      <c r="M522" s="9">
        <v>1</v>
      </c>
      <c r="N522" s="9" t="s">
        <v>42</v>
      </c>
      <c r="O522" s="61" t="s">
        <v>100</v>
      </c>
      <c r="P522" s="61" t="s">
        <v>101</v>
      </c>
      <c r="Q522" s="61" t="s">
        <v>102</v>
      </c>
      <c r="R522" s="61" t="s">
        <v>103</v>
      </c>
      <c r="S522" s="61" t="s">
        <v>173</v>
      </c>
      <c r="T522" s="61" t="s">
        <v>104</v>
      </c>
      <c r="U522" s="61" t="s">
        <v>31</v>
      </c>
      <c r="V522" s="61" t="s">
        <v>31</v>
      </c>
      <c r="W522" s="62">
        <v>39845</v>
      </c>
      <c r="X522" s="37" t="s">
        <v>36</v>
      </c>
      <c r="Y522" s="37">
        <v>0</v>
      </c>
      <c r="Z522" s="37" t="s">
        <v>31</v>
      </c>
      <c r="AA522" s="37" t="s">
        <v>31</v>
      </c>
      <c r="AB522" s="37" t="s">
        <v>513</v>
      </c>
      <c r="AC522" s="61"/>
      <c r="AD522" s="33"/>
      <c r="AE522" s="101" t="s">
        <v>2481</v>
      </c>
      <c r="AF522" s="22"/>
      <c r="AG522" s="36"/>
      <c r="AH522" s="40"/>
      <c r="AI522" s="72">
        <v>44185</v>
      </c>
      <c r="AJ522" s="38" t="s">
        <v>94</v>
      </c>
      <c r="AK522" s="39" t="e">
        <f>VLOOKUP(A522,'[1]Externe MAJ Nov'!$A:$H,8,0)</f>
        <v>#N/A</v>
      </c>
      <c r="AL522" s="61"/>
      <c r="AM522" s="61"/>
      <c r="AN522" s="61"/>
      <c r="AO522" s="58">
        <v>44185</v>
      </c>
      <c r="AP522" s="29" t="e">
        <f>VLOOKUP(A522,'[2]External Scan 02_21'!$B:$J,9,0)</f>
        <v>#N/A</v>
      </c>
      <c r="AQ522" s="29" t="s">
        <v>2481</v>
      </c>
      <c r="AR522" s="21"/>
      <c r="AS522" s="21" t="str">
        <f>VLOOKUP(AE522,'ref statu'!A:B,2,0)</f>
        <v>SI arrêté planification de l intervetion de l'éditeur encours (ExpressWay)</v>
      </c>
      <c r="AT522" s="8" t="e">
        <f>VLOOKUP(A522,chk!A:B,2,0)</f>
        <v>#N/A</v>
      </c>
      <c r="AU522" s="29" t="e">
        <f>VLOOKUP(A522,checker!A:B,2,0)</f>
        <v>#N/A</v>
      </c>
      <c r="AV522" s="29" t="e">
        <f>VLOOKUP(A522,checker!B:C,2,0)</f>
        <v>#N/A</v>
      </c>
    </row>
    <row r="523" spans="1:48" x14ac:dyDescent="0.3">
      <c r="A523" s="29" t="str">
        <f t="shared" si="8"/>
        <v>96.692.66.672/7001/ssl-cve-2011-3389-beast</v>
      </c>
      <c r="B523" s="61" t="s">
        <v>3008</v>
      </c>
      <c r="C523" s="61" t="s">
        <v>2464</v>
      </c>
      <c r="D523" s="61" t="s">
        <v>2968</v>
      </c>
      <c r="E523" s="61" t="s">
        <v>494</v>
      </c>
      <c r="F523" s="61" t="s">
        <v>2465</v>
      </c>
      <c r="G523" s="61" t="s">
        <v>2466</v>
      </c>
      <c r="H523" s="61" t="s">
        <v>2467</v>
      </c>
      <c r="I523" s="37" t="s">
        <v>2468</v>
      </c>
      <c r="J523" s="37">
        <v>7001</v>
      </c>
      <c r="K523" s="61" t="s">
        <v>2473</v>
      </c>
      <c r="L523" s="61" t="s">
        <v>31</v>
      </c>
      <c r="M523" s="9">
        <v>4</v>
      </c>
      <c r="N523" s="9" t="s">
        <v>29</v>
      </c>
      <c r="O523" s="61" t="s">
        <v>105</v>
      </c>
      <c r="P523" s="61" t="s">
        <v>106</v>
      </c>
      <c r="Q523" s="61" t="s">
        <v>107</v>
      </c>
      <c r="R523" s="61" t="s">
        <v>108</v>
      </c>
      <c r="S523" s="61" t="s">
        <v>174</v>
      </c>
      <c r="T523" s="61" t="s">
        <v>109</v>
      </c>
      <c r="U523" s="61" t="s">
        <v>110</v>
      </c>
      <c r="V523" s="61" t="s">
        <v>297</v>
      </c>
      <c r="W523" s="62">
        <v>40792</v>
      </c>
      <c r="X523" s="37" t="s">
        <v>36</v>
      </c>
      <c r="Y523" s="37">
        <v>0</v>
      </c>
      <c r="Z523" s="37" t="s">
        <v>31</v>
      </c>
      <c r="AA523" s="37" t="s">
        <v>31</v>
      </c>
      <c r="AB523" s="37" t="s">
        <v>513</v>
      </c>
      <c r="AC523" s="61"/>
      <c r="AD523" s="34"/>
      <c r="AE523" s="101" t="s">
        <v>2481</v>
      </c>
      <c r="AF523" s="22"/>
      <c r="AG523" s="36"/>
      <c r="AH523" s="40"/>
      <c r="AI523" s="72">
        <v>44185</v>
      </c>
      <c r="AJ523" s="38" t="s">
        <v>94</v>
      </c>
      <c r="AK523" s="39" t="e">
        <f>VLOOKUP(A523,'[1]Externe MAJ Nov'!$A:$H,8,0)</f>
        <v>#N/A</v>
      </c>
      <c r="AL523" s="61"/>
      <c r="AM523" s="61"/>
      <c r="AN523" s="61"/>
      <c r="AO523" s="58">
        <v>44185</v>
      </c>
      <c r="AP523" s="29" t="e">
        <f>VLOOKUP(A523,'[2]External Scan 02_21'!$B:$J,9,0)</f>
        <v>#N/A</v>
      </c>
      <c r="AQ523" s="29" t="s">
        <v>2481</v>
      </c>
      <c r="AR523" s="21"/>
      <c r="AS523" s="21" t="str">
        <f>VLOOKUP(AE523,'ref statu'!A:B,2,0)</f>
        <v>SI arrêté planification de l intervetion de l'éditeur encours (ExpressWay)</v>
      </c>
      <c r="AT523" s="8" t="e">
        <f>VLOOKUP(A523,chk!A:B,2,0)</f>
        <v>#N/A</v>
      </c>
      <c r="AU523" s="29" t="e">
        <f>VLOOKUP(A523,checker!A:B,2,0)</f>
        <v>#N/A</v>
      </c>
      <c r="AV523" s="29" t="e">
        <f>VLOOKUP(A523,checker!B:C,2,0)</f>
        <v>#N/A</v>
      </c>
    </row>
    <row r="524" spans="1:48" x14ac:dyDescent="0.3">
      <c r="A524" s="29" t="str">
        <f t="shared" si="8"/>
        <v>96.692.66.672/7001/ssl-cve-2016-2183-sweet32</v>
      </c>
      <c r="B524" s="61" t="s">
        <v>3008</v>
      </c>
      <c r="C524" s="61" t="s">
        <v>2464</v>
      </c>
      <c r="D524" s="61" t="s">
        <v>2968</v>
      </c>
      <c r="E524" s="61" t="s">
        <v>494</v>
      </c>
      <c r="F524" s="61" t="s">
        <v>2465</v>
      </c>
      <c r="G524" s="61" t="s">
        <v>2466</v>
      </c>
      <c r="H524" s="61" t="s">
        <v>2467</v>
      </c>
      <c r="I524" s="37" t="s">
        <v>2468</v>
      </c>
      <c r="J524" s="37">
        <v>7001</v>
      </c>
      <c r="K524" s="61" t="s">
        <v>2473</v>
      </c>
      <c r="L524" s="61" t="s">
        <v>31</v>
      </c>
      <c r="M524" s="9">
        <v>5</v>
      </c>
      <c r="N524" s="9" t="s">
        <v>29</v>
      </c>
      <c r="O524" s="61" t="s">
        <v>111</v>
      </c>
      <c r="P524" s="61" t="s">
        <v>112</v>
      </c>
      <c r="Q524" s="61" t="s">
        <v>113</v>
      </c>
      <c r="R524" s="61" t="s">
        <v>103</v>
      </c>
      <c r="S524" s="61" t="s">
        <v>173</v>
      </c>
      <c r="T524" s="61" t="s">
        <v>114</v>
      </c>
      <c r="U524" s="61" t="s">
        <v>71</v>
      </c>
      <c r="V524" s="61" t="s">
        <v>278</v>
      </c>
      <c r="W524" s="62">
        <v>42606</v>
      </c>
      <c r="X524" s="37" t="s">
        <v>36</v>
      </c>
      <c r="Y524" s="37">
        <v>0</v>
      </c>
      <c r="Z524" s="37" t="s">
        <v>31</v>
      </c>
      <c r="AA524" s="37" t="s">
        <v>31</v>
      </c>
      <c r="AB524" s="37" t="s">
        <v>513</v>
      </c>
      <c r="AC524" s="61"/>
      <c r="AD524" s="34"/>
      <c r="AE524" s="101" t="s">
        <v>2481</v>
      </c>
      <c r="AF524" s="22"/>
      <c r="AG524" s="36"/>
      <c r="AH524" s="40"/>
      <c r="AI524" s="72">
        <v>44185</v>
      </c>
      <c r="AJ524" s="38" t="s">
        <v>94</v>
      </c>
      <c r="AK524" s="39" t="e">
        <f>VLOOKUP(A524,'[1]Externe MAJ Nov'!$A:$H,8,0)</f>
        <v>#N/A</v>
      </c>
      <c r="AL524" s="61"/>
      <c r="AM524" s="61"/>
      <c r="AN524" s="61"/>
      <c r="AO524" s="58">
        <v>44185</v>
      </c>
      <c r="AP524" s="29" t="e">
        <f>VLOOKUP(A524,'[2]External Scan 02_21'!$B:$J,9,0)</f>
        <v>#N/A</v>
      </c>
      <c r="AQ524" s="29" t="s">
        <v>2481</v>
      </c>
      <c r="AR524" s="21"/>
      <c r="AS524" s="21" t="str">
        <f>VLOOKUP(AE524,'ref statu'!A:B,2,0)</f>
        <v>SI arrêté planification de l intervetion de l'éditeur encours (ExpressWay)</v>
      </c>
      <c r="AT524" s="8" t="e">
        <f>VLOOKUP(A524,chk!A:B,2,0)</f>
        <v>#N/A</v>
      </c>
      <c r="AU524" s="29" t="e">
        <f>VLOOKUP(A524,checker!A:B,2,0)</f>
        <v>#N/A</v>
      </c>
      <c r="AV524" s="29" t="e">
        <f>VLOOKUP(A524,checker!B:C,2,0)</f>
        <v>#N/A</v>
      </c>
    </row>
    <row r="525" spans="1:48" x14ac:dyDescent="0.3">
      <c r="A525" s="29" t="str">
        <f t="shared" si="8"/>
        <v>96.692.66.672/7001/ssl-static-key-ciphers</v>
      </c>
      <c r="B525" s="61" t="s">
        <v>3008</v>
      </c>
      <c r="C525" s="61" t="s">
        <v>2464</v>
      </c>
      <c r="D525" s="61" t="s">
        <v>2968</v>
      </c>
      <c r="E525" s="61" t="s">
        <v>494</v>
      </c>
      <c r="F525" s="61" t="s">
        <v>2465</v>
      </c>
      <c r="G525" s="61" t="s">
        <v>2466</v>
      </c>
      <c r="H525" s="61" t="s">
        <v>2467</v>
      </c>
      <c r="I525" s="37" t="s">
        <v>2468</v>
      </c>
      <c r="J525" s="37">
        <v>7001</v>
      </c>
      <c r="K525" s="61" t="s">
        <v>2473</v>
      </c>
      <c r="L525" s="61" t="s">
        <v>31</v>
      </c>
      <c r="M525" s="9">
        <v>3</v>
      </c>
      <c r="N525" s="9" t="s">
        <v>42</v>
      </c>
      <c r="O525" s="61" t="s">
        <v>120</v>
      </c>
      <c r="P525" s="61" t="s">
        <v>121</v>
      </c>
      <c r="Q525" s="61" t="s">
        <v>122</v>
      </c>
      <c r="R525" s="61" t="s">
        <v>123</v>
      </c>
      <c r="S525" s="61" t="s">
        <v>175</v>
      </c>
      <c r="T525" s="61" t="s">
        <v>124</v>
      </c>
      <c r="U525" s="61" t="s">
        <v>31</v>
      </c>
      <c r="V525" s="61" t="s">
        <v>31</v>
      </c>
      <c r="W525" s="62">
        <v>42036</v>
      </c>
      <c r="X525" s="37" t="s">
        <v>36</v>
      </c>
      <c r="Y525" s="37">
        <v>0</v>
      </c>
      <c r="Z525" s="37" t="s">
        <v>31</v>
      </c>
      <c r="AA525" s="37" t="s">
        <v>31</v>
      </c>
      <c r="AB525" s="37" t="s">
        <v>513</v>
      </c>
      <c r="AC525" s="61"/>
      <c r="AD525" s="33"/>
      <c r="AE525" s="101" t="s">
        <v>2481</v>
      </c>
      <c r="AF525" s="22"/>
      <c r="AG525" s="36"/>
      <c r="AH525" s="40"/>
      <c r="AI525" s="72">
        <v>44185</v>
      </c>
      <c r="AJ525" s="38" t="s">
        <v>94</v>
      </c>
      <c r="AK525" s="39" t="e">
        <f>VLOOKUP(A525,'[1]Externe MAJ Nov'!$A:$H,8,0)</f>
        <v>#N/A</v>
      </c>
      <c r="AL525" s="61"/>
      <c r="AM525" s="61"/>
      <c r="AN525" s="61"/>
      <c r="AO525" s="58">
        <v>44185</v>
      </c>
      <c r="AP525" s="29" t="e">
        <f>VLOOKUP(A525,'[2]External Scan 02_21'!$B:$J,9,0)</f>
        <v>#N/A</v>
      </c>
      <c r="AQ525" s="29" t="s">
        <v>2481</v>
      </c>
      <c r="AR525" s="21"/>
      <c r="AS525" s="21" t="str">
        <f>VLOOKUP(AE525,'ref statu'!A:B,2,0)</f>
        <v>SI arrêté planification de l intervetion de l'éditeur encours (ExpressWay)</v>
      </c>
      <c r="AT525" s="8" t="e">
        <f>VLOOKUP(A525,chk!A:B,2,0)</f>
        <v>#N/A</v>
      </c>
      <c r="AU525" s="29" t="e">
        <f>VLOOKUP(A525,checker!A:B,2,0)</f>
        <v>#N/A</v>
      </c>
      <c r="AV525" s="29" t="e">
        <f>VLOOKUP(A525,checker!B:C,2,0)</f>
        <v>#N/A</v>
      </c>
    </row>
    <row r="526" spans="1:48" x14ac:dyDescent="0.3">
      <c r="A526" s="29" t="str">
        <f t="shared" si="8"/>
        <v>96.692.66.672/7001/tls-dh-prime-under-2048-bits</v>
      </c>
      <c r="B526" s="61" t="s">
        <v>3008</v>
      </c>
      <c r="C526" s="61" t="s">
        <v>2464</v>
      </c>
      <c r="D526" s="61" t="s">
        <v>2968</v>
      </c>
      <c r="E526" s="61" t="s">
        <v>494</v>
      </c>
      <c r="F526" s="61" t="s">
        <v>2465</v>
      </c>
      <c r="G526" s="61" t="s">
        <v>2466</v>
      </c>
      <c r="H526" s="61" t="s">
        <v>2467</v>
      </c>
      <c r="I526" s="37" t="s">
        <v>2468</v>
      </c>
      <c r="J526" s="37">
        <v>7001</v>
      </c>
      <c r="K526" s="61" t="s">
        <v>2473</v>
      </c>
      <c r="L526" s="61" t="s">
        <v>31</v>
      </c>
      <c r="M526" s="9">
        <v>3</v>
      </c>
      <c r="N526" s="9" t="s">
        <v>42</v>
      </c>
      <c r="O526" s="61" t="s">
        <v>166</v>
      </c>
      <c r="P526" s="61" t="s">
        <v>167</v>
      </c>
      <c r="Q526" s="61" t="s">
        <v>168</v>
      </c>
      <c r="R526" s="61" t="s">
        <v>169</v>
      </c>
      <c r="S526" s="61" t="s">
        <v>176</v>
      </c>
      <c r="T526" s="61" t="s">
        <v>65</v>
      </c>
      <c r="U526" s="61" t="s">
        <v>31</v>
      </c>
      <c r="V526" s="61" t="s">
        <v>31</v>
      </c>
      <c r="W526" s="62">
        <v>42144</v>
      </c>
      <c r="X526" s="37" t="s">
        <v>36</v>
      </c>
      <c r="Y526" s="37">
        <v>0</v>
      </c>
      <c r="Z526" s="37" t="s">
        <v>31</v>
      </c>
      <c r="AA526" s="37" t="s">
        <v>31</v>
      </c>
      <c r="AB526" s="37" t="s">
        <v>513</v>
      </c>
      <c r="AC526" s="61"/>
      <c r="AD526" s="34"/>
      <c r="AE526" s="101" t="s">
        <v>2481</v>
      </c>
      <c r="AF526" s="22"/>
      <c r="AG526" s="36"/>
      <c r="AH526" s="40"/>
      <c r="AI526" s="72">
        <v>44185</v>
      </c>
      <c r="AJ526" s="38" t="s">
        <v>94</v>
      </c>
      <c r="AK526" s="39" t="e">
        <f>VLOOKUP(A526,'[1]Externe MAJ Nov'!$A:$H,8,0)</f>
        <v>#N/A</v>
      </c>
      <c r="AL526" s="61"/>
      <c r="AM526" s="61"/>
      <c r="AN526" s="61"/>
      <c r="AO526" s="58">
        <v>44185</v>
      </c>
      <c r="AP526" s="29" t="e">
        <f>VLOOKUP(A526,'[2]External Scan 02_21'!$B:$J,9,0)</f>
        <v>#N/A</v>
      </c>
      <c r="AQ526" s="29" t="s">
        <v>2481</v>
      </c>
      <c r="AR526" s="21"/>
      <c r="AS526" s="21" t="str">
        <f>VLOOKUP(AE526,'ref statu'!A:B,2,0)</f>
        <v>SI arrêté planification de l intervetion de l'éditeur encours (ExpressWay)</v>
      </c>
      <c r="AT526" s="8" t="e">
        <f>VLOOKUP(A526,chk!A:B,2,0)</f>
        <v>#N/A</v>
      </c>
      <c r="AU526" s="29" t="e">
        <f>VLOOKUP(A526,checker!A:B,2,0)</f>
        <v>#N/A</v>
      </c>
      <c r="AV526" s="29" t="e">
        <f>VLOOKUP(A526,checker!B:C,2,0)</f>
        <v>#N/A</v>
      </c>
    </row>
    <row r="527" spans="1:48" x14ac:dyDescent="0.3">
      <c r="A527" s="29" t="str">
        <f t="shared" si="8"/>
        <v>96.692.66.672/7001/tlsv1_0-enabled</v>
      </c>
      <c r="B527" s="61" t="s">
        <v>3008</v>
      </c>
      <c r="C527" s="61" t="s">
        <v>2464</v>
      </c>
      <c r="D527" s="61" t="s">
        <v>2968</v>
      </c>
      <c r="E527" s="61" t="s">
        <v>494</v>
      </c>
      <c r="F527" s="61" t="s">
        <v>2465</v>
      </c>
      <c r="G527" s="61" t="s">
        <v>2466</v>
      </c>
      <c r="H527" s="61" t="s">
        <v>2467</v>
      </c>
      <c r="I527" s="37" t="s">
        <v>2468</v>
      </c>
      <c r="J527" s="37">
        <v>7001</v>
      </c>
      <c r="K527" s="61" t="s">
        <v>2473</v>
      </c>
      <c r="L527" s="61" t="s">
        <v>31</v>
      </c>
      <c r="M527" s="9">
        <v>4</v>
      </c>
      <c r="N527" s="9" t="s">
        <v>29</v>
      </c>
      <c r="O527" s="61" t="s">
        <v>136</v>
      </c>
      <c r="P527" s="61" t="s">
        <v>137</v>
      </c>
      <c r="Q527" s="61" t="s">
        <v>138</v>
      </c>
      <c r="R527" s="61" t="s">
        <v>139</v>
      </c>
      <c r="S527" s="61" t="s">
        <v>140</v>
      </c>
      <c r="T527" s="61" t="s">
        <v>141</v>
      </c>
      <c r="U527" s="61" t="s">
        <v>31</v>
      </c>
      <c r="V527" s="61" t="s">
        <v>31</v>
      </c>
      <c r="W527" s="62">
        <v>41926</v>
      </c>
      <c r="X527" s="37" t="s">
        <v>36</v>
      </c>
      <c r="Y527" s="37">
        <v>0</v>
      </c>
      <c r="Z527" s="37" t="s">
        <v>31</v>
      </c>
      <c r="AA527" s="37" t="s">
        <v>31</v>
      </c>
      <c r="AB527" s="37" t="s">
        <v>513</v>
      </c>
      <c r="AC527" s="61"/>
      <c r="AD527" s="34"/>
      <c r="AE527" s="101" t="s">
        <v>2481</v>
      </c>
      <c r="AF527" s="22"/>
      <c r="AG527" s="36"/>
      <c r="AH527" s="40"/>
      <c r="AI527" s="72">
        <v>44185</v>
      </c>
      <c r="AJ527" s="38" t="s">
        <v>94</v>
      </c>
      <c r="AK527" s="39" t="e">
        <f>VLOOKUP(A527,'[1]Externe MAJ Nov'!$A:$H,8,0)</f>
        <v>#N/A</v>
      </c>
      <c r="AL527" s="61"/>
      <c r="AM527" s="61"/>
      <c r="AN527" s="61"/>
      <c r="AO527" s="58">
        <v>44185</v>
      </c>
      <c r="AP527" s="29" t="e">
        <f>VLOOKUP(A527,'[2]External Scan 02_21'!$B:$J,9,0)</f>
        <v>#N/A</v>
      </c>
      <c r="AQ527" s="29" t="s">
        <v>2481</v>
      </c>
      <c r="AR527" s="21"/>
      <c r="AS527" s="21" t="str">
        <f>VLOOKUP(AE527,'ref statu'!A:B,2,0)</f>
        <v>SI arrêté planification de l intervetion de l'éditeur encours (ExpressWay)</v>
      </c>
      <c r="AT527" s="8" t="e">
        <f>VLOOKUP(A527,chk!A:B,2,0)</f>
        <v>#N/A</v>
      </c>
      <c r="AU527" s="29" t="e">
        <f>VLOOKUP(A527,checker!A:B,2,0)</f>
        <v>#N/A</v>
      </c>
      <c r="AV527" s="29" t="e">
        <f>VLOOKUP(A527,checker!B:C,2,0)</f>
        <v>#N/A</v>
      </c>
    </row>
    <row r="528" spans="1:48" x14ac:dyDescent="0.3">
      <c r="A528" s="29" t="str">
        <f t="shared" si="8"/>
        <v>96.692.66.672/7001/tlsv1_1-enabled</v>
      </c>
      <c r="B528" s="61" t="s">
        <v>3008</v>
      </c>
      <c r="C528" s="61" t="s">
        <v>2464</v>
      </c>
      <c r="D528" s="61" t="s">
        <v>2968</v>
      </c>
      <c r="E528" s="61" t="s">
        <v>494</v>
      </c>
      <c r="F528" s="61" t="s">
        <v>2465</v>
      </c>
      <c r="G528" s="61" t="s">
        <v>2466</v>
      </c>
      <c r="H528" s="61" t="s">
        <v>2467</v>
      </c>
      <c r="I528" s="37" t="s">
        <v>2468</v>
      </c>
      <c r="J528" s="37">
        <v>7001</v>
      </c>
      <c r="K528" s="61" t="s">
        <v>2473</v>
      </c>
      <c r="L528" s="61" t="s">
        <v>31</v>
      </c>
      <c r="M528" s="9">
        <v>3</v>
      </c>
      <c r="N528" s="9" t="s">
        <v>42</v>
      </c>
      <c r="O528" s="61" t="s">
        <v>142</v>
      </c>
      <c r="P528" s="61" t="s">
        <v>143</v>
      </c>
      <c r="Q528" s="61" t="s">
        <v>138</v>
      </c>
      <c r="R528" s="61" t="s">
        <v>139</v>
      </c>
      <c r="S528" s="61" t="s">
        <v>144</v>
      </c>
      <c r="T528" s="61" t="s">
        <v>141</v>
      </c>
      <c r="U528" s="61" t="s">
        <v>31</v>
      </c>
      <c r="V528" s="61" t="s">
        <v>31</v>
      </c>
      <c r="W528" s="62">
        <v>41926</v>
      </c>
      <c r="X528" s="37" t="s">
        <v>36</v>
      </c>
      <c r="Y528" s="37">
        <v>0</v>
      </c>
      <c r="Z528" s="37" t="s">
        <v>31</v>
      </c>
      <c r="AA528" s="37" t="s">
        <v>31</v>
      </c>
      <c r="AB528" s="37" t="s">
        <v>513</v>
      </c>
      <c r="AC528" s="61"/>
      <c r="AD528" s="33"/>
      <c r="AE528" s="101" t="s">
        <v>2481</v>
      </c>
      <c r="AF528" s="22"/>
      <c r="AG528" s="36"/>
      <c r="AH528" s="40"/>
      <c r="AI528" s="72">
        <v>44185</v>
      </c>
      <c r="AJ528" s="38" t="s">
        <v>94</v>
      </c>
      <c r="AK528" s="39" t="e">
        <f>VLOOKUP(A528,'[1]Externe MAJ Nov'!$A:$H,8,0)</f>
        <v>#N/A</v>
      </c>
      <c r="AL528" s="61"/>
      <c r="AM528" s="61"/>
      <c r="AN528" s="61"/>
      <c r="AO528" s="58">
        <v>44185</v>
      </c>
      <c r="AP528" s="29" t="e">
        <f>VLOOKUP(A528,'[2]External Scan 02_21'!$B:$J,9,0)</f>
        <v>#N/A</v>
      </c>
      <c r="AQ528" s="29" t="s">
        <v>2481</v>
      </c>
      <c r="AR528" s="21"/>
      <c r="AS528" s="21" t="str">
        <f>VLOOKUP(AE528,'ref statu'!A:B,2,0)</f>
        <v>SI arrêté planification de l intervetion de l'éditeur encours (ExpressWay)</v>
      </c>
      <c r="AT528" s="8" t="e">
        <f>VLOOKUP(A528,chk!A:B,2,0)</f>
        <v>#N/A</v>
      </c>
      <c r="AU528" s="29" t="e">
        <f>VLOOKUP(A528,checker!A:B,2,0)</f>
        <v>#N/A</v>
      </c>
      <c r="AV528" s="29" t="e">
        <f>VLOOKUP(A528,checker!B:C,2,0)</f>
        <v>#N/A</v>
      </c>
    </row>
    <row r="529" spans="1:48" x14ac:dyDescent="0.3">
      <c r="A529" s="29" t="str">
        <f t="shared" si="8"/>
        <v>96.692.66.672/8443/certificate-common-name-mismatch</v>
      </c>
      <c r="B529" s="61" t="s">
        <v>3008</v>
      </c>
      <c r="C529" s="61" t="s">
        <v>2464</v>
      </c>
      <c r="D529" s="61" t="s">
        <v>2968</v>
      </c>
      <c r="E529" s="61" t="s">
        <v>299</v>
      </c>
      <c r="F529" s="61" t="s">
        <v>299</v>
      </c>
      <c r="G529" s="61" t="s">
        <v>2466</v>
      </c>
      <c r="H529" s="61" t="s">
        <v>2467</v>
      </c>
      <c r="I529" s="37" t="s">
        <v>2468</v>
      </c>
      <c r="J529" s="37">
        <v>8443</v>
      </c>
      <c r="K529" s="61" t="s">
        <v>290</v>
      </c>
      <c r="L529" s="61" t="s">
        <v>2469</v>
      </c>
      <c r="M529" s="9">
        <v>7</v>
      </c>
      <c r="N529" s="10" t="s">
        <v>2540</v>
      </c>
      <c r="O529" s="61" t="s">
        <v>148</v>
      </c>
      <c r="P529" s="61" t="s">
        <v>149</v>
      </c>
      <c r="Q529" s="61" t="s">
        <v>150</v>
      </c>
      <c r="R529" s="61" t="s">
        <v>151</v>
      </c>
      <c r="S529" s="61" t="s">
        <v>2470</v>
      </c>
      <c r="T529" s="61" t="s">
        <v>31</v>
      </c>
      <c r="U529" s="61" t="s">
        <v>31</v>
      </c>
      <c r="V529" s="61" t="s">
        <v>31</v>
      </c>
      <c r="W529" s="62">
        <v>39297</v>
      </c>
      <c r="X529" s="37" t="s">
        <v>36</v>
      </c>
      <c r="Y529" s="37">
        <v>0</v>
      </c>
      <c r="Z529" s="37" t="s">
        <v>31</v>
      </c>
      <c r="AA529" s="37" t="s">
        <v>31</v>
      </c>
      <c r="AB529" s="37" t="s">
        <v>513</v>
      </c>
      <c r="AC529" s="61"/>
      <c r="AD529" s="34"/>
      <c r="AE529" s="101" t="s">
        <v>299</v>
      </c>
      <c r="AF529" s="22"/>
      <c r="AG529" s="36"/>
      <c r="AH529" s="40"/>
      <c r="AI529" s="72">
        <v>44185</v>
      </c>
      <c r="AJ529" s="38" t="s">
        <v>94</v>
      </c>
      <c r="AK529" s="39" t="e">
        <f>VLOOKUP(A529,'[1]Externe MAJ Nov'!$A:$H,8,0)</f>
        <v>#N/A</v>
      </c>
      <c r="AL529" s="61" t="s">
        <v>2482</v>
      </c>
      <c r="AM529" s="61"/>
      <c r="AN529" s="61"/>
      <c r="AO529" s="58">
        <v>44185</v>
      </c>
      <c r="AP529" s="29" t="e">
        <f>VLOOKUP(A529,'[2]External Scan 02_21'!$B:$J,9,0)</f>
        <v>#N/A</v>
      </c>
      <c r="AQ529" s="29" t="s">
        <v>299</v>
      </c>
      <c r="AR529" s="21"/>
      <c r="AS529" s="21" t="str">
        <f>VLOOKUP(AE529,'ref statu'!A:B,2,0)</f>
        <v>Faux Positive</v>
      </c>
      <c r="AT529" s="8" t="e">
        <f>VLOOKUP(A529,chk!A:B,2,0)</f>
        <v>#N/A</v>
      </c>
      <c r="AU529" s="29" t="e">
        <f>VLOOKUP(A529,checker!A:B,2,0)</f>
        <v>#N/A</v>
      </c>
      <c r="AV529" s="29" t="e">
        <f>VLOOKUP(A529,checker!B:C,2,0)</f>
        <v>#N/A</v>
      </c>
    </row>
    <row r="530" spans="1:48" x14ac:dyDescent="0.3">
      <c r="A530" s="29" t="str">
        <f t="shared" si="8"/>
        <v>96.692.66.672/8443/ssl-cve-2011-3389-beast</v>
      </c>
      <c r="B530" s="61" t="s">
        <v>3008</v>
      </c>
      <c r="C530" s="61" t="s">
        <v>2464</v>
      </c>
      <c r="D530" s="61" t="s">
        <v>2968</v>
      </c>
      <c r="E530" s="61" t="s">
        <v>494</v>
      </c>
      <c r="F530" s="61" t="s">
        <v>2465</v>
      </c>
      <c r="G530" s="61" t="s">
        <v>2466</v>
      </c>
      <c r="H530" s="61" t="s">
        <v>2467</v>
      </c>
      <c r="I530" s="37" t="s">
        <v>2468</v>
      </c>
      <c r="J530" s="37">
        <v>8443</v>
      </c>
      <c r="K530" s="61" t="s">
        <v>290</v>
      </c>
      <c r="L530" s="61" t="s">
        <v>2469</v>
      </c>
      <c r="M530" s="9">
        <v>4</v>
      </c>
      <c r="N530" s="9" t="s">
        <v>29</v>
      </c>
      <c r="O530" s="61" t="s">
        <v>105</v>
      </c>
      <c r="P530" s="61" t="s">
        <v>106</v>
      </c>
      <c r="Q530" s="61" t="s">
        <v>107</v>
      </c>
      <c r="R530" s="61" t="s">
        <v>108</v>
      </c>
      <c r="S530" s="61" t="s">
        <v>170</v>
      </c>
      <c r="T530" s="61" t="s">
        <v>109</v>
      </c>
      <c r="U530" s="61" t="s">
        <v>110</v>
      </c>
      <c r="V530" s="61" t="s">
        <v>297</v>
      </c>
      <c r="W530" s="62">
        <v>40792</v>
      </c>
      <c r="X530" s="37" t="s">
        <v>36</v>
      </c>
      <c r="Y530" s="37">
        <v>0</v>
      </c>
      <c r="Z530" s="37" t="s">
        <v>31</v>
      </c>
      <c r="AA530" s="37" t="s">
        <v>31</v>
      </c>
      <c r="AB530" s="37" t="s">
        <v>513</v>
      </c>
      <c r="AC530" s="61"/>
      <c r="AD530" s="34"/>
      <c r="AE530" s="101" t="s">
        <v>2481</v>
      </c>
      <c r="AF530" s="22"/>
      <c r="AG530" s="36"/>
      <c r="AH530" s="40"/>
      <c r="AI530" s="72">
        <v>44185</v>
      </c>
      <c r="AJ530" s="38" t="s">
        <v>94</v>
      </c>
      <c r="AK530" s="39" t="e">
        <f>VLOOKUP(A530,'[1]Externe MAJ Nov'!$A:$H,8,0)</f>
        <v>#N/A</v>
      </c>
      <c r="AL530" s="61"/>
      <c r="AM530" s="61"/>
      <c r="AN530" s="61"/>
      <c r="AO530" s="58">
        <v>44185</v>
      </c>
      <c r="AP530" s="29" t="e">
        <f>VLOOKUP(A530,'[2]External Scan 02_21'!$B:$J,9,0)</f>
        <v>#N/A</v>
      </c>
      <c r="AQ530" s="29" t="s">
        <v>2481</v>
      </c>
      <c r="AR530" s="21"/>
      <c r="AS530" s="21" t="str">
        <f>VLOOKUP(AE530,'ref statu'!A:B,2,0)</f>
        <v>SI arrêté planification de l intervetion de l'éditeur encours (ExpressWay)</v>
      </c>
      <c r="AT530" s="8" t="e">
        <f>VLOOKUP(A530,chk!A:B,2,0)</f>
        <v>#N/A</v>
      </c>
      <c r="AU530" s="29" t="e">
        <f>VLOOKUP(A530,checker!A:B,2,0)</f>
        <v>#N/A</v>
      </c>
      <c r="AV530" s="29" t="e">
        <f>VLOOKUP(A530,checker!B:C,2,0)</f>
        <v>#N/A</v>
      </c>
    </row>
    <row r="531" spans="1:48" x14ac:dyDescent="0.3">
      <c r="A531" s="29" t="str">
        <f t="shared" si="8"/>
        <v>96.692.66.672/8443/ssl-static-key-ciphers</v>
      </c>
      <c r="B531" s="61" t="s">
        <v>3008</v>
      </c>
      <c r="C531" s="61" t="s">
        <v>2464</v>
      </c>
      <c r="D531" s="61" t="s">
        <v>2968</v>
      </c>
      <c r="E531" s="61" t="s">
        <v>494</v>
      </c>
      <c r="F531" s="61" t="s">
        <v>2465</v>
      </c>
      <c r="G531" s="61" t="s">
        <v>2466</v>
      </c>
      <c r="H531" s="61" t="s">
        <v>2467</v>
      </c>
      <c r="I531" s="37" t="s">
        <v>2468</v>
      </c>
      <c r="J531" s="37">
        <v>8443</v>
      </c>
      <c r="K531" s="61" t="s">
        <v>290</v>
      </c>
      <c r="L531" s="61" t="s">
        <v>2469</v>
      </c>
      <c r="M531" s="9">
        <v>3</v>
      </c>
      <c r="N531" s="9" t="s">
        <v>42</v>
      </c>
      <c r="O531" s="61" t="s">
        <v>120</v>
      </c>
      <c r="P531" s="61" t="s">
        <v>121</v>
      </c>
      <c r="Q531" s="61" t="s">
        <v>122</v>
      </c>
      <c r="R531" s="61" t="s">
        <v>123</v>
      </c>
      <c r="S531" s="61" t="s">
        <v>171</v>
      </c>
      <c r="T531" s="61" t="s">
        <v>124</v>
      </c>
      <c r="U531" s="61" t="s">
        <v>31</v>
      </c>
      <c r="V531" s="61" t="s">
        <v>31</v>
      </c>
      <c r="W531" s="62">
        <v>42036</v>
      </c>
      <c r="X531" s="37" t="s">
        <v>36</v>
      </c>
      <c r="Y531" s="37">
        <v>0</v>
      </c>
      <c r="Z531" s="37" t="s">
        <v>31</v>
      </c>
      <c r="AA531" s="37" t="s">
        <v>31</v>
      </c>
      <c r="AB531" s="37" t="s">
        <v>513</v>
      </c>
      <c r="AC531" s="61"/>
      <c r="AD531" s="33"/>
      <c r="AE531" s="101" t="s">
        <v>2481</v>
      </c>
      <c r="AF531" s="22"/>
      <c r="AG531" s="36"/>
      <c r="AH531" s="40"/>
      <c r="AI531" s="72">
        <v>44185</v>
      </c>
      <c r="AJ531" s="38" t="s">
        <v>94</v>
      </c>
      <c r="AK531" s="39" t="e">
        <f>VLOOKUP(A531,'[1]Externe MAJ Nov'!$A:$H,8,0)</f>
        <v>#N/A</v>
      </c>
      <c r="AL531" s="61"/>
      <c r="AM531" s="61"/>
      <c r="AN531" s="61"/>
      <c r="AO531" s="58">
        <v>44185</v>
      </c>
      <c r="AP531" s="29" t="e">
        <f>VLOOKUP(A531,'[2]External Scan 02_21'!$B:$J,9,0)</f>
        <v>#N/A</v>
      </c>
      <c r="AQ531" s="29" t="s">
        <v>2481</v>
      </c>
      <c r="AR531" s="21"/>
      <c r="AS531" s="21" t="str">
        <f>VLOOKUP(AE531,'ref statu'!A:B,2,0)</f>
        <v>SI arrêté planification de l intervetion de l'éditeur encours (ExpressWay)</v>
      </c>
      <c r="AT531" s="8" t="e">
        <f>VLOOKUP(A531,chk!A:B,2,0)</f>
        <v>#N/A</v>
      </c>
      <c r="AU531" s="29" t="e">
        <f>VLOOKUP(A531,checker!A:B,2,0)</f>
        <v>#N/A</v>
      </c>
      <c r="AV531" s="29" t="e">
        <f>VLOOKUP(A531,checker!B:C,2,0)</f>
        <v>#N/A</v>
      </c>
    </row>
    <row r="532" spans="1:48" x14ac:dyDescent="0.3">
      <c r="A532" s="29" t="str">
        <f t="shared" si="8"/>
        <v>96.692.66.672/8443/tls-dh-primes</v>
      </c>
      <c r="B532" s="61" t="s">
        <v>3008</v>
      </c>
      <c r="C532" s="61" t="s">
        <v>2464</v>
      </c>
      <c r="D532" s="61" t="s">
        <v>2968</v>
      </c>
      <c r="E532" s="61" t="s">
        <v>494</v>
      </c>
      <c r="F532" s="61" t="s">
        <v>2465</v>
      </c>
      <c r="G532" s="61" t="s">
        <v>2466</v>
      </c>
      <c r="H532" s="61" t="s">
        <v>2467</v>
      </c>
      <c r="I532" s="37" t="s">
        <v>2468</v>
      </c>
      <c r="J532" s="37">
        <v>8443</v>
      </c>
      <c r="K532" s="61" t="s">
        <v>290</v>
      </c>
      <c r="L532" s="61" t="s">
        <v>2469</v>
      </c>
      <c r="M532" s="9">
        <v>3</v>
      </c>
      <c r="N532" s="9" t="s">
        <v>42</v>
      </c>
      <c r="O532" s="61" t="s">
        <v>125</v>
      </c>
      <c r="P532" s="61" t="s">
        <v>126</v>
      </c>
      <c r="Q532" s="61" t="s">
        <v>127</v>
      </c>
      <c r="R532" s="61" t="s">
        <v>128</v>
      </c>
      <c r="S532" s="61" t="s">
        <v>129</v>
      </c>
      <c r="T532" s="61" t="s">
        <v>130</v>
      </c>
      <c r="U532" s="61" t="s">
        <v>31</v>
      </c>
      <c r="V532" s="61" t="s">
        <v>31</v>
      </c>
      <c r="W532" s="62">
        <v>42144</v>
      </c>
      <c r="X532" s="37" t="s">
        <v>36</v>
      </c>
      <c r="Y532" s="37">
        <v>0</v>
      </c>
      <c r="Z532" s="37" t="s">
        <v>31</v>
      </c>
      <c r="AA532" s="37" t="s">
        <v>31</v>
      </c>
      <c r="AB532" s="37" t="s">
        <v>513</v>
      </c>
      <c r="AC532" s="61"/>
      <c r="AD532" s="34"/>
      <c r="AE532" s="101" t="s">
        <v>2481</v>
      </c>
      <c r="AF532" s="22"/>
      <c r="AG532" s="36"/>
      <c r="AH532" s="40"/>
      <c r="AI532" s="72">
        <v>44185</v>
      </c>
      <c r="AJ532" s="38" t="s">
        <v>94</v>
      </c>
      <c r="AK532" s="39" t="e">
        <f>VLOOKUP(A532,'[1]Externe MAJ Nov'!$A:$H,8,0)</f>
        <v>#N/A</v>
      </c>
      <c r="AL532" s="61"/>
      <c r="AM532" s="61"/>
      <c r="AN532" s="61"/>
      <c r="AO532" s="58">
        <v>44185</v>
      </c>
      <c r="AP532" s="29" t="e">
        <f>VLOOKUP(A532,'[2]External Scan 02_21'!$B:$J,9,0)</f>
        <v>#N/A</v>
      </c>
      <c r="AQ532" s="29" t="s">
        <v>2481</v>
      </c>
      <c r="AR532" s="21"/>
      <c r="AS532" s="21" t="str">
        <f>VLOOKUP(AE532,'ref statu'!A:B,2,0)</f>
        <v>SI arrêté planification de l intervetion de l'éditeur encours (ExpressWay)</v>
      </c>
      <c r="AT532" s="8" t="e">
        <f>VLOOKUP(A532,chk!A:B,2,0)</f>
        <v>#N/A</v>
      </c>
      <c r="AU532" s="29" t="e">
        <f>VLOOKUP(A532,checker!A:B,2,0)</f>
        <v>#N/A</v>
      </c>
      <c r="AV532" s="29" t="e">
        <f>VLOOKUP(A532,checker!B:C,2,0)</f>
        <v>#N/A</v>
      </c>
    </row>
    <row r="533" spans="1:48" x14ac:dyDescent="0.3">
      <c r="A533" s="29" t="str">
        <f t="shared" si="8"/>
        <v>96.692.66.672/8443/tls-untrusted-ca</v>
      </c>
      <c r="B533" s="61" t="s">
        <v>3008</v>
      </c>
      <c r="C533" s="61" t="s">
        <v>2464</v>
      </c>
      <c r="D533" s="61" t="s">
        <v>2968</v>
      </c>
      <c r="E533" s="61" t="s">
        <v>494</v>
      </c>
      <c r="F533" s="61" t="s">
        <v>2465</v>
      </c>
      <c r="G533" s="61" t="s">
        <v>2466</v>
      </c>
      <c r="H533" s="61" t="s">
        <v>2467</v>
      </c>
      <c r="I533" s="37" t="s">
        <v>2468</v>
      </c>
      <c r="J533" s="37">
        <v>8443</v>
      </c>
      <c r="K533" s="61" t="s">
        <v>290</v>
      </c>
      <c r="L533" s="61" t="s">
        <v>2469</v>
      </c>
      <c r="M533" s="9">
        <v>6</v>
      </c>
      <c r="N533" s="9" t="s">
        <v>29</v>
      </c>
      <c r="O533" s="61" t="s">
        <v>131</v>
      </c>
      <c r="P533" s="61" t="s">
        <v>132</v>
      </c>
      <c r="Q533" s="61" t="s">
        <v>133</v>
      </c>
      <c r="R533" s="61" t="s">
        <v>134</v>
      </c>
      <c r="S533" s="61" t="s">
        <v>2471</v>
      </c>
      <c r="T533" s="61" t="s">
        <v>135</v>
      </c>
      <c r="U533" s="61" t="s">
        <v>31</v>
      </c>
      <c r="V533" s="61" t="s">
        <v>31</v>
      </c>
      <c r="W533" s="62">
        <v>34700</v>
      </c>
      <c r="X533" s="37" t="s">
        <v>36</v>
      </c>
      <c r="Y533" s="37">
        <v>0</v>
      </c>
      <c r="Z533" s="37" t="s">
        <v>31</v>
      </c>
      <c r="AA533" s="37" t="s">
        <v>31</v>
      </c>
      <c r="AB533" s="37" t="s">
        <v>513</v>
      </c>
      <c r="AC533" s="61"/>
      <c r="AD533" s="34"/>
      <c r="AE533" s="101" t="s">
        <v>2481</v>
      </c>
      <c r="AF533" s="22"/>
      <c r="AG533" s="36"/>
      <c r="AH533" s="40"/>
      <c r="AI533" s="72">
        <v>44185</v>
      </c>
      <c r="AJ533" s="38" t="s">
        <v>94</v>
      </c>
      <c r="AK533" s="39" t="e">
        <f>VLOOKUP(A533,'[1]Externe MAJ Nov'!$A:$H,8,0)</f>
        <v>#N/A</v>
      </c>
      <c r="AL533" s="61"/>
      <c r="AM533" s="61"/>
      <c r="AN533" s="61"/>
      <c r="AO533" s="58">
        <v>44185</v>
      </c>
      <c r="AP533" s="29" t="e">
        <f>VLOOKUP(A533,'[2]External Scan 02_21'!$B:$J,9,0)</f>
        <v>#N/A</v>
      </c>
      <c r="AQ533" s="29" t="s">
        <v>2481</v>
      </c>
      <c r="AR533" s="21"/>
      <c r="AS533" s="21" t="str">
        <f>VLOOKUP(AE533,'ref statu'!A:B,2,0)</f>
        <v>SI arrêté planification de l intervetion de l'éditeur encours (ExpressWay)</v>
      </c>
      <c r="AT533" s="8" t="e">
        <f>VLOOKUP(A533,chk!A:B,2,0)</f>
        <v>#N/A</v>
      </c>
      <c r="AU533" s="29" t="e">
        <f>VLOOKUP(A533,checker!A:B,2,0)</f>
        <v>#N/A</v>
      </c>
      <c r="AV533" s="29" t="e">
        <f>VLOOKUP(A533,checker!B:C,2,0)</f>
        <v>#N/A</v>
      </c>
    </row>
    <row r="534" spans="1:48" x14ac:dyDescent="0.3">
      <c r="A534" s="29" t="str">
        <f t="shared" si="8"/>
        <v>96.692.66.672/8443/tlsv1_0-enabled</v>
      </c>
      <c r="B534" s="61" t="s">
        <v>3008</v>
      </c>
      <c r="C534" s="61" t="s">
        <v>2464</v>
      </c>
      <c r="D534" s="61" t="s">
        <v>2968</v>
      </c>
      <c r="E534" s="61" t="s">
        <v>494</v>
      </c>
      <c r="F534" s="61" t="s">
        <v>2465</v>
      </c>
      <c r="G534" s="61" t="s">
        <v>2466</v>
      </c>
      <c r="H534" s="61" t="s">
        <v>2467</v>
      </c>
      <c r="I534" s="37" t="s">
        <v>2468</v>
      </c>
      <c r="J534" s="37">
        <v>8443</v>
      </c>
      <c r="K534" s="61" t="s">
        <v>290</v>
      </c>
      <c r="L534" s="61" t="s">
        <v>2469</v>
      </c>
      <c r="M534" s="9">
        <v>4</v>
      </c>
      <c r="N534" s="9" t="s">
        <v>29</v>
      </c>
      <c r="O534" s="61" t="s">
        <v>136</v>
      </c>
      <c r="P534" s="61" t="s">
        <v>137</v>
      </c>
      <c r="Q534" s="61" t="s">
        <v>138</v>
      </c>
      <c r="R534" s="61" t="s">
        <v>139</v>
      </c>
      <c r="S534" s="61" t="s">
        <v>140</v>
      </c>
      <c r="T534" s="61" t="s">
        <v>141</v>
      </c>
      <c r="U534" s="61" t="s">
        <v>31</v>
      </c>
      <c r="V534" s="61" t="s">
        <v>31</v>
      </c>
      <c r="W534" s="62">
        <v>41926</v>
      </c>
      <c r="X534" s="37" t="s">
        <v>36</v>
      </c>
      <c r="Y534" s="37">
        <v>0</v>
      </c>
      <c r="Z534" s="37" t="s">
        <v>31</v>
      </c>
      <c r="AA534" s="37" t="s">
        <v>31</v>
      </c>
      <c r="AB534" s="37" t="s">
        <v>513</v>
      </c>
      <c r="AC534" s="61"/>
      <c r="AD534" s="33"/>
      <c r="AE534" s="101" t="s">
        <v>2481</v>
      </c>
      <c r="AF534" s="22"/>
      <c r="AG534" s="36"/>
      <c r="AH534" s="40"/>
      <c r="AI534" s="72">
        <v>44185</v>
      </c>
      <c r="AJ534" s="38" t="s">
        <v>94</v>
      </c>
      <c r="AK534" s="39" t="e">
        <f>VLOOKUP(A534,'[1]Externe MAJ Nov'!$A:$H,8,0)</f>
        <v>#N/A</v>
      </c>
      <c r="AL534" s="61"/>
      <c r="AM534" s="61"/>
      <c r="AN534" s="61"/>
      <c r="AO534" s="58">
        <v>44185</v>
      </c>
      <c r="AP534" s="29" t="e">
        <f>VLOOKUP(A534,'[2]External Scan 02_21'!$B:$J,9,0)</f>
        <v>#N/A</v>
      </c>
      <c r="AQ534" s="29" t="s">
        <v>2481</v>
      </c>
      <c r="AR534" s="21"/>
      <c r="AS534" s="21" t="str">
        <f>VLOOKUP(AE534,'ref statu'!A:B,2,0)</f>
        <v>SI arrêté planification de l intervetion de l'éditeur encours (ExpressWay)</v>
      </c>
      <c r="AT534" s="8" t="e">
        <f>VLOOKUP(A534,chk!A:B,2,0)</f>
        <v>#N/A</v>
      </c>
      <c r="AU534" s="29" t="e">
        <f>VLOOKUP(A534,checker!A:B,2,0)</f>
        <v>#N/A</v>
      </c>
      <c r="AV534" s="29" t="e">
        <f>VLOOKUP(A534,checker!B:C,2,0)</f>
        <v>#N/A</v>
      </c>
    </row>
    <row r="535" spans="1:48" x14ac:dyDescent="0.3">
      <c r="A535" s="29" t="str">
        <f t="shared" si="8"/>
        <v>96.692.66.672/8443/tlsv1_1-enabled</v>
      </c>
      <c r="B535" s="61" t="s">
        <v>3008</v>
      </c>
      <c r="C535" s="61" t="s">
        <v>2464</v>
      </c>
      <c r="D535" s="61" t="s">
        <v>2968</v>
      </c>
      <c r="E535" s="61" t="s">
        <v>494</v>
      </c>
      <c r="F535" s="61" t="s">
        <v>2465</v>
      </c>
      <c r="G535" s="61" t="s">
        <v>2466</v>
      </c>
      <c r="H535" s="61" t="s">
        <v>2467</v>
      </c>
      <c r="I535" s="37" t="s">
        <v>2468</v>
      </c>
      <c r="J535" s="37">
        <v>8443</v>
      </c>
      <c r="K535" s="61" t="s">
        <v>290</v>
      </c>
      <c r="L535" s="61" t="s">
        <v>2469</v>
      </c>
      <c r="M535" s="9">
        <v>3</v>
      </c>
      <c r="N535" s="9" t="s">
        <v>42</v>
      </c>
      <c r="O535" s="61" t="s">
        <v>142</v>
      </c>
      <c r="P535" s="61" t="s">
        <v>143</v>
      </c>
      <c r="Q535" s="61" t="s">
        <v>138</v>
      </c>
      <c r="R535" s="61" t="s">
        <v>139</v>
      </c>
      <c r="S535" s="61" t="s">
        <v>144</v>
      </c>
      <c r="T535" s="61" t="s">
        <v>141</v>
      </c>
      <c r="U535" s="61" t="s">
        <v>31</v>
      </c>
      <c r="V535" s="61" t="s">
        <v>31</v>
      </c>
      <c r="W535" s="62">
        <v>41926</v>
      </c>
      <c r="X535" s="37" t="s">
        <v>36</v>
      </c>
      <c r="Y535" s="37">
        <v>0</v>
      </c>
      <c r="Z535" s="37" t="s">
        <v>31</v>
      </c>
      <c r="AA535" s="37" t="s">
        <v>31</v>
      </c>
      <c r="AB535" s="37" t="s">
        <v>513</v>
      </c>
      <c r="AC535" s="61"/>
      <c r="AD535" s="34"/>
      <c r="AE535" s="101" t="s">
        <v>2481</v>
      </c>
      <c r="AF535" s="22"/>
      <c r="AG535" s="36"/>
      <c r="AH535" s="40"/>
      <c r="AI535" s="72">
        <v>44185</v>
      </c>
      <c r="AJ535" s="38" t="s">
        <v>94</v>
      </c>
      <c r="AK535" s="39" t="e">
        <f>VLOOKUP(A535,'[1]Externe MAJ Nov'!$A:$H,8,0)</f>
        <v>#N/A</v>
      </c>
      <c r="AL535" s="61"/>
      <c r="AM535" s="61"/>
      <c r="AN535" s="61"/>
      <c r="AO535" s="58">
        <v>44185</v>
      </c>
      <c r="AP535" s="29" t="e">
        <f>VLOOKUP(A535,'[2]External Scan 02_21'!$B:$J,9,0)</f>
        <v>#N/A</v>
      </c>
      <c r="AQ535" s="29" t="s">
        <v>2481</v>
      </c>
      <c r="AR535" s="21"/>
      <c r="AS535" s="21" t="str">
        <f>VLOOKUP(AE535,'ref statu'!A:B,2,0)</f>
        <v>SI arrêté planification de l intervetion de l'éditeur encours (ExpressWay)</v>
      </c>
      <c r="AT535" s="8" t="e">
        <f>VLOOKUP(A535,chk!A:B,2,0)</f>
        <v>#N/A</v>
      </c>
      <c r="AU535" s="29" t="e">
        <f>VLOOKUP(A535,checker!A:B,2,0)</f>
        <v>#N/A</v>
      </c>
      <c r="AV535" s="29" t="e">
        <f>VLOOKUP(A535,checker!B:C,2,0)</f>
        <v>#N/A</v>
      </c>
    </row>
    <row r="536" spans="1:48" x14ac:dyDescent="0.3">
      <c r="A536" s="29" t="str">
        <f t="shared" si="8"/>
        <v>96.692.66.674/0/generic-tcp-timestamp</v>
      </c>
      <c r="B536" s="29" t="s">
        <v>3009</v>
      </c>
      <c r="C536" s="29" t="s">
        <v>406</v>
      </c>
      <c r="D536" s="8" t="s">
        <v>2969</v>
      </c>
      <c r="E536" s="8" t="s">
        <v>307</v>
      </c>
      <c r="F536" s="29"/>
      <c r="G536" s="21" t="s">
        <v>407</v>
      </c>
      <c r="H536" s="29" t="s">
        <v>256</v>
      </c>
      <c r="I536" s="8" t="s">
        <v>257</v>
      </c>
      <c r="J536" s="8">
        <v>0</v>
      </c>
      <c r="K536" s="29" t="s">
        <v>258</v>
      </c>
      <c r="L536" s="29" t="s">
        <v>31</v>
      </c>
      <c r="M536" s="9">
        <v>1</v>
      </c>
      <c r="N536" s="9" t="s">
        <v>42</v>
      </c>
      <c r="O536" s="29" t="s">
        <v>78</v>
      </c>
      <c r="P536" s="29" t="s">
        <v>79</v>
      </c>
      <c r="Q536" s="29" t="s">
        <v>80</v>
      </c>
      <c r="R536" s="29" t="s">
        <v>81</v>
      </c>
      <c r="S536" s="29" t="s">
        <v>82</v>
      </c>
      <c r="T536" s="29" t="s">
        <v>83</v>
      </c>
      <c r="U536" s="29" t="s">
        <v>31</v>
      </c>
      <c r="V536" s="29" t="s">
        <v>31</v>
      </c>
      <c r="W536" s="29">
        <v>35643</v>
      </c>
      <c r="X536" s="8" t="s">
        <v>36</v>
      </c>
      <c r="Y536" s="8">
        <v>0</v>
      </c>
      <c r="Z536" s="8" t="s">
        <v>31</v>
      </c>
      <c r="AA536" s="8" t="s">
        <v>31</v>
      </c>
      <c r="AB536" s="8" t="s">
        <v>260</v>
      </c>
      <c r="AC536" s="29"/>
      <c r="AD536" s="29"/>
      <c r="AE536" s="95" t="s">
        <v>28</v>
      </c>
      <c r="AF536" s="30">
        <v>44150</v>
      </c>
      <c r="AG536" s="30">
        <v>44150</v>
      </c>
      <c r="AH536" s="25">
        <v>44150</v>
      </c>
      <c r="AI536" s="72">
        <v>44124</v>
      </c>
      <c r="AJ536" s="23" t="s">
        <v>27</v>
      </c>
      <c r="AK536" s="8" t="e">
        <f>VLOOKUP(A536,'[1]Externe MAJ Nov'!$A:$H,8,0)</f>
        <v>#N/A</v>
      </c>
      <c r="AL536" s="29" t="e">
        <f>VLOOKUP(A536,'[1]Externe MAJ Nov'!$A:$G,7,0)</f>
        <v>#N/A</v>
      </c>
      <c r="AM536" s="29" t="s">
        <v>28</v>
      </c>
      <c r="AN536" s="29" t="s">
        <v>27</v>
      </c>
      <c r="AO536" s="58">
        <v>44124</v>
      </c>
      <c r="AP536" s="29" t="e">
        <f>VLOOKUP(A536,'[2]External Scan 02_21'!$B:$J,9,0)</f>
        <v>#N/A</v>
      </c>
      <c r="AQ536" s="29" t="s">
        <v>28</v>
      </c>
      <c r="AR536" s="21"/>
      <c r="AS536" s="21" t="str">
        <f>VLOOKUP(AE536,'ref statu'!A:B,2,0)</f>
        <v>Fixed</v>
      </c>
      <c r="AT536" s="8" t="e">
        <f>VLOOKUP(A536,chk!A:B,2,0)</f>
        <v>#N/A</v>
      </c>
      <c r="AU536" s="29" t="e">
        <f>VLOOKUP(A536,checker!A:B,2,0)</f>
        <v>#N/A</v>
      </c>
      <c r="AV536" s="29" t="e">
        <f>VLOOKUP(A536,checker!B:C,2,0)</f>
        <v>#N/A</v>
      </c>
    </row>
    <row r="537" spans="1:48" x14ac:dyDescent="0.3">
      <c r="A537" s="29" t="str">
        <f t="shared" si="8"/>
        <v>96.692.66.674/443/http-generic-browsable-dir</v>
      </c>
      <c r="B537" s="29" t="s">
        <v>3009</v>
      </c>
      <c r="C537" s="29" t="s">
        <v>406</v>
      </c>
      <c r="D537" s="8" t="s">
        <v>2969</v>
      </c>
      <c r="E537" s="8" t="s">
        <v>311</v>
      </c>
      <c r="F537" s="29"/>
      <c r="G537" s="21" t="s">
        <v>407</v>
      </c>
      <c r="H537" s="29" t="s">
        <v>256</v>
      </c>
      <c r="I537" s="8" t="s">
        <v>257</v>
      </c>
      <c r="J537" s="8">
        <v>443</v>
      </c>
      <c r="K537" s="29" t="s">
        <v>290</v>
      </c>
      <c r="L537" s="29" t="s">
        <v>291</v>
      </c>
      <c r="M537" s="9">
        <v>5</v>
      </c>
      <c r="N537" s="9" t="s">
        <v>29</v>
      </c>
      <c r="O537" s="29" t="s">
        <v>32</v>
      </c>
      <c r="P537" s="29" t="s">
        <v>33</v>
      </c>
      <c r="Q537" s="29" t="s">
        <v>34</v>
      </c>
      <c r="R537" s="29" t="s">
        <v>35</v>
      </c>
      <c r="S537" s="29" t="s">
        <v>2483</v>
      </c>
      <c r="T537" s="29" t="s">
        <v>31</v>
      </c>
      <c r="U537" s="29" t="s">
        <v>31</v>
      </c>
      <c r="V537" s="29" t="s">
        <v>31</v>
      </c>
      <c r="W537" s="29">
        <v>36892</v>
      </c>
      <c r="X537" s="8" t="s">
        <v>36</v>
      </c>
      <c r="Y537" s="8">
        <v>0</v>
      </c>
      <c r="Z537" s="8" t="s">
        <v>31</v>
      </c>
      <c r="AA537" s="8" t="s">
        <v>31</v>
      </c>
      <c r="AB537" s="8" t="s">
        <v>348</v>
      </c>
      <c r="AC537" s="29"/>
      <c r="AD537" s="29"/>
      <c r="AE537" s="95" t="s">
        <v>28</v>
      </c>
      <c r="AF537" s="30">
        <v>44142</v>
      </c>
      <c r="AG537" s="30">
        <v>44142</v>
      </c>
      <c r="AH537" s="25">
        <v>44142</v>
      </c>
      <c r="AI537" s="72">
        <v>44124</v>
      </c>
      <c r="AJ537" s="23" t="s">
        <v>27</v>
      </c>
      <c r="AK537" s="8" t="e">
        <f>VLOOKUP(A537,'[1]Externe MAJ Nov'!$A:$H,8,0)</f>
        <v>#N/A</v>
      </c>
      <c r="AL537" s="29" t="e">
        <f>VLOOKUP(A537,'[1]Externe MAJ Nov'!$A:$G,7,0)</f>
        <v>#N/A</v>
      </c>
      <c r="AM537" s="29" t="s">
        <v>95</v>
      </c>
      <c r="AN537" s="29" t="s">
        <v>27</v>
      </c>
      <c r="AO537" s="58">
        <v>44124</v>
      </c>
      <c r="AP537" s="29" t="e">
        <f>VLOOKUP(A537,'[2]External Scan 02_21'!$B:$J,9,0)</f>
        <v>#N/A</v>
      </c>
      <c r="AQ537" s="29" t="s">
        <v>28</v>
      </c>
      <c r="AR537" s="21"/>
      <c r="AS537" s="21" t="str">
        <f>VLOOKUP(AE537,'ref statu'!A:B,2,0)</f>
        <v>Fixed</v>
      </c>
      <c r="AT537" s="8" t="e">
        <f>VLOOKUP(A537,chk!A:B,2,0)</f>
        <v>#N/A</v>
      </c>
      <c r="AU537" s="29" t="e">
        <f>VLOOKUP(A537,checker!A:B,2,0)</f>
        <v>#N/A</v>
      </c>
      <c r="AV537" s="29" t="e">
        <f>VLOOKUP(A537,checker!B:C,2,0)</f>
        <v>#N/A</v>
      </c>
    </row>
    <row r="538" spans="1:48" x14ac:dyDescent="0.3">
      <c r="A538" s="29" t="str">
        <f t="shared" si="8"/>
        <v>96.692.66.674/443/jquery-cve-2019-11358</v>
      </c>
      <c r="B538" s="29" t="s">
        <v>3009</v>
      </c>
      <c r="C538" s="29" t="s">
        <v>406</v>
      </c>
      <c r="D538" s="8" t="s">
        <v>2969</v>
      </c>
      <c r="E538" s="8" t="s">
        <v>307</v>
      </c>
      <c r="F538" s="29" t="s">
        <v>408</v>
      </c>
      <c r="G538" s="21" t="s">
        <v>407</v>
      </c>
      <c r="H538" s="29" t="s">
        <v>256</v>
      </c>
      <c r="I538" s="8" t="s">
        <v>257</v>
      </c>
      <c r="J538" s="8">
        <v>443</v>
      </c>
      <c r="K538" s="29" t="s">
        <v>290</v>
      </c>
      <c r="L538" s="29" t="s">
        <v>291</v>
      </c>
      <c r="M538" s="9">
        <v>4</v>
      </c>
      <c r="N538" s="9" t="s">
        <v>29</v>
      </c>
      <c r="O538" s="29" t="s">
        <v>409</v>
      </c>
      <c r="P538" s="29" t="s">
        <v>410</v>
      </c>
      <c r="Q538" s="29" t="s">
        <v>411</v>
      </c>
      <c r="R538" s="29" t="s">
        <v>412</v>
      </c>
      <c r="S538" s="29" t="s">
        <v>413</v>
      </c>
      <c r="T538" s="29" t="s">
        <v>414</v>
      </c>
      <c r="U538" s="29" t="s">
        <v>415</v>
      </c>
      <c r="V538" s="29" t="s">
        <v>416</v>
      </c>
      <c r="W538" s="29">
        <v>43574</v>
      </c>
      <c r="X538" s="8" t="s">
        <v>30</v>
      </c>
      <c r="Y538" s="8">
        <v>0</v>
      </c>
      <c r="Z538" s="8" t="s">
        <v>31</v>
      </c>
      <c r="AA538" s="8" t="s">
        <v>31</v>
      </c>
      <c r="AB538" s="8" t="s">
        <v>348</v>
      </c>
      <c r="AC538" s="29"/>
      <c r="AD538" s="29"/>
      <c r="AE538" s="95" t="s">
        <v>28</v>
      </c>
      <c r="AF538" s="30">
        <v>44190</v>
      </c>
      <c r="AG538" s="30">
        <v>44190</v>
      </c>
      <c r="AH538" s="25"/>
      <c r="AI538" s="72">
        <v>44124</v>
      </c>
      <c r="AJ538" s="23" t="s">
        <v>27</v>
      </c>
      <c r="AK538" s="8" t="e">
        <f>VLOOKUP(A538,'[1]Externe MAJ Nov'!$A:$H,8,0)</f>
        <v>#N/A</v>
      </c>
      <c r="AL538" s="29" t="e">
        <f>VLOOKUP(A538,'[1]Externe MAJ Nov'!$A:$G,7,0)</f>
        <v>#N/A</v>
      </c>
      <c r="AM538" s="29" t="s">
        <v>493</v>
      </c>
      <c r="AN538" s="29" t="s">
        <v>27</v>
      </c>
      <c r="AO538" s="58">
        <v>44124</v>
      </c>
      <c r="AP538" s="29" t="e">
        <f>VLOOKUP(A538,'[2]External Scan 02_21'!$B:$J,9,0)</f>
        <v>#N/A</v>
      </c>
      <c r="AQ538" s="29" t="s">
        <v>28</v>
      </c>
      <c r="AR538" s="21"/>
      <c r="AS538" s="21" t="str">
        <f>VLOOKUP(AE538,'ref statu'!A:B,2,0)</f>
        <v>Fixed</v>
      </c>
      <c r="AT538" s="8" t="e">
        <f>VLOOKUP(A538,chk!A:B,2,0)</f>
        <v>#N/A</v>
      </c>
      <c r="AU538" s="29" t="e">
        <f>VLOOKUP(A538,checker!A:B,2,0)</f>
        <v>#N/A</v>
      </c>
      <c r="AV538" s="29" t="e">
        <f>VLOOKUP(A538,checker!B:C,2,0)</f>
        <v>#N/A</v>
      </c>
    </row>
    <row r="539" spans="1:48" x14ac:dyDescent="0.3">
      <c r="A539" s="29" t="str">
        <f t="shared" si="8"/>
        <v>96.692.66.674/443/jquery-cve-2020-11022</v>
      </c>
      <c r="B539" s="29" t="s">
        <v>3009</v>
      </c>
      <c r="C539" s="29" t="s">
        <v>406</v>
      </c>
      <c r="D539" s="8" t="s">
        <v>2969</v>
      </c>
      <c r="E539" s="8" t="s">
        <v>307</v>
      </c>
      <c r="F539" s="29" t="s">
        <v>408</v>
      </c>
      <c r="G539" s="21" t="s">
        <v>407</v>
      </c>
      <c r="H539" s="29" t="s">
        <v>256</v>
      </c>
      <c r="I539" s="8" t="s">
        <v>257</v>
      </c>
      <c r="J539" s="8">
        <v>443</v>
      </c>
      <c r="K539" s="29" t="s">
        <v>290</v>
      </c>
      <c r="L539" s="29" t="s">
        <v>291</v>
      </c>
      <c r="M539" s="9">
        <v>4</v>
      </c>
      <c r="N539" s="9" t="s">
        <v>29</v>
      </c>
      <c r="O539" s="29" t="s">
        <v>421</v>
      </c>
      <c r="P539" s="29" t="s">
        <v>422</v>
      </c>
      <c r="Q539" s="29" t="s">
        <v>351</v>
      </c>
      <c r="R539" s="29" t="s">
        <v>419</v>
      </c>
      <c r="S539" s="29" t="s">
        <v>413</v>
      </c>
      <c r="T539" s="29" t="s">
        <v>423</v>
      </c>
      <c r="U539" s="29" t="s">
        <v>354</v>
      </c>
      <c r="V539" s="29" t="s">
        <v>355</v>
      </c>
      <c r="W539" s="29">
        <v>43950</v>
      </c>
      <c r="X539" s="8" t="s">
        <v>30</v>
      </c>
      <c r="Y539" s="8">
        <v>0</v>
      </c>
      <c r="Z539" s="8" t="s">
        <v>31</v>
      </c>
      <c r="AA539" s="8" t="s">
        <v>31</v>
      </c>
      <c r="AB539" s="8" t="s">
        <v>348</v>
      </c>
      <c r="AC539" s="29"/>
      <c r="AD539" s="29"/>
      <c r="AE539" s="95" t="s">
        <v>28</v>
      </c>
      <c r="AF539" s="30">
        <v>44190</v>
      </c>
      <c r="AG539" s="30">
        <v>44190</v>
      </c>
      <c r="AH539" s="25"/>
      <c r="AI539" s="72">
        <v>44124</v>
      </c>
      <c r="AJ539" s="23" t="s">
        <v>27</v>
      </c>
      <c r="AK539" s="8" t="e">
        <f>VLOOKUP(A539,'[1]Externe MAJ Nov'!$A:$H,8,0)</f>
        <v>#N/A</v>
      </c>
      <c r="AL539" s="29" t="e">
        <f>VLOOKUP(A539,'[1]Externe MAJ Nov'!$A:$G,7,0)</f>
        <v>#N/A</v>
      </c>
      <c r="AM539" s="29" t="s">
        <v>493</v>
      </c>
      <c r="AN539" s="29" t="s">
        <v>27</v>
      </c>
      <c r="AO539" s="58">
        <v>44124</v>
      </c>
      <c r="AP539" s="29" t="e">
        <f>VLOOKUP(A539,'[2]External Scan 02_21'!$B:$J,9,0)</f>
        <v>#N/A</v>
      </c>
      <c r="AQ539" s="29" t="s">
        <v>28</v>
      </c>
      <c r="AR539" s="21"/>
      <c r="AS539" s="21" t="str">
        <f>VLOOKUP(AE539,'ref statu'!A:B,2,0)</f>
        <v>Fixed</v>
      </c>
      <c r="AT539" s="8" t="e">
        <f>VLOOKUP(A539,chk!A:B,2,0)</f>
        <v>#N/A</v>
      </c>
      <c r="AU539" s="29" t="e">
        <f>VLOOKUP(A539,checker!A:B,2,0)</f>
        <v>#N/A</v>
      </c>
      <c r="AV539" s="29" t="e">
        <f>VLOOKUP(A539,checker!B:C,2,0)</f>
        <v>#N/A</v>
      </c>
    </row>
    <row r="540" spans="1:48" x14ac:dyDescent="0.3">
      <c r="A540" s="29" t="str">
        <f t="shared" si="8"/>
        <v>96.692.66.674/443/jquery-cve-2020-11023</v>
      </c>
      <c r="B540" s="29" t="s">
        <v>3009</v>
      </c>
      <c r="C540" s="29" t="s">
        <v>406</v>
      </c>
      <c r="D540" s="8" t="s">
        <v>2969</v>
      </c>
      <c r="E540" s="8" t="s">
        <v>307</v>
      </c>
      <c r="F540" s="29" t="s">
        <v>408</v>
      </c>
      <c r="G540" s="21" t="s">
        <v>407</v>
      </c>
      <c r="H540" s="29" t="s">
        <v>256</v>
      </c>
      <c r="I540" s="8" t="s">
        <v>257</v>
      </c>
      <c r="J540" s="8">
        <v>443</v>
      </c>
      <c r="K540" s="29" t="s">
        <v>290</v>
      </c>
      <c r="L540" s="29" t="s">
        <v>291</v>
      </c>
      <c r="M540" s="9">
        <v>4</v>
      </c>
      <c r="N540" s="9" t="s">
        <v>29</v>
      </c>
      <c r="O540" s="29" t="s">
        <v>417</v>
      </c>
      <c r="P540" s="29" t="s">
        <v>418</v>
      </c>
      <c r="Q540" s="29" t="s">
        <v>358</v>
      </c>
      <c r="R540" s="29" t="s">
        <v>419</v>
      </c>
      <c r="S540" s="29" t="s">
        <v>413</v>
      </c>
      <c r="T540" s="29" t="s">
        <v>420</v>
      </c>
      <c r="U540" s="29" t="s">
        <v>359</v>
      </c>
      <c r="V540" s="29" t="s">
        <v>360</v>
      </c>
      <c r="W540" s="29">
        <v>43950</v>
      </c>
      <c r="X540" s="8" t="s">
        <v>30</v>
      </c>
      <c r="Y540" s="8">
        <v>0</v>
      </c>
      <c r="Z540" s="8" t="s">
        <v>31</v>
      </c>
      <c r="AA540" s="8" t="s">
        <v>31</v>
      </c>
      <c r="AB540" s="8" t="s">
        <v>348</v>
      </c>
      <c r="AC540" s="29"/>
      <c r="AD540" s="29"/>
      <c r="AE540" s="95" t="s">
        <v>28</v>
      </c>
      <c r="AF540" s="30">
        <v>44190</v>
      </c>
      <c r="AG540" s="30">
        <v>44190</v>
      </c>
      <c r="AH540" s="25"/>
      <c r="AI540" s="72">
        <v>44124</v>
      </c>
      <c r="AJ540" s="23" t="s">
        <v>27</v>
      </c>
      <c r="AK540" s="8" t="e">
        <f>VLOOKUP(A540,'[1]Externe MAJ Nov'!$A:$H,8,0)</f>
        <v>#N/A</v>
      </c>
      <c r="AL540" s="29" t="e">
        <f>VLOOKUP(A540,'[1]Externe MAJ Nov'!$A:$G,7,0)</f>
        <v>#N/A</v>
      </c>
      <c r="AM540" s="29" t="s">
        <v>493</v>
      </c>
      <c r="AN540" s="29" t="s">
        <v>27</v>
      </c>
      <c r="AO540" s="58">
        <v>44124</v>
      </c>
      <c r="AP540" s="29" t="e">
        <f>VLOOKUP(A540,'[2]External Scan 02_21'!$B:$J,9,0)</f>
        <v>#N/A</v>
      </c>
      <c r="AQ540" s="29" t="s">
        <v>28</v>
      </c>
      <c r="AR540" s="21"/>
      <c r="AS540" s="21" t="str">
        <f>VLOOKUP(AE540,'ref statu'!A:B,2,0)</f>
        <v>Fixed</v>
      </c>
      <c r="AT540" s="8" t="e">
        <f>VLOOKUP(A540,chk!A:B,2,0)</f>
        <v>#N/A</v>
      </c>
      <c r="AU540" s="29" t="e">
        <f>VLOOKUP(A540,checker!A:B,2,0)</f>
        <v>#N/A</v>
      </c>
      <c r="AV540" s="29" t="e">
        <f>VLOOKUP(A540,checker!B:C,2,0)</f>
        <v>#N/A</v>
      </c>
    </row>
    <row r="541" spans="1:48" x14ac:dyDescent="0.3">
      <c r="A541" s="29" t="str">
        <f t="shared" si="8"/>
        <v>96.692.66.674/443/ssl-3des-ciphers</v>
      </c>
      <c r="B541" s="29" t="s">
        <v>3009</v>
      </c>
      <c r="C541" s="29" t="s">
        <v>406</v>
      </c>
      <c r="D541" s="8" t="s">
        <v>2969</v>
      </c>
      <c r="E541" s="8" t="s">
        <v>307</v>
      </c>
      <c r="F541" s="29"/>
      <c r="G541" s="21" t="s">
        <v>407</v>
      </c>
      <c r="H541" s="29" t="s">
        <v>256</v>
      </c>
      <c r="I541" s="8" t="s">
        <v>257</v>
      </c>
      <c r="J541" s="8">
        <v>443</v>
      </c>
      <c r="K541" s="29" t="s">
        <v>290</v>
      </c>
      <c r="L541" s="29" t="s">
        <v>291</v>
      </c>
      <c r="M541" s="9">
        <v>1</v>
      </c>
      <c r="N541" s="9" t="s">
        <v>42</v>
      </c>
      <c r="O541" s="29" t="s">
        <v>100</v>
      </c>
      <c r="P541" s="29" t="s">
        <v>101</v>
      </c>
      <c r="Q541" s="29" t="s">
        <v>102</v>
      </c>
      <c r="R541" s="29" t="s">
        <v>103</v>
      </c>
      <c r="S541" s="29" t="s">
        <v>292</v>
      </c>
      <c r="T541" s="64" t="s">
        <v>104</v>
      </c>
      <c r="U541" s="29" t="s">
        <v>31</v>
      </c>
      <c r="V541" s="29" t="s">
        <v>31</v>
      </c>
      <c r="W541" s="29">
        <v>39845</v>
      </c>
      <c r="X541" s="8" t="s">
        <v>36</v>
      </c>
      <c r="Y541" s="8">
        <v>0</v>
      </c>
      <c r="Z541" s="8" t="s">
        <v>31</v>
      </c>
      <c r="AA541" s="8" t="s">
        <v>31</v>
      </c>
      <c r="AB541" s="8" t="s">
        <v>348</v>
      </c>
      <c r="AC541" s="29"/>
      <c r="AD541" s="29"/>
      <c r="AE541" s="95" t="s">
        <v>28</v>
      </c>
      <c r="AF541" s="30">
        <v>44150</v>
      </c>
      <c r="AG541" s="30">
        <v>44150</v>
      </c>
      <c r="AH541" s="25">
        <v>44150</v>
      </c>
      <c r="AI541" s="72">
        <v>44124</v>
      </c>
      <c r="AJ541" s="23" t="s">
        <v>27</v>
      </c>
      <c r="AK541" s="8" t="e">
        <f>VLOOKUP(A541,'[1]Externe MAJ Nov'!$A:$H,8,0)</f>
        <v>#N/A</v>
      </c>
      <c r="AL541" s="29" t="e">
        <f>VLOOKUP(A541,'[1]Externe MAJ Nov'!$A:$G,7,0)</f>
        <v>#N/A</v>
      </c>
      <c r="AM541" s="29" t="s">
        <v>493</v>
      </c>
      <c r="AN541" s="29" t="s">
        <v>27</v>
      </c>
      <c r="AO541" s="58">
        <v>44124</v>
      </c>
      <c r="AP541" s="29" t="e">
        <f>VLOOKUP(A541,'[2]External Scan 02_21'!$B:$J,9,0)</f>
        <v>#N/A</v>
      </c>
      <c r="AQ541" s="29" t="s">
        <v>28</v>
      </c>
      <c r="AR541" s="21"/>
      <c r="AS541" s="21" t="str">
        <f>VLOOKUP(AE541,'ref statu'!A:B,2,0)</f>
        <v>Fixed</v>
      </c>
      <c r="AT541" s="8" t="e">
        <f>VLOOKUP(A541,chk!A:B,2,0)</f>
        <v>#N/A</v>
      </c>
      <c r="AU541" s="29" t="e">
        <f>VLOOKUP(A541,checker!A:B,2,0)</f>
        <v>#N/A</v>
      </c>
      <c r="AV541" s="29" t="e">
        <f>VLOOKUP(A541,checker!B:C,2,0)</f>
        <v>#N/A</v>
      </c>
    </row>
    <row r="542" spans="1:48" x14ac:dyDescent="0.3">
      <c r="A542" s="29" t="str">
        <f t="shared" si="8"/>
        <v>96.692.66.674/443/ssl-cve-2011-3389-beast</v>
      </c>
      <c r="B542" s="29" t="s">
        <v>3009</v>
      </c>
      <c r="C542" s="29" t="s">
        <v>406</v>
      </c>
      <c r="D542" s="8" t="s">
        <v>2969</v>
      </c>
      <c r="E542" s="8" t="s">
        <v>311</v>
      </c>
      <c r="F542" s="29"/>
      <c r="G542" s="21" t="s">
        <v>407</v>
      </c>
      <c r="H542" s="29" t="s">
        <v>256</v>
      </c>
      <c r="I542" s="8" t="s">
        <v>257</v>
      </c>
      <c r="J542" s="8">
        <v>443</v>
      </c>
      <c r="K542" s="29" t="s">
        <v>290</v>
      </c>
      <c r="L542" s="29" t="s">
        <v>291</v>
      </c>
      <c r="M542" s="9">
        <v>4</v>
      </c>
      <c r="N542" s="9" t="s">
        <v>29</v>
      </c>
      <c r="O542" s="29" t="s">
        <v>105</v>
      </c>
      <c r="P542" s="29" t="s">
        <v>106</v>
      </c>
      <c r="Q542" s="29" t="s">
        <v>107</v>
      </c>
      <c r="R542" s="29" t="s">
        <v>108</v>
      </c>
      <c r="S542" s="29" t="s">
        <v>296</v>
      </c>
      <c r="T542" s="29" t="s">
        <v>109</v>
      </c>
      <c r="U542" s="29" t="s">
        <v>110</v>
      </c>
      <c r="V542" s="29" t="s">
        <v>297</v>
      </c>
      <c r="W542" s="29">
        <v>40792</v>
      </c>
      <c r="X542" s="8" t="s">
        <v>36</v>
      </c>
      <c r="Y542" s="8">
        <v>0</v>
      </c>
      <c r="Z542" s="8" t="s">
        <v>31</v>
      </c>
      <c r="AA542" s="8" t="s">
        <v>31</v>
      </c>
      <c r="AB542" s="8" t="s">
        <v>348</v>
      </c>
      <c r="AC542" s="29"/>
      <c r="AD542" s="29"/>
      <c r="AE542" s="95" t="s">
        <v>28</v>
      </c>
      <c r="AF542" s="30">
        <v>44142</v>
      </c>
      <c r="AG542" s="30">
        <v>44142</v>
      </c>
      <c r="AH542" s="25">
        <v>44142</v>
      </c>
      <c r="AI542" s="72">
        <v>44124</v>
      </c>
      <c r="AJ542" s="23" t="s">
        <v>27</v>
      </c>
      <c r="AK542" s="8" t="e">
        <f>VLOOKUP(A542,'[1]Externe MAJ Nov'!$A:$H,8,0)</f>
        <v>#N/A</v>
      </c>
      <c r="AL542" s="29" t="e">
        <f>VLOOKUP(A542,'[1]Externe MAJ Nov'!$A:$G,7,0)</f>
        <v>#N/A</v>
      </c>
      <c r="AM542" s="29" t="s">
        <v>95</v>
      </c>
      <c r="AN542" s="29" t="s">
        <v>27</v>
      </c>
      <c r="AO542" s="58">
        <v>44124</v>
      </c>
      <c r="AP542" s="29" t="e">
        <f>VLOOKUP(A542,'[2]External Scan 02_21'!$B:$J,9,0)</f>
        <v>#N/A</v>
      </c>
      <c r="AQ542" s="29" t="s">
        <v>28</v>
      </c>
      <c r="AR542" s="21"/>
      <c r="AS542" s="21" t="str">
        <f>VLOOKUP(AE542,'ref statu'!A:B,2,0)</f>
        <v>Fixed</v>
      </c>
      <c r="AT542" s="8" t="e">
        <f>VLOOKUP(A542,chk!A:B,2,0)</f>
        <v>#N/A</v>
      </c>
      <c r="AU542" s="29" t="e">
        <f>VLOOKUP(A542,checker!A:B,2,0)</f>
        <v>#N/A</v>
      </c>
      <c r="AV542" s="29" t="e">
        <f>VLOOKUP(A542,checker!B:C,2,0)</f>
        <v>#N/A</v>
      </c>
    </row>
    <row r="543" spans="1:48" x14ac:dyDescent="0.3">
      <c r="A543" s="29" t="str">
        <f t="shared" si="8"/>
        <v>96.692.66.674/443/ssl-cve-2016-2183-sweet32</v>
      </c>
      <c r="B543" s="29" t="s">
        <v>3009</v>
      </c>
      <c r="C543" s="29" t="s">
        <v>406</v>
      </c>
      <c r="D543" s="8" t="s">
        <v>2969</v>
      </c>
      <c r="E543" s="8" t="s">
        <v>311</v>
      </c>
      <c r="F543" s="29"/>
      <c r="G543" s="21" t="s">
        <v>407</v>
      </c>
      <c r="H543" s="29" t="s">
        <v>256</v>
      </c>
      <c r="I543" s="8" t="s">
        <v>257</v>
      </c>
      <c r="J543" s="8">
        <v>443</v>
      </c>
      <c r="K543" s="29" t="s">
        <v>290</v>
      </c>
      <c r="L543" s="29" t="s">
        <v>291</v>
      </c>
      <c r="M543" s="9">
        <v>5</v>
      </c>
      <c r="N543" s="9" t="s">
        <v>29</v>
      </c>
      <c r="O543" s="29" t="s">
        <v>111</v>
      </c>
      <c r="P543" s="29" t="s">
        <v>112</v>
      </c>
      <c r="Q543" s="29" t="s">
        <v>113</v>
      </c>
      <c r="R543" s="29" t="s">
        <v>103</v>
      </c>
      <c r="S543" s="29" t="s">
        <v>292</v>
      </c>
      <c r="T543" s="29" t="s">
        <v>114</v>
      </c>
      <c r="U543" s="29" t="s">
        <v>71</v>
      </c>
      <c r="V543" s="29" t="s">
        <v>278</v>
      </c>
      <c r="W543" s="29">
        <v>42606</v>
      </c>
      <c r="X543" s="8" t="s">
        <v>36</v>
      </c>
      <c r="Y543" s="8">
        <v>1</v>
      </c>
      <c r="Z543" s="8" t="s">
        <v>279</v>
      </c>
      <c r="AA543" s="8" t="s">
        <v>280</v>
      </c>
      <c r="AB543" s="8" t="s">
        <v>348</v>
      </c>
      <c r="AC543" s="29"/>
      <c r="AD543" s="29"/>
      <c r="AE543" s="95" t="s">
        <v>28</v>
      </c>
      <c r="AF543" s="30">
        <v>44142</v>
      </c>
      <c r="AG543" s="30">
        <v>44142</v>
      </c>
      <c r="AH543" s="25">
        <v>44142</v>
      </c>
      <c r="AI543" s="72">
        <v>44124</v>
      </c>
      <c r="AJ543" s="23" t="s">
        <v>27</v>
      </c>
      <c r="AK543" s="8" t="e">
        <f>VLOOKUP(A543,'[1]Externe MAJ Nov'!$A:$H,8,0)</f>
        <v>#N/A</v>
      </c>
      <c r="AL543" s="29" t="e">
        <f>VLOOKUP(A543,'[1]Externe MAJ Nov'!$A:$G,7,0)</f>
        <v>#N/A</v>
      </c>
      <c r="AM543" s="29" t="s">
        <v>95</v>
      </c>
      <c r="AN543" s="29" t="s">
        <v>27</v>
      </c>
      <c r="AO543" s="58">
        <v>44124</v>
      </c>
      <c r="AP543" s="29" t="e">
        <f>VLOOKUP(A543,'[2]External Scan 02_21'!$B:$J,9,0)</f>
        <v>#N/A</v>
      </c>
      <c r="AQ543" s="29" t="s">
        <v>28</v>
      </c>
      <c r="AR543" s="21"/>
      <c r="AS543" s="21" t="str">
        <f>VLOOKUP(AE543,'ref statu'!A:B,2,0)</f>
        <v>Fixed</v>
      </c>
      <c r="AT543" s="8" t="e">
        <f>VLOOKUP(A543,chk!A:B,2,0)</f>
        <v>#N/A</v>
      </c>
      <c r="AU543" s="29" t="e">
        <f>VLOOKUP(A543,checker!A:B,2,0)</f>
        <v>#N/A</v>
      </c>
      <c r="AV543" s="29" t="e">
        <f>VLOOKUP(A543,checker!B:C,2,0)</f>
        <v>#N/A</v>
      </c>
    </row>
    <row r="544" spans="1:48" x14ac:dyDescent="0.3">
      <c r="A544" s="29" t="str">
        <f t="shared" si="8"/>
        <v>96.692.66.674/443/ssl-static-key-ciphers</v>
      </c>
      <c r="B544" s="29" t="s">
        <v>3009</v>
      </c>
      <c r="C544" s="29" t="s">
        <v>406</v>
      </c>
      <c r="D544" s="8" t="s">
        <v>2969</v>
      </c>
      <c r="E544" s="8" t="s">
        <v>307</v>
      </c>
      <c r="F544" s="29"/>
      <c r="G544" s="21" t="s">
        <v>407</v>
      </c>
      <c r="H544" s="29" t="s">
        <v>256</v>
      </c>
      <c r="I544" s="8" t="s">
        <v>257</v>
      </c>
      <c r="J544" s="8">
        <v>443</v>
      </c>
      <c r="K544" s="29" t="s">
        <v>290</v>
      </c>
      <c r="L544" s="29" t="s">
        <v>291</v>
      </c>
      <c r="M544" s="9">
        <v>3</v>
      </c>
      <c r="N544" s="9" t="s">
        <v>42</v>
      </c>
      <c r="O544" s="29" t="s">
        <v>120</v>
      </c>
      <c r="P544" s="29" t="s">
        <v>121</v>
      </c>
      <c r="Q544" s="29" t="s">
        <v>122</v>
      </c>
      <c r="R544" s="29" t="s">
        <v>123</v>
      </c>
      <c r="S544" s="29" t="s">
        <v>295</v>
      </c>
      <c r="T544" s="29" t="s">
        <v>124</v>
      </c>
      <c r="U544" s="29" t="s">
        <v>31</v>
      </c>
      <c r="V544" s="29" t="s">
        <v>31</v>
      </c>
      <c r="W544" s="29">
        <v>42036</v>
      </c>
      <c r="X544" s="8" t="s">
        <v>36</v>
      </c>
      <c r="Y544" s="8">
        <v>0</v>
      </c>
      <c r="Z544" s="8" t="s">
        <v>31</v>
      </c>
      <c r="AA544" s="8" t="s">
        <v>31</v>
      </c>
      <c r="AB544" s="8" t="s">
        <v>348</v>
      </c>
      <c r="AC544" s="29"/>
      <c r="AD544" s="29"/>
      <c r="AE544" s="95" t="s">
        <v>28</v>
      </c>
      <c r="AF544" s="30">
        <v>44150</v>
      </c>
      <c r="AG544" s="30">
        <v>44150</v>
      </c>
      <c r="AH544" s="25">
        <v>44150</v>
      </c>
      <c r="AI544" s="72">
        <v>44124</v>
      </c>
      <c r="AJ544" s="23" t="s">
        <v>27</v>
      </c>
      <c r="AK544" s="8" t="e">
        <f>VLOOKUP(A544,'[1]Externe MAJ Nov'!$A:$H,8,0)</f>
        <v>#N/A</v>
      </c>
      <c r="AL544" s="29" t="e">
        <f>VLOOKUP(A544,'[1]Externe MAJ Nov'!$A:$G,7,0)</f>
        <v>#N/A</v>
      </c>
      <c r="AM544" s="29" t="s">
        <v>493</v>
      </c>
      <c r="AN544" s="29" t="s">
        <v>27</v>
      </c>
      <c r="AO544" s="58">
        <v>44124</v>
      </c>
      <c r="AP544" s="29" t="e">
        <f>VLOOKUP(A544,'[2]External Scan 02_21'!$B:$J,9,0)</f>
        <v>#N/A</v>
      </c>
      <c r="AQ544" s="29" t="s">
        <v>28</v>
      </c>
      <c r="AR544" s="21"/>
      <c r="AS544" s="21" t="str">
        <f>VLOOKUP(AE544,'ref statu'!A:B,2,0)</f>
        <v>Fixed</v>
      </c>
      <c r="AT544" s="8" t="e">
        <f>VLOOKUP(A544,chk!A:B,2,0)</f>
        <v>#N/A</v>
      </c>
      <c r="AU544" s="29" t="e">
        <f>VLOOKUP(A544,checker!A:B,2,0)</f>
        <v>#N/A</v>
      </c>
      <c r="AV544" s="29" t="e">
        <f>VLOOKUP(A544,checker!B:C,2,0)</f>
        <v>#N/A</v>
      </c>
    </row>
    <row r="545" spans="1:48" x14ac:dyDescent="0.3">
      <c r="A545" s="29" t="str">
        <f t="shared" si="8"/>
        <v>96.692.66.674/443/tls-server-cert-expired</v>
      </c>
      <c r="B545" s="61" t="s">
        <v>3009</v>
      </c>
      <c r="C545" s="61" t="s">
        <v>406</v>
      </c>
      <c r="D545" s="37" t="s">
        <v>2969</v>
      </c>
      <c r="E545" s="37" t="s">
        <v>494</v>
      </c>
      <c r="F545" s="61" t="s">
        <v>2455</v>
      </c>
      <c r="G545" s="61" t="s">
        <v>407</v>
      </c>
      <c r="H545" s="61" t="s">
        <v>256</v>
      </c>
      <c r="I545" s="37" t="s">
        <v>257</v>
      </c>
      <c r="J545" s="37">
        <v>443</v>
      </c>
      <c r="K545" s="61" t="s">
        <v>290</v>
      </c>
      <c r="L545" s="61" t="s">
        <v>291</v>
      </c>
      <c r="M545" s="9">
        <v>7</v>
      </c>
      <c r="N545" s="10" t="s">
        <v>2540</v>
      </c>
      <c r="O545" s="61" t="s">
        <v>183</v>
      </c>
      <c r="P545" s="61" t="s">
        <v>184</v>
      </c>
      <c r="Q545" s="61" t="s">
        <v>185</v>
      </c>
      <c r="R545" s="61" t="s">
        <v>186</v>
      </c>
      <c r="S545" s="61" t="s">
        <v>515</v>
      </c>
      <c r="T545" s="61" t="s">
        <v>31</v>
      </c>
      <c r="U545" s="61" t="s">
        <v>31</v>
      </c>
      <c r="V545" s="61" t="s">
        <v>31</v>
      </c>
      <c r="W545" s="62">
        <v>34700</v>
      </c>
      <c r="X545" s="37" t="s">
        <v>36</v>
      </c>
      <c r="Y545" s="37">
        <v>0</v>
      </c>
      <c r="Z545" s="37" t="s">
        <v>31</v>
      </c>
      <c r="AA545" s="37" t="s">
        <v>31</v>
      </c>
      <c r="AB545" s="37" t="s">
        <v>513</v>
      </c>
      <c r="AC545" s="61"/>
      <c r="AD545" s="34"/>
      <c r="AE545" s="101" t="s">
        <v>28</v>
      </c>
      <c r="AF545" s="22"/>
      <c r="AG545" s="36"/>
      <c r="AH545" s="40"/>
      <c r="AI545" s="72">
        <v>44185</v>
      </c>
      <c r="AJ545" s="38" t="s">
        <v>27</v>
      </c>
      <c r="AK545" s="39" t="e">
        <f>VLOOKUP(A545,'[1]Externe MAJ Nov'!$A:$H,8,0)</f>
        <v>#N/A</v>
      </c>
      <c r="AL545" s="61" t="s">
        <v>27</v>
      </c>
      <c r="AM545" s="61"/>
      <c r="AN545" s="61"/>
      <c r="AO545" s="58">
        <v>44185</v>
      </c>
      <c r="AP545" s="29" t="e">
        <f>VLOOKUP(A545,'[2]External Scan 02_21'!$B:$J,9,0)</f>
        <v>#N/A</v>
      </c>
      <c r="AQ545" s="29" t="s">
        <v>28</v>
      </c>
      <c r="AR545" s="21"/>
      <c r="AS545" s="21" t="str">
        <f>VLOOKUP(AE545,'ref statu'!A:B,2,0)</f>
        <v>Fixed</v>
      </c>
      <c r="AT545" s="8" t="e">
        <f>VLOOKUP(A545,chk!A:B,2,0)</f>
        <v>#N/A</v>
      </c>
      <c r="AU545" s="29" t="e">
        <f>VLOOKUP(A545,checker!A:B,2,0)</f>
        <v>#N/A</v>
      </c>
      <c r="AV545" s="29" t="e">
        <f>VLOOKUP(A545,checker!B:C,2,0)</f>
        <v>#N/A</v>
      </c>
    </row>
    <row r="546" spans="1:48" x14ac:dyDescent="0.3">
      <c r="A546" s="29" t="str">
        <f t="shared" si="8"/>
        <v>96.692.66.674/443/tls-server-cert-to-expire</v>
      </c>
      <c r="B546" s="59" t="s">
        <v>3009</v>
      </c>
      <c r="C546" s="59" t="s">
        <v>406</v>
      </c>
      <c r="D546" s="31" t="s">
        <v>2970</v>
      </c>
      <c r="E546" s="31" t="s">
        <v>311</v>
      </c>
      <c r="F546" s="8" t="s">
        <v>27</v>
      </c>
      <c r="G546" s="32" t="s">
        <v>407</v>
      </c>
      <c r="H546" s="59" t="s">
        <v>256</v>
      </c>
      <c r="I546" s="31" t="s">
        <v>390</v>
      </c>
      <c r="J546" s="31">
        <v>443</v>
      </c>
      <c r="K546" s="59" t="s">
        <v>290</v>
      </c>
      <c r="L546" s="59" t="s">
        <v>291</v>
      </c>
      <c r="M546" s="9">
        <v>1</v>
      </c>
      <c r="N546" s="9" t="s">
        <v>42</v>
      </c>
      <c r="O546" s="59" t="s">
        <v>210</v>
      </c>
      <c r="P546" s="59" t="s">
        <v>211</v>
      </c>
      <c r="Q546" s="59" t="s">
        <v>212</v>
      </c>
      <c r="R546" s="59" t="s">
        <v>186</v>
      </c>
      <c r="S546" s="59" t="s">
        <v>515</v>
      </c>
      <c r="T546" s="59" t="s">
        <v>31</v>
      </c>
      <c r="U546" s="59" t="s">
        <v>31</v>
      </c>
      <c r="V546" s="59" t="s">
        <v>31</v>
      </c>
      <c r="W546" s="60">
        <v>34700</v>
      </c>
      <c r="X546" s="31" t="s">
        <v>36</v>
      </c>
      <c r="Y546" s="31">
        <v>0</v>
      </c>
      <c r="Z546" s="31" t="s">
        <v>31</v>
      </c>
      <c r="AA546" s="31" t="s">
        <v>31</v>
      </c>
      <c r="AB546" s="31" t="s">
        <v>513</v>
      </c>
      <c r="AC546" s="59"/>
      <c r="AD546" s="34"/>
      <c r="AE546" s="101" t="s">
        <v>28</v>
      </c>
      <c r="AF546" s="30">
        <v>44153</v>
      </c>
      <c r="AG546" s="35">
        <v>44153</v>
      </c>
      <c r="AH546" s="31"/>
      <c r="AI546" s="72">
        <v>44155</v>
      </c>
      <c r="AJ546" s="23" t="s">
        <v>27</v>
      </c>
      <c r="AK546" s="8" t="e">
        <f>VLOOKUP(A546,'[1]Externe MAJ Nov'!$A:$H,8,0)</f>
        <v>#N/A</v>
      </c>
      <c r="AL546" s="29" t="e">
        <f>VLOOKUP(A546,'[1]Externe MAJ Nov'!$A:$G,7,0)</f>
        <v>#N/A</v>
      </c>
      <c r="AM546" s="59"/>
      <c r="AN546" s="59"/>
      <c r="AO546" s="58">
        <v>44155</v>
      </c>
      <c r="AP546" s="29" t="e">
        <f>VLOOKUP(A546,'[2]External Scan 02_21'!$B:$J,9,0)</f>
        <v>#N/A</v>
      </c>
      <c r="AQ546" s="29" t="s">
        <v>28</v>
      </c>
      <c r="AR546" s="21"/>
      <c r="AS546" s="21" t="str">
        <f>VLOOKUP(AE546,'ref statu'!A:B,2,0)</f>
        <v>Fixed</v>
      </c>
      <c r="AT546" s="8" t="e">
        <f>VLOOKUP(A546,chk!A:B,2,0)</f>
        <v>#N/A</v>
      </c>
      <c r="AU546" s="29" t="e">
        <f>VLOOKUP(A546,checker!A:B,2,0)</f>
        <v>#N/A</v>
      </c>
      <c r="AV546" s="29" t="e">
        <f>VLOOKUP(A546,checker!B:C,2,0)</f>
        <v>#N/A</v>
      </c>
    </row>
    <row r="547" spans="1:48" x14ac:dyDescent="0.3">
      <c r="A547" s="29" t="str">
        <f t="shared" si="8"/>
        <v>96.692.66.674/443/tls-untrusted-ca</v>
      </c>
      <c r="B547" s="61" t="s">
        <v>3009</v>
      </c>
      <c r="C547" s="61" t="s">
        <v>406</v>
      </c>
      <c r="D547" s="37" t="s">
        <v>2969</v>
      </c>
      <c r="E547" s="37" t="s">
        <v>494</v>
      </c>
      <c r="F547" s="61" t="s">
        <v>2455</v>
      </c>
      <c r="G547" s="61" t="s">
        <v>407</v>
      </c>
      <c r="H547" s="61" t="s">
        <v>256</v>
      </c>
      <c r="I547" s="37" t="s">
        <v>257</v>
      </c>
      <c r="J547" s="37">
        <v>443</v>
      </c>
      <c r="K547" s="61" t="s">
        <v>290</v>
      </c>
      <c r="L547" s="61" t="s">
        <v>291</v>
      </c>
      <c r="M547" s="9">
        <v>6</v>
      </c>
      <c r="N547" s="9" t="s">
        <v>29</v>
      </c>
      <c r="O547" s="61" t="s">
        <v>131</v>
      </c>
      <c r="P547" s="61" t="s">
        <v>132</v>
      </c>
      <c r="Q547" s="61" t="s">
        <v>133</v>
      </c>
      <c r="R547" s="61" t="s">
        <v>134</v>
      </c>
      <c r="S547" s="61" t="s">
        <v>2474</v>
      </c>
      <c r="T547" s="61" t="s">
        <v>135</v>
      </c>
      <c r="U547" s="61" t="s">
        <v>31</v>
      </c>
      <c r="V547" s="61" t="s">
        <v>31</v>
      </c>
      <c r="W547" s="62">
        <v>34700</v>
      </c>
      <c r="X547" s="37" t="s">
        <v>36</v>
      </c>
      <c r="Y547" s="37">
        <v>0</v>
      </c>
      <c r="Z547" s="37" t="s">
        <v>31</v>
      </c>
      <c r="AA547" s="37" t="s">
        <v>31</v>
      </c>
      <c r="AB547" s="37" t="s">
        <v>513</v>
      </c>
      <c r="AC547" s="61"/>
      <c r="AD547" s="33"/>
      <c r="AE547" s="101" t="s">
        <v>28</v>
      </c>
      <c r="AF547" s="22"/>
      <c r="AG547" s="36"/>
      <c r="AH547" s="40"/>
      <c r="AI547" s="72">
        <v>44185</v>
      </c>
      <c r="AJ547" s="38" t="s">
        <v>27</v>
      </c>
      <c r="AK547" s="39" t="e">
        <f>VLOOKUP(A547,'[1]Externe MAJ Nov'!$A:$H,8,0)</f>
        <v>#N/A</v>
      </c>
      <c r="AL547" s="61" t="s">
        <v>27</v>
      </c>
      <c r="AM547" s="61"/>
      <c r="AN547" s="61"/>
      <c r="AO547" s="58">
        <v>44185</v>
      </c>
      <c r="AP547" s="29" t="e">
        <f>VLOOKUP(A547,'[2]External Scan 02_21'!$B:$J,9,0)</f>
        <v>#N/A</v>
      </c>
      <c r="AQ547" s="29" t="s">
        <v>28</v>
      </c>
      <c r="AR547" s="21"/>
      <c r="AS547" s="21" t="str">
        <f>VLOOKUP(AE547,'ref statu'!A:B,2,0)</f>
        <v>Fixed</v>
      </c>
      <c r="AT547" s="8" t="e">
        <f>VLOOKUP(A547,chk!A:B,2,0)</f>
        <v>#N/A</v>
      </c>
      <c r="AU547" s="29" t="e">
        <f>VLOOKUP(A547,checker!A:B,2,0)</f>
        <v>#N/A</v>
      </c>
      <c r="AV547" s="29" t="e">
        <f>VLOOKUP(A547,checker!B:C,2,0)</f>
        <v>#N/A</v>
      </c>
    </row>
    <row r="548" spans="1:48" x14ac:dyDescent="0.3">
      <c r="A548" s="29" t="str">
        <f t="shared" si="8"/>
        <v>96.692.66.674/443/tlsv1_0-enabled</v>
      </c>
      <c r="B548" s="29" t="s">
        <v>3009</v>
      </c>
      <c r="C548" s="29" t="s">
        <v>406</v>
      </c>
      <c r="D548" s="8" t="s">
        <v>2969</v>
      </c>
      <c r="E548" s="8" t="s">
        <v>311</v>
      </c>
      <c r="F548" s="29"/>
      <c r="G548" s="21" t="s">
        <v>407</v>
      </c>
      <c r="H548" s="29" t="s">
        <v>256</v>
      </c>
      <c r="I548" s="8" t="s">
        <v>257</v>
      </c>
      <c r="J548" s="8">
        <v>443</v>
      </c>
      <c r="K548" s="29" t="s">
        <v>290</v>
      </c>
      <c r="L548" s="29" t="s">
        <v>291</v>
      </c>
      <c r="M548" s="9">
        <v>4</v>
      </c>
      <c r="N548" s="9" t="s">
        <v>29</v>
      </c>
      <c r="O548" s="29" t="s">
        <v>136</v>
      </c>
      <c r="P548" s="29" t="s">
        <v>137</v>
      </c>
      <c r="Q548" s="29" t="s">
        <v>138</v>
      </c>
      <c r="R548" s="29" t="s">
        <v>139</v>
      </c>
      <c r="S548" s="29" t="s">
        <v>140</v>
      </c>
      <c r="T548" s="29" t="s">
        <v>141</v>
      </c>
      <c r="U548" s="29" t="s">
        <v>31</v>
      </c>
      <c r="V548" s="29" t="s">
        <v>31</v>
      </c>
      <c r="W548" s="29">
        <v>41926</v>
      </c>
      <c r="X548" s="8" t="s">
        <v>36</v>
      </c>
      <c r="Y548" s="8">
        <v>0</v>
      </c>
      <c r="Z548" s="8" t="s">
        <v>31</v>
      </c>
      <c r="AA548" s="8" t="s">
        <v>31</v>
      </c>
      <c r="AB548" s="8" t="s">
        <v>348</v>
      </c>
      <c r="AC548" s="29"/>
      <c r="AD548" s="29"/>
      <c r="AE548" s="95" t="s">
        <v>28</v>
      </c>
      <c r="AF548" s="30">
        <v>44142</v>
      </c>
      <c r="AG548" s="30">
        <v>44142</v>
      </c>
      <c r="AH548" s="25">
        <v>44142</v>
      </c>
      <c r="AI548" s="72">
        <v>44124</v>
      </c>
      <c r="AJ548" s="23" t="s">
        <v>27</v>
      </c>
      <c r="AK548" s="8" t="e">
        <f>VLOOKUP(A548,'[1]Externe MAJ Nov'!$A:$H,8,0)</f>
        <v>#N/A</v>
      </c>
      <c r="AL548" s="29" t="e">
        <f>VLOOKUP(A548,'[1]Externe MAJ Nov'!$A:$G,7,0)</f>
        <v>#N/A</v>
      </c>
      <c r="AM548" s="29" t="s">
        <v>95</v>
      </c>
      <c r="AN548" s="29" t="s">
        <v>27</v>
      </c>
      <c r="AO548" s="58">
        <v>44124</v>
      </c>
      <c r="AP548" s="29" t="e">
        <f>VLOOKUP(A548,'[2]External Scan 02_21'!$B:$J,9,0)</f>
        <v>#N/A</v>
      </c>
      <c r="AQ548" s="29" t="s">
        <v>28</v>
      </c>
      <c r="AR548" s="21"/>
      <c r="AS548" s="21" t="str">
        <f>VLOOKUP(AE548,'ref statu'!A:B,2,0)</f>
        <v>Fixed</v>
      </c>
      <c r="AT548" s="8" t="e">
        <f>VLOOKUP(A548,chk!A:B,2,0)</f>
        <v>#N/A</v>
      </c>
      <c r="AU548" s="29" t="e">
        <f>VLOOKUP(A548,checker!A:B,2,0)</f>
        <v>#N/A</v>
      </c>
      <c r="AV548" s="29" t="e">
        <f>VLOOKUP(A548,checker!B:C,2,0)</f>
        <v>#N/A</v>
      </c>
    </row>
    <row r="549" spans="1:48" x14ac:dyDescent="0.3">
      <c r="A549" s="29" t="str">
        <f t="shared" si="8"/>
        <v>96.692.66.674/443/tlsv1_1-enabled</v>
      </c>
      <c r="B549" s="29" t="s">
        <v>3009</v>
      </c>
      <c r="C549" s="29" t="s">
        <v>406</v>
      </c>
      <c r="D549" s="8" t="s">
        <v>2969</v>
      </c>
      <c r="E549" s="8" t="s">
        <v>307</v>
      </c>
      <c r="F549" s="29"/>
      <c r="G549" s="21" t="s">
        <v>407</v>
      </c>
      <c r="H549" s="29" t="s">
        <v>256</v>
      </c>
      <c r="I549" s="8" t="s">
        <v>257</v>
      </c>
      <c r="J549" s="8">
        <v>443</v>
      </c>
      <c r="K549" s="29" t="s">
        <v>290</v>
      </c>
      <c r="L549" s="29" t="s">
        <v>291</v>
      </c>
      <c r="M549" s="9">
        <v>3</v>
      </c>
      <c r="N549" s="9" t="s">
        <v>42</v>
      </c>
      <c r="O549" s="29" t="s">
        <v>142</v>
      </c>
      <c r="P549" s="29" t="s">
        <v>143</v>
      </c>
      <c r="Q549" s="29" t="s">
        <v>138</v>
      </c>
      <c r="R549" s="29" t="s">
        <v>139</v>
      </c>
      <c r="S549" s="29" t="s">
        <v>144</v>
      </c>
      <c r="T549" s="29" t="s">
        <v>141</v>
      </c>
      <c r="U549" s="29" t="s">
        <v>31</v>
      </c>
      <c r="V549" s="29" t="s">
        <v>31</v>
      </c>
      <c r="W549" s="29">
        <v>41926</v>
      </c>
      <c r="X549" s="8" t="s">
        <v>36</v>
      </c>
      <c r="Y549" s="8">
        <v>0</v>
      </c>
      <c r="Z549" s="8" t="s">
        <v>31</v>
      </c>
      <c r="AA549" s="8" t="s">
        <v>31</v>
      </c>
      <c r="AB549" s="8" t="s">
        <v>348</v>
      </c>
      <c r="AC549" s="29"/>
      <c r="AD549" s="29"/>
      <c r="AE549" s="95" t="s">
        <v>28</v>
      </c>
      <c r="AF549" s="30">
        <v>44150</v>
      </c>
      <c r="AG549" s="30">
        <v>44150</v>
      </c>
      <c r="AH549" s="25">
        <v>44150</v>
      </c>
      <c r="AI549" s="72">
        <v>44124</v>
      </c>
      <c r="AJ549" s="23" t="s">
        <v>27</v>
      </c>
      <c r="AK549" s="8" t="e">
        <f>VLOOKUP(A549,'[1]Externe MAJ Nov'!$A:$H,8,0)</f>
        <v>#N/A</v>
      </c>
      <c r="AL549" s="29" t="e">
        <f>VLOOKUP(A549,'[1]Externe MAJ Nov'!$A:$G,7,0)</f>
        <v>#N/A</v>
      </c>
      <c r="AM549" s="29" t="s">
        <v>493</v>
      </c>
      <c r="AN549" s="29" t="s">
        <v>27</v>
      </c>
      <c r="AO549" s="58">
        <v>44124</v>
      </c>
      <c r="AP549" s="29" t="e">
        <f>VLOOKUP(A549,'[2]External Scan 02_21'!$B:$J,9,0)</f>
        <v>#N/A</v>
      </c>
      <c r="AQ549" s="29" t="s">
        <v>28</v>
      </c>
      <c r="AR549" s="21"/>
      <c r="AS549" s="21" t="str">
        <f>VLOOKUP(AE549,'ref statu'!A:B,2,0)</f>
        <v>Fixed</v>
      </c>
      <c r="AT549" s="8" t="e">
        <f>VLOOKUP(A549,chk!A:B,2,0)</f>
        <v>#N/A</v>
      </c>
      <c r="AU549" s="29" t="e">
        <f>VLOOKUP(A549,checker!A:B,2,0)</f>
        <v>#N/A</v>
      </c>
      <c r="AV549" s="29" t="e">
        <f>VLOOKUP(A549,checker!B:C,2,0)</f>
        <v>#N/A</v>
      </c>
    </row>
    <row r="550" spans="1:48" x14ac:dyDescent="0.3">
      <c r="A550" s="29" t="str">
        <f t="shared" si="8"/>
        <v>96.692.66.675/0/generic-tcp-timestamp</v>
      </c>
      <c r="B550" s="61" t="s">
        <v>3010</v>
      </c>
      <c r="C550" s="61" t="s">
        <v>2475</v>
      </c>
      <c r="D550" s="61" t="s">
        <v>2971</v>
      </c>
      <c r="E550" s="61" t="s">
        <v>494</v>
      </c>
      <c r="F550" s="61" t="s">
        <v>2455</v>
      </c>
      <c r="G550" s="61" t="s">
        <v>2476</v>
      </c>
      <c r="H550" s="61" t="s">
        <v>256</v>
      </c>
      <c r="I550" s="37" t="s">
        <v>390</v>
      </c>
      <c r="J550" s="37">
        <v>0</v>
      </c>
      <c r="K550" s="61" t="s">
        <v>258</v>
      </c>
      <c r="L550" s="61" t="s">
        <v>31</v>
      </c>
      <c r="M550" s="9">
        <v>1</v>
      </c>
      <c r="N550" s="9" t="s">
        <v>42</v>
      </c>
      <c r="O550" s="61" t="s">
        <v>78</v>
      </c>
      <c r="P550" s="61" t="s">
        <v>79</v>
      </c>
      <c r="Q550" s="61" t="s">
        <v>80</v>
      </c>
      <c r="R550" s="61" t="s">
        <v>81</v>
      </c>
      <c r="S550" s="61" t="s">
        <v>82</v>
      </c>
      <c r="T550" s="61" t="s">
        <v>83</v>
      </c>
      <c r="U550" s="61" t="s">
        <v>31</v>
      </c>
      <c r="V550" s="61" t="s">
        <v>31</v>
      </c>
      <c r="W550" s="62">
        <v>35643</v>
      </c>
      <c r="X550" s="37" t="s">
        <v>36</v>
      </c>
      <c r="Y550" s="37">
        <v>0</v>
      </c>
      <c r="Z550" s="37" t="s">
        <v>31</v>
      </c>
      <c r="AA550" s="37" t="s">
        <v>31</v>
      </c>
      <c r="AB550" s="37" t="s">
        <v>513</v>
      </c>
      <c r="AC550" s="61"/>
      <c r="AD550" s="34" t="s">
        <v>2487</v>
      </c>
      <c r="AE550" s="101" t="s">
        <v>28</v>
      </c>
      <c r="AF550" s="22">
        <v>44224</v>
      </c>
      <c r="AG550" s="36">
        <v>44224</v>
      </c>
      <c r="AH550" s="37"/>
      <c r="AI550" s="72">
        <v>44185</v>
      </c>
      <c r="AJ550" s="38" t="s">
        <v>262</v>
      </c>
      <c r="AK550" s="39" t="e">
        <f>VLOOKUP(A550,'[1]Externe MAJ Nov'!$A:$H,8,0)</f>
        <v>#N/A</v>
      </c>
      <c r="AL550" s="61"/>
      <c r="AM550" s="61"/>
      <c r="AN550" s="61"/>
      <c r="AO550" s="58">
        <v>44185</v>
      </c>
      <c r="AP550" s="29" t="e">
        <f>VLOOKUP(A550,'[2]External Scan 02_21'!$B:$J,9,0)</f>
        <v>#N/A</v>
      </c>
      <c r="AQ550" s="29" t="s">
        <v>28</v>
      </c>
      <c r="AR550" s="21"/>
      <c r="AS550" s="21" t="str">
        <f>VLOOKUP(AE550,'ref statu'!A:B,2,0)</f>
        <v>Fixed</v>
      </c>
      <c r="AT550" s="8" t="e">
        <f>VLOOKUP(A550,chk!A:B,2,0)</f>
        <v>#N/A</v>
      </c>
      <c r="AU550" s="29" t="e">
        <f>VLOOKUP(A550,checker!A:B,2,0)</f>
        <v>#N/A</v>
      </c>
      <c r="AV550" s="29" t="e">
        <f>VLOOKUP(A550,checker!B:C,2,0)</f>
        <v>#N/A</v>
      </c>
    </row>
    <row r="551" spans="1:48" x14ac:dyDescent="0.3">
      <c r="A551" s="29" t="str">
        <f t="shared" si="8"/>
        <v>96.692.66.675/443/certificate-common-name-mismatch</v>
      </c>
      <c r="B551" s="61" t="s">
        <v>3010</v>
      </c>
      <c r="C551" s="61" t="s">
        <v>2475</v>
      </c>
      <c r="D551" s="61" t="s">
        <v>2971</v>
      </c>
      <c r="E551" s="61" t="s">
        <v>299</v>
      </c>
      <c r="F551" s="61" t="s">
        <v>2455</v>
      </c>
      <c r="G551" s="61" t="s">
        <v>2476</v>
      </c>
      <c r="H551" s="61" t="s">
        <v>256</v>
      </c>
      <c r="I551" s="37" t="s">
        <v>390</v>
      </c>
      <c r="J551" s="37">
        <v>443</v>
      </c>
      <c r="K551" s="61" t="s">
        <v>290</v>
      </c>
      <c r="L551" s="61" t="s">
        <v>31</v>
      </c>
      <c r="M551" s="9">
        <v>7</v>
      </c>
      <c r="N551" s="10" t="s">
        <v>2540</v>
      </c>
      <c r="O551" s="61" t="s">
        <v>148</v>
      </c>
      <c r="P551" s="61" t="s">
        <v>149</v>
      </c>
      <c r="Q551" s="61" t="s">
        <v>150</v>
      </c>
      <c r="R551" s="61" t="s">
        <v>151</v>
      </c>
      <c r="S551" s="61" t="s">
        <v>243</v>
      </c>
      <c r="T551" s="61" t="s">
        <v>31</v>
      </c>
      <c r="U551" s="61" t="s">
        <v>31</v>
      </c>
      <c r="V551" s="61" t="s">
        <v>31</v>
      </c>
      <c r="W551" s="62">
        <v>39297</v>
      </c>
      <c r="X551" s="37" t="s">
        <v>36</v>
      </c>
      <c r="Y551" s="37">
        <v>0</v>
      </c>
      <c r="Z551" s="37" t="s">
        <v>31</v>
      </c>
      <c r="AA551" s="37" t="s">
        <v>31</v>
      </c>
      <c r="AB551" s="37" t="s">
        <v>513</v>
      </c>
      <c r="AC551" s="61"/>
      <c r="AD551" s="34"/>
      <c r="AE551" s="101" t="s">
        <v>299</v>
      </c>
      <c r="AF551" s="22"/>
      <c r="AG551" s="36"/>
      <c r="AH551" s="40"/>
      <c r="AI551" s="72">
        <v>44185</v>
      </c>
      <c r="AJ551" s="38" t="s">
        <v>262</v>
      </c>
      <c r="AK551" s="39" t="e">
        <f>VLOOKUP(A551,'[1]Externe MAJ Nov'!$A:$H,8,0)</f>
        <v>#N/A</v>
      </c>
      <c r="AL551" s="61" t="s">
        <v>240</v>
      </c>
      <c r="AM551" s="61"/>
      <c r="AN551" s="61"/>
      <c r="AO551" s="58">
        <v>44185</v>
      </c>
      <c r="AP551" s="29" t="e">
        <f>VLOOKUP(A551,'[2]External Scan 02_21'!$B:$J,9,0)</f>
        <v>#N/A</v>
      </c>
      <c r="AQ551" s="29" t="s">
        <v>299</v>
      </c>
      <c r="AR551" s="21"/>
      <c r="AS551" s="21" t="str">
        <f>VLOOKUP(AE551,'ref statu'!A:B,2,0)</f>
        <v>Faux Positive</v>
      </c>
      <c r="AT551" s="8" t="e">
        <f>VLOOKUP(A551,chk!A:B,2,0)</f>
        <v>#N/A</v>
      </c>
      <c r="AU551" s="29" t="e">
        <f>VLOOKUP(A551,checker!A:B,2,0)</f>
        <v>#N/A</v>
      </c>
      <c r="AV551" s="29" t="e">
        <f>VLOOKUP(A551,checker!B:C,2,0)</f>
        <v>#N/A</v>
      </c>
    </row>
    <row r="552" spans="1:48" x14ac:dyDescent="0.3">
      <c r="A552" s="29" t="str">
        <f t="shared" si="8"/>
        <v>96.692.66.677/0/generic-tcp-timestamp</v>
      </c>
      <c r="B552" s="61" t="s">
        <v>3011</v>
      </c>
      <c r="C552" s="61" t="s">
        <v>2477</v>
      </c>
      <c r="D552" s="61" t="s">
        <v>2972</v>
      </c>
      <c r="E552" s="61" t="s">
        <v>494</v>
      </c>
      <c r="F552" s="61" t="s">
        <v>2455</v>
      </c>
      <c r="G552" s="61" t="s">
        <v>2478</v>
      </c>
      <c r="H552" s="61" t="s">
        <v>256</v>
      </c>
      <c r="I552" s="37" t="s">
        <v>257</v>
      </c>
      <c r="J552" s="37">
        <v>0</v>
      </c>
      <c r="K552" s="61" t="s">
        <v>258</v>
      </c>
      <c r="L552" s="61" t="s">
        <v>31</v>
      </c>
      <c r="M552" s="9">
        <v>1</v>
      </c>
      <c r="N552" s="9" t="s">
        <v>42</v>
      </c>
      <c r="O552" s="61" t="s">
        <v>78</v>
      </c>
      <c r="P552" s="61" t="s">
        <v>79</v>
      </c>
      <c r="Q552" s="61" t="s">
        <v>80</v>
      </c>
      <c r="R552" s="61" t="s">
        <v>81</v>
      </c>
      <c r="S552" s="61" t="s">
        <v>82</v>
      </c>
      <c r="T552" s="61" t="s">
        <v>83</v>
      </c>
      <c r="U552" s="61" t="s">
        <v>31</v>
      </c>
      <c r="V552" s="61" t="s">
        <v>31</v>
      </c>
      <c r="W552" s="62">
        <v>35643</v>
      </c>
      <c r="X552" s="37" t="s">
        <v>36</v>
      </c>
      <c r="Y552" s="37">
        <v>0</v>
      </c>
      <c r="Z552" s="37" t="s">
        <v>31</v>
      </c>
      <c r="AA552" s="37" t="s">
        <v>31</v>
      </c>
      <c r="AB552" s="37" t="s">
        <v>513</v>
      </c>
      <c r="AC552" s="61"/>
      <c r="AD552" s="33" t="s">
        <v>2487</v>
      </c>
      <c r="AE552" s="101" t="s">
        <v>28</v>
      </c>
      <c r="AF552" s="22">
        <v>44224</v>
      </c>
      <c r="AG552" s="36">
        <v>44224</v>
      </c>
      <c r="AH552" s="37"/>
      <c r="AI552" s="72">
        <v>44185</v>
      </c>
      <c r="AJ552" s="38" t="s">
        <v>262</v>
      </c>
      <c r="AK552" s="39" t="e">
        <f>VLOOKUP(A552,'[1]Externe MAJ Nov'!$A:$H,8,0)</f>
        <v>#N/A</v>
      </c>
      <c r="AL552" s="61"/>
      <c r="AM552" s="61"/>
      <c r="AN552" s="61"/>
      <c r="AO552" s="58">
        <v>44185</v>
      </c>
      <c r="AP552" s="29" t="e">
        <f>VLOOKUP(A552,'[2]External Scan 02_21'!$B:$J,9,0)</f>
        <v>#N/A</v>
      </c>
      <c r="AQ552" s="29" t="s">
        <v>28</v>
      </c>
      <c r="AR552" s="21"/>
      <c r="AS552" s="21" t="str">
        <f>VLOOKUP(AE552,'ref statu'!A:B,2,0)</f>
        <v>Fixed</v>
      </c>
      <c r="AT552" s="8" t="e">
        <f>VLOOKUP(A552,chk!A:B,2,0)</f>
        <v>#N/A</v>
      </c>
      <c r="AU552" s="29" t="e">
        <f>VLOOKUP(A552,checker!A:B,2,0)</f>
        <v>#N/A</v>
      </c>
      <c r="AV552" s="29" t="e">
        <f>VLOOKUP(A552,checker!B:C,2,0)</f>
        <v>#N/A</v>
      </c>
    </row>
    <row r="553" spans="1:48" x14ac:dyDescent="0.3">
      <c r="A553" s="29" t="str">
        <f t="shared" si="8"/>
        <v>96.692.66.677/443/certificate-common-name-mismatch</v>
      </c>
      <c r="B553" s="61" t="s">
        <v>3011</v>
      </c>
      <c r="C553" s="61" t="s">
        <v>2477</v>
      </c>
      <c r="D553" s="61" t="s">
        <v>2972</v>
      </c>
      <c r="E553" s="61" t="s">
        <v>299</v>
      </c>
      <c r="F553" s="61" t="s">
        <v>2455</v>
      </c>
      <c r="G553" s="61" t="s">
        <v>2478</v>
      </c>
      <c r="H553" s="61" t="s">
        <v>256</v>
      </c>
      <c r="I553" s="37" t="s">
        <v>257</v>
      </c>
      <c r="J553" s="37">
        <v>443</v>
      </c>
      <c r="K553" s="61" t="s">
        <v>290</v>
      </c>
      <c r="L553" s="61" t="s">
        <v>31</v>
      </c>
      <c r="M553" s="9">
        <v>7</v>
      </c>
      <c r="N553" s="10" t="s">
        <v>2540</v>
      </c>
      <c r="O553" s="61" t="s">
        <v>148</v>
      </c>
      <c r="P553" s="61" t="s">
        <v>149</v>
      </c>
      <c r="Q553" s="61" t="s">
        <v>150</v>
      </c>
      <c r="R553" s="61" t="s">
        <v>151</v>
      </c>
      <c r="S553" s="61" t="s">
        <v>243</v>
      </c>
      <c r="T553" s="61" t="s">
        <v>31</v>
      </c>
      <c r="U553" s="61" t="s">
        <v>31</v>
      </c>
      <c r="V553" s="61" t="s">
        <v>31</v>
      </c>
      <c r="W553" s="62">
        <v>39297</v>
      </c>
      <c r="X553" s="37" t="s">
        <v>36</v>
      </c>
      <c r="Y553" s="37">
        <v>0</v>
      </c>
      <c r="Z553" s="37" t="s">
        <v>31</v>
      </c>
      <c r="AA553" s="37" t="s">
        <v>31</v>
      </c>
      <c r="AB553" s="37" t="s">
        <v>513</v>
      </c>
      <c r="AC553" s="61"/>
      <c r="AD553" s="34" t="s">
        <v>2455</v>
      </c>
      <c r="AE553" s="101" t="s">
        <v>299</v>
      </c>
      <c r="AF553" s="22"/>
      <c r="AG553" s="36"/>
      <c r="AH553" s="40"/>
      <c r="AI553" s="72">
        <v>44185</v>
      </c>
      <c r="AJ553" s="38" t="s">
        <v>262</v>
      </c>
      <c r="AK553" s="39" t="e">
        <f>VLOOKUP(A553,'[1]Externe MAJ Nov'!$A:$H,8,0)</f>
        <v>#N/A</v>
      </c>
      <c r="AL553" s="61" t="s">
        <v>240</v>
      </c>
      <c r="AM553" s="61"/>
      <c r="AN553" s="61"/>
      <c r="AO553" s="58">
        <v>44185</v>
      </c>
      <c r="AP553" s="29" t="e">
        <f>VLOOKUP(A553,'[2]External Scan 02_21'!$B:$J,9,0)</f>
        <v>#N/A</v>
      </c>
      <c r="AQ553" s="29" t="s">
        <v>299</v>
      </c>
      <c r="AR553" s="21"/>
      <c r="AS553" s="21" t="str">
        <f>VLOOKUP(AE553,'ref statu'!A:B,2,0)</f>
        <v>Faux Positive</v>
      </c>
      <c r="AT553" s="8" t="e">
        <f>VLOOKUP(A553,chk!A:B,2,0)</f>
        <v>#N/A</v>
      </c>
      <c r="AU553" s="29" t="e">
        <f>VLOOKUP(A553,checker!A:B,2,0)</f>
        <v>#N/A</v>
      </c>
      <c r="AV553" s="29" t="e">
        <f>VLOOKUP(A553,checker!B:C,2,0)</f>
        <v>#N/A</v>
      </c>
    </row>
    <row r="554" spans="1:48" x14ac:dyDescent="0.3">
      <c r="A554" s="29" t="str">
        <f t="shared" si="8"/>
        <v>96.692.66.679/443/http-cookie-http-only-flag</v>
      </c>
      <c r="B554" s="41" t="s">
        <v>3012</v>
      </c>
      <c r="C554" s="43" t="s">
        <v>2546</v>
      </c>
      <c r="D554" s="41"/>
      <c r="E554" s="39" t="s">
        <v>494</v>
      </c>
      <c r="H554" s="43" t="s">
        <v>256</v>
      </c>
      <c r="I554" s="39" t="s">
        <v>257</v>
      </c>
      <c r="J554" s="39" t="s">
        <v>2494</v>
      </c>
      <c r="K554" s="41" t="s">
        <v>290</v>
      </c>
      <c r="L554" s="41" t="s">
        <v>291</v>
      </c>
      <c r="M554" s="9" t="s">
        <v>2488</v>
      </c>
      <c r="N554" s="9" t="s">
        <v>29</v>
      </c>
      <c r="O554" s="41" t="s">
        <v>203</v>
      </c>
      <c r="P554" s="43" t="s">
        <v>203</v>
      </c>
      <c r="Q554" s="43" t="s">
        <v>204</v>
      </c>
      <c r="R554" s="43" t="s">
        <v>205</v>
      </c>
      <c r="S554" s="43" t="s">
        <v>206</v>
      </c>
      <c r="T554" s="43" t="s">
        <v>2498</v>
      </c>
      <c r="U554" s="43" t="s">
        <v>207</v>
      </c>
      <c r="V554" s="43" t="s">
        <v>31</v>
      </c>
      <c r="W554" s="43" t="s">
        <v>2514</v>
      </c>
      <c r="AB554" s="39" t="s">
        <v>513</v>
      </c>
      <c r="AE554" s="95" t="s">
        <v>2538</v>
      </c>
      <c r="AF554" s="22"/>
      <c r="AI554" s="72">
        <v>44247</v>
      </c>
      <c r="AJ554" s="43"/>
      <c r="AL554" s="43"/>
      <c r="AM554" s="43"/>
      <c r="AN554" s="43"/>
      <c r="AP554" s="29" t="e">
        <f>VLOOKUP(A554,'[2]External Scan 02_21'!$B:$J,9,0)</f>
        <v>#N/A</v>
      </c>
      <c r="AQ554" s="29" t="e">
        <v>#N/A</v>
      </c>
      <c r="AR554" s="21"/>
      <c r="AS554" s="21" t="str">
        <f>VLOOKUP(AE554,'ref statu'!A:B,2,0)</f>
        <v>Not Fixed en cours d'investigation / Planification</v>
      </c>
      <c r="AT554" s="8" t="e">
        <f>VLOOKUP(A554,chk!A:B,2,0)</f>
        <v>#N/A</v>
      </c>
      <c r="AU554" s="29" t="e">
        <f>VLOOKUP(A554,checker!A:B,2,0)</f>
        <v>#N/A</v>
      </c>
      <c r="AV554" s="29" t="e">
        <f>VLOOKUP(A554,checker!B:C,2,0)</f>
        <v>#N/A</v>
      </c>
    </row>
    <row r="555" spans="1:48" x14ac:dyDescent="0.3">
      <c r="A555" s="29" t="str">
        <f t="shared" si="8"/>
        <v>96.692.66.679/443/http-generic-browsable-dir</v>
      </c>
      <c r="B555" s="61" t="s">
        <v>3012</v>
      </c>
      <c r="C555" s="43" t="s">
        <v>2546</v>
      </c>
      <c r="E555" s="39" t="s">
        <v>95</v>
      </c>
      <c r="H555" s="43" t="s">
        <v>256</v>
      </c>
      <c r="I555" s="39" t="s">
        <v>257</v>
      </c>
      <c r="J555" s="39" t="s">
        <v>2494</v>
      </c>
      <c r="K555" s="43" t="s">
        <v>290</v>
      </c>
      <c r="L555" s="43" t="s">
        <v>291</v>
      </c>
      <c r="M555" s="9" t="s">
        <v>2488</v>
      </c>
      <c r="N555" s="9" t="s">
        <v>29</v>
      </c>
      <c r="O555" s="43" t="s">
        <v>32</v>
      </c>
      <c r="P555" s="43" t="s">
        <v>32</v>
      </c>
      <c r="Q555" s="43" t="s">
        <v>33</v>
      </c>
      <c r="R555" s="43" t="s">
        <v>34</v>
      </c>
      <c r="S555" s="43" t="s">
        <v>35</v>
      </c>
      <c r="T555" s="43" t="s">
        <v>2521</v>
      </c>
      <c r="U555" s="43" t="s">
        <v>31</v>
      </c>
      <c r="V555" s="43" t="s">
        <v>31</v>
      </c>
      <c r="W555" s="43" t="s">
        <v>2512</v>
      </c>
      <c r="AB555" s="39" t="s">
        <v>318</v>
      </c>
      <c r="AC555" s="43"/>
      <c r="AE555" s="95" t="s">
        <v>2538</v>
      </c>
      <c r="AF555" s="22"/>
      <c r="AI555" s="72">
        <v>44197</v>
      </c>
      <c r="AJ555" s="43"/>
      <c r="AL555" s="43"/>
      <c r="AM555" s="43"/>
      <c r="AN555" s="43"/>
      <c r="AP555" s="29" t="e">
        <f>VLOOKUP(A555,'[2]External Scan 02_21'!$B:$J,9,0)</f>
        <v>#N/A</v>
      </c>
      <c r="AQ555" s="29" t="e">
        <v>#N/A</v>
      </c>
      <c r="AR555" s="21"/>
      <c r="AS555" s="29" t="str">
        <f>VLOOKUP(AE555,'ref statu'!A:B,2,0)</f>
        <v>Not Fixed en cours d'investigation / Planification</v>
      </c>
      <c r="AT555" s="8" t="e">
        <f>VLOOKUP(A555,chk!A:B,2,0)</f>
        <v>#N/A</v>
      </c>
      <c r="AU555" s="29" t="e">
        <f>VLOOKUP(A555,checker!A:B,2,0)</f>
        <v>#N/A</v>
      </c>
      <c r="AV555" s="29" t="e">
        <f>VLOOKUP(A555,checker!B:C,2,0)</f>
        <v>#N/A</v>
      </c>
    </row>
    <row r="556" spans="1:48" x14ac:dyDescent="0.3">
      <c r="A556" s="29" t="str">
        <f t="shared" si="8"/>
        <v>96.692.66.696/0/generic-tcp-timestamp</v>
      </c>
      <c r="B556" s="29" t="s">
        <v>3013</v>
      </c>
      <c r="C556" s="29" t="s">
        <v>424</v>
      </c>
      <c r="D556" s="8" t="s">
        <v>2973</v>
      </c>
      <c r="E556" s="8" t="s">
        <v>253</v>
      </c>
      <c r="F556" s="29" t="s">
        <v>294</v>
      </c>
      <c r="G556" s="21" t="s">
        <v>426</v>
      </c>
      <c r="H556" s="29" t="s">
        <v>322</v>
      </c>
      <c r="I556" s="8" t="s">
        <v>31</v>
      </c>
      <c r="J556" s="8">
        <v>0</v>
      </c>
      <c r="K556" s="29" t="s">
        <v>258</v>
      </c>
      <c r="L556" s="29" t="s">
        <v>31</v>
      </c>
      <c r="M556" s="9">
        <v>1</v>
      </c>
      <c r="N556" s="9" t="s">
        <v>42</v>
      </c>
      <c r="O556" s="29" t="s">
        <v>78</v>
      </c>
      <c r="P556" s="29" t="s">
        <v>79</v>
      </c>
      <c r="Q556" s="29" t="s">
        <v>80</v>
      </c>
      <c r="R556" s="29" t="s">
        <v>259</v>
      </c>
      <c r="S556" s="29" t="s">
        <v>82</v>
      </c>
      <c r="T556" s="29" t="s">
        <v>83</v>
      </c>
      <c r="U556" s="29" t="s">
        <v>31</v>
      </c>
      <c r="V556" s="29" t="s">
        <v>31</v>
      </c>
      <c r="W556" s="57">
        <v>35643</v>
      </c>
      <c r="X556" s="8" t="s">
        <v>36</v>
      </c>
      <c r="Y556" s="8">
        <v>0</v>
      </c>
      <c r="Z556" s="8" t="s">
        <v>31</v>
      </c>
      <c r="AA556" s="8" t="s">
        <v>31</v>
      </c>
      <c r="AB556" s="8" t="s">
        <v>260</v>
      </c>
      <c r="AC556" s="29"/>
      <c r="AD556" s="29" t="s">
        <v>2487</v>
      </c>
      <c r="AE556" s="95" t="s">
        <v>28</v>
      </c>
      <c r="AF556" s="22">
        <v>44224</v>
      </c>
      <c r="AG556" s="30">
        <v>44224</v>
      </c>
      <c r="AH556" s="8"/>
      <c r="AI556" s="72">
        <v>44124</v>
      </c>
      <c r="AJ556" s="23" t="s">
        <v>262</v>
      </c>
      <c r="AK556" s="8" t="e">
        <f>VLOOKUP(A556,'[1]Externe MAJ Nov'!$A:$H,8,0)</f>
        <v>#N/A</v>
      </c>
      <c r="AL556" s="29" t="e">
        <f>VLOOKUP(A556,'[1]Externe MAJ Nov'!$A:$G,7,0)</f>
        <v>#N/A</v>
      </c>
      <c r="AM556" s="29" t="s">
        <v>28</v>
      </c>
      <c r="AN556" s="29" t="s">
        <v>77</v>
      </c>
      <c r="AO556" s="58">
        <v>44124</v>
      </c>
      <c r="AP556" s="29" t="e">
        <f>VLOOKUP(A556,'[2]External Scan 02_21'!$B:$J,9,0)</f>
        <v>#N/A</v>
      </c>
      <c r="AQ556" s="29" t="s">
        <v>28</v>
      </c>
      <c r="AR556" s="21"/>
      <c r="AS556" s="21" t="str">
        <f>VLOOKUP(AE556,'ref statu'!A:B,2,0)</f>
        <v>Fixed</v>
      </c>
      <c r="AT556" s="8" t="e">
        <f>VLOOKUP(A556,chk!A:B,2,0)</f>
        <v>#N/A</v>
      </c>
      <c r="AU556" s="29" t="e">
        <f>VLOOKUP(A556,checker!A:B,2,0)</f>
        <v>#N/A</v>
      </c>
      <c r="AV556" s="29" t="e">
        <f>VLOOKUP(A556,checker!B:C,2,0)</f>
        <v>#N/A</v>
      </c>
    </row>
    <row r="557" spans="1:48" x14ac:dyDescent="0.3">
      <c r="A557" s="29" t="str">
        <f t="shared" si="8"/>
        <v>96.692.66.696/443/certificate-common-name-mismatch</v>
      </c>
      <c r="B557" s="29" t="s">
        <v>3013</v>
      </c>
      <c r="C557" s="29" t="s">
        <v>424</v>
      </c>
      <c r="D557" s="8" t="s">
        <v>2973</v>
      </c>
      <c r="E557" s="8" t="s">
        <v>299</v>
      </c>
      <c r="F557" s="29"/>
      <c r="G557" s="21" t="s">
        <v>426</v>
      </c>
      <c r="H557" s="29" t="s">
        <v>322</v>
      </c>
      <c r="I557" s="8" t="s">
        <v>31</v>
      </c>
      <c r="J557" s="8">
        <v>443</v>
      </c>
      <c r="K557" s="29" t="s">
        <v>290</v>
      </c>
      <c r="L557" s="29" t="s">
        <v>427</v>
      </c>
      <c r="M557" s="9">
        <v>7</v>
      </c>
      <c r="N557" s="10" t="s">
        <v>2540</v>
      </c>
      <c r="O557" s="29" t="s">
        <v>148</v>
      </c>
      <c r="P557" s="29" t="s">
        <v>149</v>
      </c>
      <c r="Q557" s="29" t="s">
        <v>150</v>
      </c>
      <c r="R557" s="29" t="s">
        <v>151</v>
      </c>
      <c r="S557" s="29" t="s">
        <v>243</v>
      </c>
      <c r="T557" s="29" t="s">
        <v>31</v>
      </c>
      <c r="U557" s="29" t="s">
        <v>31</v>
      </c>
      <c r="V557" s="29" t="s">
        <v>31</v>
      </c>
      <c r="W557" s="57">
        <v>39297</v>
      </c>
      <c r="X557" s="8" t="s">
        <v>36</v>
      </c>
      <c r="Y557" s="8">
        <v>0</v>
      </c>
      <c r="Z557" s="8" t="s">
        <v>31</v>
      </c>
      <c r="AA557" s="8" t="s">
        <v>31</v>
      </c>
      <c r="AB557" s="8" t="s">
        <v>305</v>
      </c>
      <c r="AC557" s="29"/>
      <c r="AD557" s="29"/>
      <c r="AE557" s="95" t="s">
        <v>28</v>
      </c>
      <c r="AF557" s="22"/>
      <c r="AG557" s="30"/>
      <c r="AH557" s="21"/>
      <c r="AI557" s="72">
        <v>44124</v>
      </c>
      <c r="AJ557" s="23" t="s">
        <v>262</v>
      </c>
      <c r="AK557" s="8" t="e">
        <f>VLOOKUP(A557,'[1]Externe MAJ Nov'!$A:$H,8,0)</f>
        <v>#N/A</v>
      </c>
      <c r="AL557" s="29" t="e">
        <f>VLOOKUP(A557,'[1]Externe MAJ Nov'!$A:$G,7,0)</f>
        <v>#N/A</v>
      </c>
      <c r="AM557" s="29" t="s">
        <v>299</v>
      </c>
      <c r="AN557" s="29" t="s">
        <v>77</v>
      </c>
      <c r="AO557" s="58">
        <v>44124</v>
      </c>
      <c r="AP557" s="29" t="e">
        <f>VLOOKUP(A557,'[2]External Scan 02_21'!$B:$J,9,0)</f>
        <v>#N/A</v>
      </c>
      <c r="AQ557" s="29" t="s">
        <v>299</v>
      </c>
      <c r="AR557" s="21"/>
      <c r="AS557" s="21" t="str">
        <f>VLOOKUP(AE557,'ref statu'!A:B,2,0)</f>
        <v>Fixed</v>
      </c>
      <c r="AT557" s="8" t="e">
        <f>VLOOKUP(A557,chk!A:B,2,0)</f>
        <v>#N/A</v>
      </c>
      <c r="AU557" s="29" t="e">
        <f>VLOOKUP(A557,checker!A:B,2,0)</f>
        <v>#N/A</v>
      </c>
      <c r="AV557" s="29" t="e">
        <f>VLOOKUP(A557,checker!B:C,2,0)</f>
        <v>#N/A</v>
      </c>
    </row>
    <row r="558" spans="1:48" x14ac:dyDescent="0.3">
      <c r="A558" s="29" t="str">
        <f t="shared" si="8"/>
        <v>96.692.66.696/443/ssl-3des-ciphers</v>
      </c>
      <c r="B558" s="29" t="s">
        <v>3013</v>
      </c>
      <c r="C558" s="29" t="s">
        <v>424</v>
      </c>
      <c r="D558" s="8" t="s">
        <v>2973</v>
      </c>
      <c r="E558" s="8" t="s">
        <v>311</v>
      </c>
      <c r="F558" s="29" t="s">
        <v>425</v>
      </c>
      <c r="G558" s="21" t="s">
        <v>426</v>
      </c>
      <c r="H558" s="29" t="s">
        <v>322</v>
      </c>
      <c r="I558" s="8" t="s">
        <v>31</v>
      </c>
      <c r="J558" s="8">
        <v>443</v>
      </c>
      <c r="K558" s="29" t="s">
        <v>290</v>
      </c>
      <c r="L558" s="29" t="s">
        <v>427</v>
      </c>
      <c r="M558" s="9">
        <v>1</v>
      </c>
      <c r="N558" s="9" t="s">
        <v>42</v>
      </c>
      <c r="O558" s="29" t="s">
        <v>100</v>
      </c>
      <c r="P558" s="29" t="s">
        <v>101</v>
      </c>
      <c r="Q558" s="29" t="s">
        <v>102</v>
      </c>
      <c r="R558" s="29" t="s">
        <v>103</v>
      </c>
      <c r="S558" s="29" t="s">
        <v>208</v>
      </c>
      <c r="T558" s="29" t="s">
        <v>104</v>
      </c>
      <c r="U558" s="29" t="s">
        <v>31</v>
      </c>
      <c r="V558" s="29" t="s">
        <v>31</v>
      </c>
      <c r="W558" s="57">
        <v>39845</v>
      </c>
      <c r="X558" s="8" t="s">
        <v>36</v>
      </c>
      <c r="Y558" s="8">
        <v>0</v>
      </c>
      <c r="Z558" s="8" t="s">
        <v>31</v>
      </c>
      <c r="AA558" s="8" t="s">
        <v>31</v>
      </c>
      <c r="AB558" s="8" t="s">
        <v>260</v>
      </c>
      <c r="AC558" s="29"/>
      <c r="AD558" s="29"/>
      <c r="AE558" s="95" t="s">
        <v>28</v>
      </c>
      <c r="AF558" s="22">
        <f>AG558</f>
        <v>44217</v>
      </c>
      <c r="AG558" s="30">
        <v>44217</v>
      </c>
      <c r="AH558" s="8"/>
      <c r="AI558" s="72">
        <v>44124</v>
      </c>
      <c r="AJ558" s="23" t="s">
        <v>262</v>
      </c>
      <c r="AK558" s="8" t="e">
        <f>VLOOKUP(A558,'[1]Externe MAJ Nov'!$A:$H,8,0)</f>
        <v>#N/A</v>
      </c>
      <c r="AL558" s="29" t="e">
        <f>VLOOKUP(A558,'[1]Externe MAJ Nov'!$A:$G,7,0)</f>
        <v>#N/A</v>
      </c>
      <c r="AM558" s="29" t="s">
        <v>95</v>
      </c>
      <c r="AN558" s="29" t="s">
        <v>77</v>
      </c>
      <c r="AO558" s="58">
        <v>44124</v>
      </c>
      <c r="AP558" s="29" t="e">
        <f>VLOOKUP(A558,'[2]External Scan 02_21'!$B:$J,9,0)</f>
        <v>#N/A</v>
      </c>
      <c r="AQ558" s="29" t="s">
        <v>28</v>
      </c>
      <c r="AR558" s="21"/>
      <c r="AS558" s="21" t="str">
        <f>VLOOKUP(AE558,'ref statu'!A:B,2,0)</f>
        <v>Fixed</v>
      </c>
      <c r="AT558" s="8" t="e">
        <f>VLOOKUP(A558,chk!A:B,2,0)</f>
        <v>#N/A</v>
      </c>
      <c r="AU558" s="29" t="e">
        <f>VLOOKUP(A558,checker!A:B,2,0)</f>
        <v>#N/A</v>
      </c>
      <c r="AV558" s="29" t="e">
        <f>VLOOKUP(A558,checker!B:C,2,0)</f>
        <v>#N/A</v>
      </c>
    </row>
    <row r="559" spans="1:48" x14ac:dyDescent="0.3">
      <c r="A559" s="29" t="str">
        <f t="shared" si="8"/>
        <v>96.692.66.696/443/ssl-cve-2016-2183-sweet32</v>
      </c>
      <c r="B559" s="29" t="s">
        <v>3013</v>
      </c>
      <c r="C559" s="29" t="s">
        <v>424</v>
      </c>
      <c r="D559" s="8" t="s">
        <v>2973</v>
      </c>
      <c r="E559" s="8" t="s">
        <v>311</v>
      </c>
      <c r="F559" s="29" t="s">
        <v>425</v>
      </c>
      <c r="G559" s="21" t="s">
        <v>426</v>
      </c>
      <c r="H559" s="29" t="s">
        <v>322</v>
      </c>
      <c r="I559" s="8" t="s">
        <v>31</v>
      </c>
      <c r="J559" s="8">
        <v>443</v>
      </c>
      <c r="K559" s="29" t="s">
        <v>290</v>
      </c>
      <c r="L559" s="29" t="s">
        <v>427</v>
      </c>
      <c r="M559" s="9">
        <v>5</v>
      </c>
      <c r="N559" s="9" t="s">
        <v>29</v>
      </c>
      <c r="O559" s="29" t="s">
        <v>111</v>
      </c>
      <c r="P559" s="29" t="s">
        <v>112</v>
      </c>
      <c r="Q559" s="29" t="s">
        <v>113</v>
      </c>
      <c r="R559" s="29" t="s">
        <v>103</v>
      </c>
      <c r="S559" s="29" t="s">
        <v>208</v>
      </c>
      <c r="T559" s="29" t="s">
        <v>114</v>
      </c>
      <c r="U559" s="29" t="s">
        <v>71</v>
      </c>
      <c r="V559" s="29" t="s">
        <v>278</v>
      </c>
      <c r="W559" s="57">
        <v>42606</v>
      </c>
      <c r="X559" s="8" t="s">
        <v>36</v>
      </c>
      <c r="Y559" s="8">
        <v>1</v>
      </c>
      <c r="Z559" s="8" t="s">
        <v>279</v>
      </c>
      <c r="AA559" s="8" t="s">
        <v>280</v>
      </c>
      <c r="AB559" s="8" t="s">
        <v>260</v>
      </c>
      <c r="AC559" s="29"/>
      <c r="AD559" s="29"/>
      <c r="AE559" s="95" t="s">
        <v>28</v>
      </c>
      <c r="AF559" s="22">
        <f>AG559</f>
        <v>44217</v>
      </c>
      <c r="AG559" s="30">
        <v>44217</v>
      </c>
      <c r="AH559" s="8"/>
      <c r="AI559" s="72">
        <v>44124</v>
      </c>
      <c r="AJ559" s="23" t="s">
        <v>262</v>
      </c>
      <c r="AK559" s="8" t="e">
        <f>VLOOKUP(A559,'[1]Externe MAJ Nov'!$A:$H,8,0)</f>
        <v>#N/A</v>
      </c>
      <c r="AL559" s="29" t="e">
        <f>VLOOKUP(A559,'[1]Externe MAJ Nov'!$A:$G,7,0)</f>
        <v>#N/A</v>
      </c>
      <c r="AM559" s="29" t="s">
        <v>95</v>
      </c>
      <c r="AN559" s="29" t="s">
        <v>77</v>
      </c>
      <c r="AO559" s="58">
        <v>44124</v>
      </c>
      <c r="AP559" s="29" t="e">
        <f>VLOOKUP(A559,'[2]External Scan 02_21'!$B:$J,9,0)</f>
        <v>#N/A</v>
      </c>
      <c r="AQ559" s="29" t="s">
        <v>28</v>
      </c>
      <c r="AR559" s="21"/>
      <c r="AS559" s="21" t="str">
        <f>VLOOKUP(AE559,'ref statu'!A:B,2,0)</f>
        <v>Fixed</v>
      </c>
      <c r="AT559" s="8" t="e">
        <f>VLOOKUP(A559,chk!A:B,2,0)</f>
        <v>#N/A</v>
      </c>
      <c r="AU559" s="29" t="e">
        <f>VLOOKUP(A559,checker!A:B,2,0)</f>
        <v>#N/A</v>
      </c>
      <c r="AV559" s="29" t="e">
        <f>VLOOKUP(A559,checker!B:C,2,0)</f>
        <v>#N/A</v>
      </c>
    </row>
    <row r="560" spans="1:48" x14ac:dyDescent="0.3">
      <c r="A560" s="29" t="str">
        <f t="shared" si="8"/>
        <v>96.692.66.696/443/ssl-static-key-ciphers</v>
      </c>
      <c r="B560" s="29" t="s">
        <v>3013</v>
      </c>
      <c r="C560" s="29" t="s">
        <v>424</v>
      </c>
      <c r="D560" s="8" t="s">
        <v>2973</v>
      </c>
      <c r="E560" s="8" t="s">
        <v>311</v>
      </c>
      <c r="F560" s="29" t="s">
        <v>425</v>
      </c>
      <c r="G560" s="21" t="s">
        <v>426</v>
      </c>
      <c r="H560" s="29" t="s">
        <v>322</v>
      </c>
      <c r="I560" s="8" t="s">
        <v>31</v>
      </c>
      <c r="J560" s="8">
        <v>443</v>
      </c>
      <c r="K560" s="29" t="s">
        <v>290</v>
      </c>
      <c r="L560" s="29" t="s">
        <v>427</v>
      </c>
      <c r="M560" s="9">
        <v>3</v>
      </c>
      <c r="N560" s="9" t="s">
        <v>42</v>
      </c>
      <c r="O560" s="29" t="s">
        <v>120</v>
      </c>
      <c r="P560" s="29" t="s">
        <v>121</v>
      </c>
      <c r="Q560" s="29" t="s">
        <v>122</v>
      </c>
      <c r="R560" s="29" t="s">
        <v>123</v>
      </c>
      <c r="S560" s="29" t="s">
        <v>209</v>
      </c>
      <c r="T560" s="29" t="s">
        <v>124</v>
      </c>
      <c r="U560" s="29" t="s">
        <v>31</v>
      </c>
      <c r="V560" s="29" t="s">
        <v>31</v>
      </c>
      <c r="W560" s="57">
        <v>42036</v>
      </c>
      <c r="X560" s="8" t="s">
        <v>36</v>
      </c>
      <c r="Y560" s="8">
        <v>0</v>
      </c>
      <c r="Z560" s="8" t="s">
        <v>31</v>
      </c>
      <c r="AA560" s="8" t="s">
        <v>31</v>
      </c>
      <c r="AB560" s="8" t="s">
        <v>260</v>
      </c>
      <c r="AC560" s="29"/>
      <c r="AD560" s="29"/>
      <c r="AE560" s="95" t="s">
        <v>28</v>
      </c>
      <c r="AF560" s="22">
        <f>AG560</f>
        <v>44217</v>
      </c>
      <c r="AG560" s="30">
        <v>44217</v>
      </c>
      <c r="AH560" s="8"/>
      <c r="AI560" s="72">
        <v>44124</v>
      </c>
      <c r="AJ560" s="23" t="s">
        <v>262</v>
      </c>
      <c r="AK560" s="8" t="e">
        <f>VLOOKUP(A560,'[1]Externe MAJ Nov'!$A:$H,8,0)</f>
        <v>#N/A</v>
      </c>
      <c r="AL560" s="29" t="e">
        <f>VLOOKUP(A560,'[1]Externe MAJ Nov'!$A:$G,7,0)</f>
        <v>#N/A</v>
      </c>
      <c r="AM560" s="29" t="s">
        <v>95</v>
      </c>
      <c r="AN560" s="29" t="s">
        <v>77</v>
      </c>
      <c r="AO560" s="58">
        <v>44124</v>
      </c>
      <c r="AP560" s="29" t="e">
        <f>VLOOKUP(A560,'[2]External Scan 02_21'!$B:$J,9,0)</f>
        <v>#N/A</v>
      </c>
      <c r="AQ560" s="29" t="s">
        <v>28</v>
      </c>
      <c r="AR560" s="21"/>
      <c r="AS560" s="21" t="str">
        <f>VLOOKUP(AE560,'ref statu'!A:B,2,0)</f>
        <v>Fixed</v>
      </c>
      <c r="AT560" s="8" t="e">
        <f>VLOOKUP(A560,chk!A:B,2,0)</f>
        <v>#N/A</v>
      </c>
      <c r="AU560" s="29" t="e">
        <f>VLOOKUP(A560,checker!A:B,2,0)</f>
        <v>#N/A</v>
      </c>
      <c r="AV560" s="29" t="e">
        <f>VLOOKUP(A560,checker!B:C,2,0)</f>
        <v>#N/A</v>
      </c>
    </row>
    <row r="561" spans="1:48" x14ac:dyDescent="0.3">
      <c r="A561" s="29" t="str">
        <f t="shared" si="8"/>
        <v>96.692.66.692/0/generic-tcp-timestamp</v>
      </c>
      <c r="B561" s="29" t="s">
        <v>3014</v>
      </c>
      <c r="C561" s="43" t="s">
        <v>2491</v>
      </c>
      <c r="D561" s="8" t="s">
        <v>2974</v>
      </c>
      <c r="E561" s="8" t="s">
        <v>307</v>
      </c>
      <c r="F561" s="29" t="s">
        <v>294</v>
      </c>
      <c r="G561" s="21" t="s">
        <v>428</v>
      </c>
      <c r="H561" s="29" t="s">
        <v>322</v>
      </c>
      <c r="I561" s="8" t="s">
        <v>31</v>
      </c>
      <c r="J561" s="8">
        <v>0</v>
      </c>
      <c r="K561" s="29" t="s">
        <v>258</v>
      </c>
      <c r="L561" s="29" t="s">
        <v>31</v>
      </c>
      <c r="M561" s="9">
        <v>1</v>
      </c>
      <c r="N561" s="9" t="s">
        <v>42</v>
      </c>
      <c r="O561" s="29" t="s">
        <v>78</v>
      </c>
      <c r="P561" s="29" t="s">
        <v>79</v>
      </c>
      <c r="Q561" s="29" t="s">
        <v>80</v>
      </c>
      <c r="R561" s="29" t="s">
        <v>81</v>
      </c>
      <c r="S561" s="29" t="s">
        <v>82</v>
      </c>
      <c r="T561" s="29" t="s">
        <v>83</v>
      </c>
      <c r="U561" s="29" t="s">
        <v>31</v>
      </c>
      <c r="V561" s="29" t="s">
        <v>31</v>
      </c>
      <c r="W561" s="57">
        <v>35643</v>
      </c>
      <c r="X561" s="8" t="s">
        <v>36</v>
      </c>
      <c r="Y561" s="8">
        <v>0</v>
      </c>
      <c r="Z561" s="8" t="s">
        <v>31</v>
      </c>
      <c r="AA561" s="8" t="s">
        <v>31</v>
      </c>
      <c r="AB561" s="8" t="s">
        <v>260</v>
      </c>
      <c r="AC561" s="29"/>
      <c r="AD561" s="29" t="s">
        <v>2487</v>
      </c>
      <c r="AE561" s="95" t="s">
        <v>28</v>
      </c>
      <c r="AF561" s="22">
        <v>44224</v>
      </c>
      <c r="AG561" s="30">
        <v>44224</v>
      </c>
      <c r="AH561" s="8"/>
      <c r="AI561" s="72">
        <v>44124</v>
      </c>
      <c r="AJ561" s="23" t="s">
        <v>262</v>
      </c>
      <c r="AK561" s="8" t="e">
        <f>VLOOKUP(A561,'[1]Externe MAJ Nov'!$A:$H,8,0)</f>
        <v>#N/A</v>
      </c>
      <c r="AL561" s="29" t="e">
        <f>VLOOKUP(A561,'[1]Externe MAJ Nov'!$A:$G,7,0)</f>
        <v>#N/A</v>
      </c>
      <c r="AM561" s="29" t="s">
        <v>28</v>
      </c>
      <c r="AN561" s="29" t="s">
        <v>77</v>
      </c>
      <c r="AO561" s="58">
        <v>44124</v>
      </c>
      <c r="AP561" s="29" t="e">
        <f>VLOOKUP(A561,'[2]External Scan 02_21'!$B:$J,9,0)</f>
        <v>#N/A</v>
      </c>
      <c r="AQ561" s="29" t="s">
        <v>28</v>
      </c>
      <c r="AR561" s="21"/>
      <c r="AS561" s="21" t="str">
        <f>VLOOKUP(AE561,'ref statu'!A:B,2,0)</f>
        <v>Fixed</v>
      </c>
      <c r="AT561" s="8" t="e">
        <f>VLOOKUP(A561,chk!A:B,2,0)</f>
        <v>#N/A</v>
      </c>
      <c r="AU561" s="29" t="e">
        <f>VLOOKUP(A561,checker!A:B,2,0)</f>
        <v>#N/A</v>
      </c>
      <c r="AV561" s="29" t="e">
        <f>VLOOKUP(A561,checker!B:C,2,0)</f>
        <v>#N/A</v>
      </c>
    </row>
    <row r="562" spans="1:48" x14ac:dyDescent="0.3">
      <c r="A562" s="29" t="str">
        <f t="shared" si="8"/>
        <v>96.692.66.692/443/certificate-common-name-mismatch</v>
      </c>
      <c r="B562" s="29" t="s">
        <v>3014</v>
      </c>
      <c r="C562" s="43" t="s">
        <v>2491</v>
      </c>
      <c r="D562" s="8" t="s">
        <v>2974</v>
      </c>
      <c r="E562" s="8" t="s">
        <v>299</v>
      </c>
      <c r="F562" s="29"/>
      <c r="G562" s="21" t="s">
        <v>428</v>
      </c>
      <c r="H562" s="29" t="s">
        <v>322</v>
      </c>
      <c r="I562" s="8" t="s">
        <v>31</v>
      </c>
      <c r="J562" s="8">
        <v>443</v>
      </c>
      <c r="K562" s="29" t="s">
        <v>290</v>
      </c>
      <c r="L562" s="29" t="s">
        <v>427</v>
      </c>
      <c r="M562" s="9">
        <v>7</v>
      </c>
      <c r="N562" s="10" t="s">
        <v>2540</v>
      </c>
      <c r="O562" s="29" t="s">
        <v>148</v>
      </c>
      <c r="P562" s="29" t="s">
        <v>149</v>
      </c>
      <c r="Q562" s="29" t="s">
        <v>150</v>
      </c>
      <c r="R562" s="29" t="s">
        <v>151</v>
      </c>
      <c r="S562" s="29" t="s">
        <v>243</v>
      </c>
      <c r="T562" s="29" t="s">
        <v>31</v>
      </c>
      <c r="U562" s="29" t="s">
        <v>31</v>
      </c>
      <c r="V562" s="29" t="s">
        <v>31</v>
      </c>
      <c r="W562" s="57">
        <v>39297</v>
      </c>
      <c r="X562" s="8" t="s">
        <v>36</v>
      </c>
      <c r="Y562" s="8">
        <v>0</v>
      </c>
      <c r="Z562" s="8" t="s">
        <v>31</v>
      </c>
      <c r="AA562" s="8" t="s">
        <v>31</v>
      </c>
      <c r="AB562" s="8" t="s">
        <v>374</v>
      </c>
      <c r="AC562" s="29"/>
      <c r="AD562" s="29"/>
      <c r="AE562" s="95" t="s">
        <v>299</v>
      </c>
      <c r="AF562" s="22"/>
      <c r="AG562" s="30"/>
      <c r="AH562" s="21"/>
      <c r="AI562" s="72">
        <v>44124</v>
      </c>
      <c r="AJ562" s="23" t="s">
        <v>262</v>
      </c>
      <c r="AK562" s="8" t="e">
        <f>VLOOKUP(A562,'[1]Externe MAJ Nov'!$A:$H,8,0)</f>
        <v>#N/A</v>
      </c>
      <c r="AL562" s="29" t="e">
        <f>VLOOKUP(A562,'[1]Externe MAJ Nov'!$A:$G,7,0)</f>
        <v>#N/A</v>
      </c>
      <c r="AM562" s="29" t="s">
        <v>299</v>
      </c>
      <c r="AN562" s="29" t="s">
        <v>77</v>
      </c>
      <c r="AO562" s="58">
        <v>44124</v>
      </c>
      <c r="AP562" s="29" t="e">
        <f>VLOOKUP(A562,'[2]External Scan 02_21'!$B:$J,9,0)</f>
        <v>#N/A</v>
      </c>
      <c r="AQ562" s="29" t="s">
        <v>299</v>
      </c>
      <c r="AR562" s="21"/>
      <c r="AS562" s="21" t="str">
        <f>VLOOKUP(AE562,'ref statu'!A:B,2,0)</f>
        <v>Faux Positive</v>
      </c>
      <c r="AT562" s="8" t="e">
        <f>VLOOKUP(A562,chk!A:B,2,0)</f>
        <v>#N/A</v>
      </c>
      <c r="AU562" s="29" t="e">
        <f>VLOOKUP(A562,checker!A:B,2,0)</f>
        <v>#N/A</v>
      </c>
      <c r="AV562" s="29" t="e">
        <f>VLOOKUP(A562,checker!B:C,2,0)</f>
        <v>#N/A</v>
      </c>
    </row>
    <row r="563" spans="1:48" x14ac:dyDescent="0.3">
      <c r="A563" s="29" t="str">
        <f t="shared" si="8"/>
        <v>96.692.66.692/443/http-cookie-http-only-flag</v>
      </c>
      <c r="B563" s="61" t="s">
        <v>3014</v>
      </c>
      <c r="C563" s="43" t="s">
        <v>2491</v>
      </c>
      <c r="D563" s="37" t="s">
        <v>2974</v>
      </c>
      <c r="E563" s="37" t="s">
        <v>494</v>
      </c>
      <c r="F563" s="61" t="s">
        <v>2455</v>
      </c>
      <c r="G563" s="61" t="s">
        <v>428</v>
      </c>
      <c r="H563" s="61" t="s">
        <v>256</v>
      </c>
      <c r="I563" s="37" t="s">
        <v>257</v>
      </c>
      <c r="J563" s="37">
        <v>443</v>
      </c>
      <c r="K563" s="61" t="s">
        <v>290</v>
      </c>
      <c r="L563" s="61" t="s">
        <v>31</v>
      </c>
      <c r="M563" s="9">
        <v>5</v>
      </c>
      <c r="N563" s="9" t="s">
        <v>29</v>
      </c>
      <c r="O563" s="61" t="s">
        <v>203</v>
      </c>
      <c r="P563" s="61" t="s">
        <v>204</v>
      </c>
      <c r="Q563" s="61" t="s">
        <v>205</v>
      </c>
      <c r="R563" s="61" t="s">
        <v>206</v>
      </c>
      <c r="S563" s="61" t="s">
        <v>2479</v>
      </c>
      <c r="T563" s="61" t="s">
        <v>207</v>
      </c>
      <c r="U563" s="61" t="s">
        <v>31</v>
      </c>
      <c r="V563" s="61" t="s">
        <v>31</v>
      </c>
      <c r="W563" s="62">
        <v>40694</v>
      </c>
      <c r="X563" s="37" t="s">
        <v>36</v>
      </c>
      <c r="Y563" s="37">
        <v>0</v>
      </c>
      <c r="Z563" s="37" t="s">
        <v>31</v>
      </c>
      <c r="AA563" s="37" t="s">
        <v>31</v>
      </c>
      <c r="AB563" s="37" t="s">
        <v>513</v>
      </c>
      <c r="AC563" s="61"/>
      <c r="AD563" s="34" t="s">
        <v>2455</v>
      </c>
      <c r="AE563" s="101" t="s">
        <v>28</v>
      </c>
      <c r="AF563" s="22"/>
      <c r="AG563" s="36"/>
      <c r="AH563" s="40"/>
      <c r="AI563" s="72">
        <v>44185</v>
      </c>
      <c r="AJ563" s="38" t="s">
        <v>262</v>
      </c>
      <c r="AK563" s="39" t="e">
        <f>VLOOKUP(A563,'[1]Externe MAJ Nov'!$A:$H,8,0)</f>
        <v>#N/A</v>
      </c>
      <c r="AL563" s="61" t="s">
        <v>240</v>
      </c>
      <c r="AM563" s="61"/>
      <c r="AN563" s="61"/>
      <c r="AO563" s="58">
        <v>44185</v>
      </c>
      <c r="AP563" s="29" t="e">
        <f>VLOOKUP(A563,'[2]External Scan 02_21'!$B:$J,9,0)</f>
        <v>#N/A</v>
      </c>
      <c r="AQ563" s="29" t="s">
        <v>28</v>
      </c>
      <c r="AR563" s="21"/>
      <c r="AS563" s="21" t="str">
        <f>VLOOKUP(AE563,'ref statu'!A:B,2,0)</f>
        <v>Fixed</v>
      </c>
      <c r="AT563" s="8" t="e">
        <f>VLOOKUP(A563,chk!A:B,2,0)</f>
        <v>#N/A</v>
      </c>
      <c r="AU563" s="29" t="e">
        <f>VLOOKUP(A563,checker!A:B,2,0)</f>
        <v>#N/A</v>
      </c>
      <c r="AV563" s="29" t="e">
        <f>VLOOKUP(A563,checker!B:C,2,0)</f>
        <v>#N/A</v>
      </c>
    </row>
    <row r="564" spans="1:48" x14ac:dyDescent="0.3">
      <c r="A564" s="29" t="str">
        <f t="shared" si="8"/>
        <v>96.692.66.692/443/http-cookie-secure-flag</v>
      </c>
      <c r="B564" s="43" t="s">
        <v>3014</v>
      </c>
      <c r="C564" s="43" t="s">
        <v>2491</v>
      </c>
      <c r="E564" s="39" t="s">
        <v>95</v>
      </c>
      <c r="H564" s="43" t="s">
        <v>256</v>
      </c>
      <c r="I564" s="39" t="s">
        <v>257</v>
      </c>
      <c r="J564" s="39" t="s">
        <v>2494</v>
      </c>
      <c r="K564" s="43" t="s">
        <v>290</v>
      </c>
      <c r="L564" s="43" t="s">
        <v>31</v>
      </c>
      <c r="M564" s="9" t="s">
        <v>2488</v>
      </c>
      <c r="N564" s="9" t="s">
        <v>29</v>
      </c>
      <c r="O564" s="43" t="s">
        <v>226</v>
      </c>
      <c r="P564" s="43" t="s">
        <v>226</v>
      </c>
      <c r="Q564" s="43" t="s">
        <v>227</v>
      </c>
      <c r="R564" s="43" t="s">
        <v>228</v>
      </c>
      <c r="S564" s="43" t="s">
        <v>229</v>
      </c>
      <c r="T564" s="43" t="s">
        <v>2497</v>
      </c>
      <c r="U564" s="43" t="s">
        <v>230</v>
      </c>
      <c r="V564" s="43" t="s">
        <v>31</v>
      </c>
      <c r="W564" s="43" t="s">
        <v>2514</v>
      </c>
      <c r="AB564" s="39" t="s">
        <v>2520</v>
      </c>
      <c r="AC564" s="43"/>
      <c r="AE564" s="95" t="s">
        <v>2486</v>
      </c>
      <c r="AF564" s="22"/>
      <c r="AI564" s="72">
        <v>44247</v>
      </c>
      <c r="AJ564" s="43"/>
      <c r="AK564" s="39" t="s">
        <v>77</v>
      </c>
      <c r="AL564" s="43"/>
      <c r="AM564" s="43"/>
      <c r="AN564" s="43"/>
      <c r="AP564" s="29" t="e">
        <f>VLOOKUP(A564,'[2]External Scan 02_21'!$B:$J,9,0)</f>
        <v>#N/A</v>
      </c>
      <c r="AQ564" s="29" t="s">
        <v>2484</v>
      </c>
      <c r="AR564" s="21"/>
      <c r="AS564" s="21" t="str">
        <f>VLOOKUP(AE564,'ref statu'!A:B,2,0)</f>
        <v>(Signature parafeur)</v>
      </c>
      <c r="AT564" s="8" t="e">
        <f>VLOOKUP(A564,chk!A:B,2,0)</f>
        <v>#N/A</v>
      </c>
      <c r="AU564" s="29" t="e">
        <f>VLOOKUP(A564,checker!A:B,2,0)</f>
        <v>#N/A</v>
      </c>
      <c r="AV564" s="29" t="e">
        <f>VLOOKUP(A564,checker!B:C,2,0)</f>
        <v>#N/A</v>
      </c>
    </row>
    <row r="565" spans="1:48" x14ac:dyDescent="0.3">
      <c r="A565" s="29" t="str">
        <f t="shared" si="8"/>
        <v>96.692.66.692/443/jquery-cve-2014-6071</v>
      </c>
      <c r="B565" s="61" t="s">
        <v>3014</v>
      </c>
      <c r="C565" s="43" t="s">
        <v>2491</v>
      </c>
      <c r="D565" s="37" t="s">
        <v>2974</v>
      </c>
      <c r="E565" s="37" t="s">
        <v>494</v>
      </c>
      <c r="F565" s="61" t="s">
        <v>2455</v>
      </c>
      <c r="G565" s="61" t="s">
        <v>428</v>
      </c>
      <c r="H565" s="61" t="s">
        <v>256</v>
      </c>
      <c r="I565" s="37" t="s">
        <v>257</v>
      </c>
      <c r="J565" s="37">
        <v>443</v>
      </c>
      <c r="K565" s="61" t="s">
        <v>290</v>
      </c>
      <c r="L565" s="61" t="s">
        <v>31</v>
      </c>
      <c r="M565" s="9">
        <v>4</v>
      </c>
      <c r="N565" s="9" t="s">
        <v>29</v>
      </c>
      <c r="O565" s="61" t="s">
        <v>198</v>
      </c>
      <c r="P565" s="61" t="s">
        <v>199</v>
      </c>
      <c r="Q565" s="61" t="s">
        <v>200</v>
      </c>
      <c r="R565" s="61" t="s">
        <v>201</v>
      </c>
      <c r="S565" s="61" t="s">
        <v>2480</v>
      </c>
      <c r="T565" s="61" t="s">
        <v>31</v>
      </c>
      <c r="U565" s="61" t="s">
        <v>202</v>
      </c>
      <c r="V565" s="61" t="s">
        <v>475</v>
      </c>
      <c r="W565" s="62">
        <v>43116</v>
      </c>
      <c r="X565" s="37" t="s">
        <v>30</v>
      </c>
      <c r="Y565" s="37">
        <v>0</v>
      </c>
      <c r="Z565" s="37" t="s">
        <v>31</v>
      </c>
      <c r="AA565" s="37" t="s">
        <v>31</v>
      </c>
      <c r="AB565" s="37" t="s">
        <v>513</v>
      </c>
      <c r="AC565" s="61"/>
      <c r="AD565" s="61" t="s">
        <v>2455</v>
      </c>
      <c r="AE565" s="95" t="s">
        <v>2486</v>
      </c>
      <c r="AF565" s="22"/>
      <c r="AG565" s="36"/>
      <c r="AH565" s="40"/>
      <c r="AI565" s="72">
        <v>44185</v>
      </c>
      <c r="AJ565" s="38" t="s">
        <v>262</v>
      </c>
      <c r="AK565" s="39" t="e">
        <f>VLOOKUP(A565,'[1]Externe MAJ Nov'!$A:$H,8,0)</f>
        <v>#N/A</v>
      </c>
      <c r="AL565" s="61" t="s">
        <v>240</v>
      </c>
      <c r="AM565" s="61"/>
      <c r="AN565" s="61"/>
      <c r="AO565" s="58">
        <v>44185</v>
      </c>
      <c r="AP565" s="29" t="e">
        <f>VLOOKUP(A565,'[2]External Scan 02_21'!$B:$J,9,0)</f>
        <v>#N/A</v>
      </c>
      <c r="AQ565" s="29" t="s">
        <v>2484</v>
      </c>
      <c r="AR565" s="21"/>
      <c r="AS565" s="21" t="str">
        <f>VLOOKUP(AE565,'ref statu'!A:B,2,0)</f>
        <v>(Signature parafeur)</v>
      </c>
      <c r="AT565" s="8" t="e">
        <f>VLOOKUP(A565,chk!A:B,2,0)</f>
        <v>#N/A</v>
      </c>
      <c r="AU565" s="29" t="e">
        <f>VLOOKUP(A565,checker!A:B,2,0)</f>
        <v>#N/A</v>
      </c>
      <c r="AV565" s="29" t="e">
        <f>VLOOKUP(A565,checker!B:C,2,0)</f>
        <v>#N/A</v>
      </c>
    </row>
    <row r="566" spans="1:48" x14ac:dyDescent="0.3">
      <c r="A566" s="29" t="str">
        <f t="shared" si="8"/>
        <v>96.692.66.692/443/ssl-3des-ciphers</v>
      </c>
      <c r="B566" s="29" t="s">
        <v>3014</v>
      </c>
      <c r="C566" s="43" t="s">
        <v>2491</v>
      </c>
      <c r="D566" s="8" t="s">
        <v>2974</v>
      </c>
      <c r="E566" s="8" t="s">
        <v>307</v>
      </c>
      <c r="F566" s="58">
        <v>44145</v>
      </c>
      <c r="G566" s="21" t="s">
        <v>428</v>
      </c>
      <c r="H566" s="29" t="s">
        <v>322</v>
      </c>
      <c r="I566" s="8" t="s">
        <v>31</v>
      </c>
      <c r="J566" s="8">
        <v>443</v>
      </c>
      <c r="K566" s="29" t="s">
        <v>290</v>
      </c>
      <c r="L566" s="29" t="s">
        <v>427</v>
      </c>
      <c r="M566" s="9">
        <v>1</v>
      </c>
      <c r="N566" s="9" t="s">
        <v>42</v>
      </c>
      <c r="O566" s="29" t="s">
        <v>100</v>
      </c>
      <c r="P566" s="29" t="s">
        <v>101</v>
      </c>
      <c r="Q566" s="29" t="s">
        <v>102</v>
      </c>
      <c r="R566" s="29" t="s">
        <v>103</v>
      </c>
      <c r="S566" s="29" t="s">
        <v>208</v>
      </c>
      <c r="T566" s="29" t="s">
        <v>104</v>
      </c>
      <c r="U566" s="29" t="s">
        <v>31</v>
      </c>
      <c r="V566" s="29" t="s">
        <v>31</v>
      </c>
      <c r="W566" s="57">
        <v>39845</v>
      </c>
      <c r="X566" s="8" t="s">
        <v>36</v>
      </c>
      <c r="Y566" s="8">
        <v>0</v>
      </c>
      <c r="Z566" s="8" t="s">
        <v>31</v>
      </c>
      <c r="AA566" s="8" t="s">
        <v>31</v>
      </c>
      <c r="AB566" s="8" t="s">
        <v>260</v>
      </c>
      <c r="AC566" s="29"/>
      <c r="AD566" s="29"/>
      <c r="AE566" s="95" t="s">
        <v>28</v>
      </c>
      <c r="AF566" s="30">
        <v>44145</v>
      </c>
      <c r="AG566" s="30">
        <v>44145</v>
      </c>
      <c r="AH566" s="8" t="s">
        <v>525</v>
      </c>
      <c r="AI566" s="72">
        <v>44124</v>
      </c>
      <c r="AJ566" s="23" t="s">
        <v>262</v>
      </c>
      <c r="AK566" s="8" t="e">
        <f>VLOOKUP(A566,'[1]Externe MAJ Nov'!$A:$H,8,0)</f>
        <v>#N/A</v>
      </c>
      <c r="AL566" s="29" t="e">
        <f>VLOOKUP(A566,'[1]Externe MAJ Nov'!$A:$G,7,0)</f>
        <v>#N/A</v>
      </c>
      <c r="AM566" s="29" t="s">
        <v>493</v>
      </c>
      <c r="AN566" s="29" t="s">
        <v>77</v>
      </c>
      <c r="AO566" s="58">
        <v>44124</v>
      </c>
      <c r="AP566" s="29" t="e">
        <f>VLOOKUP(A566,'[2]External Scan 02_21'!$B:$J,9,0)</f>
        <v>#N/A</v>
      </c>
      <c r="AQ566" s="29" t="s">
        <v>28</v>
      </c>
      <c r="AR566" s="21"/>
      <c r="AS566" s="21" t="str">
        <f>VLOOKUP(AE566,'ref statu'!A:B,2,0)</f>
        <v>Fixed</v>
      </c>
      <c r="AT566" s="8" t="e">
        <f>VLOOKUP(A566,chk!A:B,2,0)</f>
        <v>#N/A</v>
      </c>
      <c r="AU566" s="29" t="e">
        <f>VLOOKUP(A566,checker!A:B,2,0)</f>
        <v>#N/A</v>
      </c>
      <c r="AV566" s="29" t="e">
        <f>VLOOKUP(A566,checker!B:C,2,0)</f>
        <v>#N/A</v>
      </c>
    </row>
    <row r="567" spans="1:48" x14ac:dyDescent="0.3">
      <c r="A567" s="29" t="str">
        <f t="shared" si="8"/>
        <v>96.692.66.692/443/ssl-cve-2016-2183-sweet32</v>
      </c>
      <c r="B567" s="29" t="s">
        <v>3014</v>
      </c>
      <c r="C567" s="43" t="s">
        <v>2491</v>
      </c>
      <c r="D567" s="8" t="s">
        <v>2974</v>
      </c>
      <c r="E567" s="8" t="s">
        <v>307</v>
      </c>
      <c r="F567" s="58">
        <v>44145</v>
      </c>
      <c r="G567" s="21" t="s">
        <v>428</v>
      </c>
      <c r="H567" s="29" t="s">
        <v>322</v>
      </c>
      <c r="I567" s="8" t="s">
        <v>31</v>
      </c>
      <c r="J567" s="8">
        <v>443</v>
      </c>
      <c r="K567" s="29" t="s">
        <v>290</v>
      </c>
      <c r="L567" s="29" t="s">
        <v>427</v>
      </c>
      <c r="M567" s="9">
        <v>5</v>
      </c>
      <c r="N567" s="9" t="s">
        <v>29</v>
      </c>
      <c r="O567" s="29" t="s">
        <v>111</v>
      </c>
      <c r="P567" s="29" t="s">
        <v>112</v>
      </c>
      <c r="Q567" s="29" t="s">
        <v>113</v>
      </c>
      <c r="R567" s="29" t="s">
        <v>103</v>
      </c>
      <c r="S567" s="29" t="s">
        <v>208</v>
      </c>
      <c r="T567" s="29" t="s">
        <v>114</v>
      </c>
      <c r="U567" s="29" t="s">
        <v>71</v>
      </c>
      <c r="V567" s="29" t="s">
        <v>278</v>
      </c>
      <c r="W567" s="57">
        <v>42606</v>
      </c>
      <c r="X567" s="8" t="s">
        <v>36</v>
      </c>
      <c r="Y567" s="8">
        <v>1</v>
      </c>
      <c r="Z567" s="8" t="s">
        <v>279</v>
      </c>
      <c r="AA567" s="8" t="s">
        <v>280</v>
      </c>
      <c r="AB567" s="8" t="s">
        <v>260</v>
      </c>
      <c r="AC567" s="29"/>
      <c r="AD567" s="29"/>
      <c r="AE567" s="95" t="s">
        <v>28</v>
      </c>
      <c r="AF567" s="30">
        <v>44145</v>
      </c>
      <c r="AG567" s="30">
        <v>44145</v>
      </c>
      <c r="AH567" s="8" t="s">
        <v>525</v>
      </c>
      <c r="AI567" s="72">
        <v>44124</v>
      </c>
      <c r="AJ567" s="23" t="s">
        <v>262</v>
      </c>
      <c r="AK567" s="8" t="e">
        <f>VLOOKUP(A567,'[1]Externe MAJ Nov'!$A:$H,8,0)</f>
        <v>#N/A</v>
      </c>
      <c r="AL567" s="29" t="e">
        <f>VLOOKUP(A567,'[1]Externe MAJ Nov'!$A:$G,7,0)</f>
        <v>#N/A</v>
      </c>
      <c r="AM567" s="29" t="s">
        <v>493</v>
      </c>
      <c r="AN567" s="29" t="s">
        <v>77</v>
      </c>
      <c r="AO567" s="58">
        <v>44124</v>
      </c>
      <c r="AP567" s="29" t="e">
        <f>VLOOKUP(A567,'[2]External Scan 02_21'!$B:$J,9,0)</f>
        <v>#N/A</v>
      </c>
      <c r="AQ567" s="29" t="s">
        <v>28</v>
      </c>
      <c r="AR567" s="21"/>
      <c r="AS567" s="21" t="str">
        <f>VLOOKUP(AE567,'ref statu'!A:B,2,0)</f>
        <v>Fixed</v>
      </c>
      <c r="AT567" s="8" t="e">
        <f>VLOOKUP(A567,chk!A:B,2,0)</f>
        <v>#N/A</v>
      </c>
      <c r="AU567" s="29" t="e">
        <f>VLOOKUP(A567,checker!A:B,2,0)</f>
        <v>#N/A</v>
      </c>
      <c r="AV567" s="29" t="e">
        <f>VLOOKUP(A567,checker!B:C,2,0)</f>
        <v>#N/A</v>
      </c>
    </row>
    <row r="568" spans="1:48" x14ac:dyDescent="0.3">
      <c r="A568" s="29" t="str">
        <f t="shared" si="8"/>
        <v>96.692.66.692/443/ssl-static-key-ciphers</v>
      </c>
      <c r="B568" s="29" t="s">
        <v>3014</v>
      </c>
      <c r="C568" s="43" t="s">
        <v>2491</v>
      </c>
      <c r="D568" s="8" t="s">
        <v>2974</v>
      </c>
      <c r="E568" s="8" t="s">
        <v>307</v>
      </c>
      <c r="F568" s="58">
        <v>44145</v>
      </c>
      <c r="G568" s="21" t="s">
        <v>428</v>
      </c>
      <c r="H568" s="29" t="s">
        <v>322</v>
      </c>
      <c r="I568" s="8" t="s">
        <v>31</v>
      </c>
      <c r="J568" s="8">
        <v>443</v>
      </c>
      <c r="K568" s="29" t="s">
        <v>290</v>
      </c>
      <c r="L568" s="29" t="s">
        <v>427</v>
      </c>
      <c r="M568" s="9">
        <v>3</v>
      </c>
      <c r="N568" s="9" t="s">
        <v>42</v>
      </c>
      <c r="O568" s="29" t="s">
        <v>120</v>
      </c>
      <c r="P568" s="29" t="s">
        <v>121</v>
      </c>
      <c r="Q568" s="29" t="s">
        <v>122</v>
      </c>
      <c r="R568" s="29" t="s">
        <v>123</v>
      </c>
      <c r="S568" s="29" t="s">
        <v>209</v>
      </c>
      <c r="T568" s="29" t="s">
        <v>124</v>
      </c>
      <c r="U568" s="29" t="s">
        <v>31</v>
      </c>
      <c r="V568" s="29" t="s">
        <v>31</v>
      </c>
      <c r="W568" s="57">
        <v>42036</v>
      </c>
      <c r="X568" s="8" t="s">
        <v>36</v>
      </c>
      <c r="Y568" s="8">
        <v>0</v>
      </c>
      <c r="Z568" s="8" t="s">
        <v>31</v>
      </c>
      <c r="AA568" s="8" t="s">
        <v>31</v>
      </c>
      <c r="AB568" s="8" t="s">
        <v>260</v>
      </c>
      <c r="AC568" s="29"/>
      <c r="AD568" s="29"/>
      <c r="AE568" s="95" t="s">
        <v>28</v>
      </c>
      <c r="AF568" s="30">
        <v>44145</v>
      </c>
      <c r="AG568" s="30">
        <v>44145</v>
      </c>
      <c r="AH568" s="8" t="s">
        <v>525</v>
      </c>
      <c r="AI568" s="72">
        <v>44124</v>
      </c>
      <c r="AJ568" s="23" t="s">
        <v>262</v>
      </c>
      <c r="AK568" s="8" t="e">
        <f>VLOOKUP(A568,'[1]Externe MAJ Nov'!$A:$H,8,0)</f>
        <v>#N/A</v>
      </c>
      <c r="AL568" s="29" t="e">
        <f>VLOOKUP(A568,'[1]Externe MAJ Nov'!$A:$G,7,0)</f>
        <v>#N/A</v>
      </c>
      <c r="AM568" s="29" t="s">
        <v>493</v>
      </c>
      <c r="AN568" s="29" t="s">
        <v>77</v>
      </c>
      <c r="AO568" s="58">
        <v>44124</v>
      </c>
      <c r="AP568" s="29" t="e">
        <f>VLOOKUP(A568,'[2]External Scan 02_21'!$B:$J,9,0)</f>
        <v>#N/A</v>
      </c>
      <c r="AQ568" s="29" t="s">
        <v>28</v>
      </c>
      <c r="AR568" s="21"/>
      <c r="AS568" s="21" t="str">
        <f>VLOOKUP(AE568,'ref statu'!A:B,2,0)</f>
        <v>Fixed</v>
      </c>
      <c r="AT568" s="8" t="e">
        <f>VLOOKUP(A568,chk!A:B,2,0)</f>
        <v>#N/A</v>
      </c>
      <c r="AU568" s="29" t="e">
        <f>VLOOKUP(A568,checker!A:B,2,0)</f>
        <v>#N/A</v>
      </c>
      <c r="AV568" s="29" t="e">
        <f>VLOOKUP(A568,checker!B:C,2,0)</f>
        <v>#N/A</v>
      </c>
    </row>
    <row r="569" spans="1:48" x14ac:dyDescent="0.3">
      <c r="A569" s="29" t="str">
        <f t="shared" si="8"/>
        <v>96.692.66.693/0/generic-tcp-timestamp</v>
      </c>
      <c r="B569" s="29" t="s">
        <v>3015</v>
      </c>
      <c r="C569" s="43" t="s">
        <v>2491</v>
      </c>
      <c r="D569" s="8" t="s">
        <v>2975</v>
      </c>
      <c r="E569" s="8" t="s">
        <v>307</v>
      </c>
      <c r="F569" s="29" t="s">
        <v>308</v>
      </c>
      <c r="G569" s="21" t="s">
        <v>429</v>
      </c>
      <c r="H569" s="29" t="s">
        <v>256</v>
      </c>
      <c r="I569" s="8" t="s">
        <v>257</v>
      </c>
      <c r="J569" s="8">
        <v>0</v>
      </c>
      <c r="K569" s="29" t="s">
        <v>258</v>
      </c>
      <c r="L569" s="29" t="s">
        <v>31</v>
      </c>
      <c r="M569" s="9">
        <v>1</v>
      </c>
      <c r="N569" s="9" t="s">
        <v>42</v>
      </c>
      <c r="O569" s="29" t="s">
        <v>78</v>
      </c>
      <c r="P569" s="29" t="s">
        <v>79</v>
      </c>
      <c r="Q569" s="29" t="s">
        <v>80</v>
      </c>
      <c r="R569" s="29" t="s">
        <v>81</v>
      </c>
      <c r="S569" s="29" t="s">
        <v>82</v>
      </c>
      <c r="T569" s="29" t="s">
        <v>83</v>
      </c>
      <c r="U569" s="29" t="s">
        <v>31</v>
      </c>
      <c r="V569" s="29" t="s">
        <v>31</v>
      </c>
      <c r="W569" s="29">
        <v>35643</v>
      </c>
      <c r="X569" s="8" t="s">
        <v>36</v>
      </c>
      <c r="Y569" s="8">
        <v>0</v>
      </c>
      <c r="Z569" s="8" t="s">
        <v>31</v>
      </c>
      <c r="AA569" s="8" t="s">
        <v>31</v>
      </c>
      <c r="AB569" s="8" t="s">
        <v>260</v>
      </c>
      <c r="AC569" s="29"/>
      <c r="AD569" s="29"/>
      <c r="AE569" s="95" t="s">
        <v>28</v>
      </c>
      <c r="AF569" s="30">
        <v>44150</v>
      </c>
      <c r="AG569" s="30">
        <v>44150</v>
      </c>
      <c r="AH569" s="25">
        <v>44150</v>
      </c>
      <c r="AI569" s="72">
        <v>44124</v>
      </c>
      <c r="AJ569" s="23" t="s">
        <v>27</v>
      </c>
      <c r="AK569" s="8" t="e">
        <f>VLOOKUP(A569,'[1]Externe MAJ Nov'!$A:$H,8,0)</f>
        <v>#N/A</v>
      </c>
      <c r="AL569" s="29" t="e">
        <f>VLOOKUP(A569,'[1]Externe MAJ Nov'!$A:$G,7,0)</f>
        <v>#N/A</v>
      </c>
      <c r="AM569" s="29" t="s">
        <v>28</v>
      </c>
      <c r="AN569" s="29" t="s">
        <v>77</v>
      </c>
      <c r="AO569" s="58">
        <v>44124</v>
      </c>
      <c r="AP569" s="29" t="e">
        <f>VLOOKUP(A569,'[2]External Scan 02_21'!$B:$J,9,0)</f>
        <v>#N/A</v>
      </c>
      <c r="AQ569" s="29" t="s">
        <v>28</v>
      </c>
      <c r="AR569" s="21"/>
      <c r="AS569" s="21" t="str">
        <f>VLOOKUP(AE569,'ref statu'!A:B,2,0)</f>
        <v>Fixed</v>
      </c>
      <c r="AT569" s="8" t="e">
        <f>VLOOKUP(A569,chk!A:B,2,0)</f>
        <v>#N/A</v>
      </c>
      <c r="AU569" s="29" t="e">
        <f>VLOOKUP(A569,checker!A:B,2,0)</f>
        <v>#N/A</v>
      </c>
      <c r="AV569" s="29" t="e">
        <f>VLOOKUP(A569,checker!B:C,2,0)</f>
        <v>#N/A</v>
      </c>
    </row>
    <row r="570" spans="1:48" x14ac:dyDescent="0.3">
      <c r="A570" s="29" t="str">
        <f t="shared" si="8"/>
        <v>96.692.66.693/443/certificate-common-name-mismatch</v>
      </c>
      <c r="B570" s="29" t="s">
        <v>3015</v>
      </c>
      <c r="C570" s="43" t="s">
        <v>2491</v>
      </c>
      <c r="D570" s="8" t="s">
        <v>2975</v>
      </c>
      <c r="E570" s="8" t="s">
        <v>299</v>
      </c>
      <c r="F570" s="29"/>
      <c r="G570" s="21" t="s">
        <v>429</v>
      </c>
      <c r="H570" s="29" t="s">
        <v>256</v>
      </c>
      <c r="I570" s="8" t="s">
        <v>257</v>
      </c>
      <c r="J570" s="8">
        <v>443</v>
      </c>
      <c r="K570" s="29" t="s">
        <v>290</v>
      </c>
      <c r="L570" s="29" t="s">
        <v>276</v>
      </c>
      <c r="M570" s="9">
        <v>7</v>
      </c>
      <c r="N570" s="10" t="s">
        <v>2540</v>
      </c>
      <c r="O570" s="29" t="s">
        <v>148</v>
      </c>
      <c r="P570" s="29" t="s">
        <v>149</v>
      </c>
      <c r="Q570" s="29" t="s">
        <v>150</v>
      </c>
      <c r="R570" s="29" t="s">
        <v>151</v>
      </c>
      <c r="S570" s="29" t="s">
        <v>243</v>
      </c>
      <c r="T570" s="29" t="s">
        <v>31</v>
      </c>
      <c r="U570" s="29" t="s">
        <v>31</v>
      </c>
      <c r="V570" s="29" t="s">
        <v>31</v>
      </c>
      <c r="W570" s="29">
        <v>39297</v>
      </c>
      <c r="X570" s="8" t="s">
        <v>36</v>
      </c>
      <c r="Y570" s="8">
        <v>0</v>
      </c>
      <c r="Z570" s="8" t="s">
        <v>31</v>
      </c>
      <c r="AA570" s="8" t="s">
        <v>31</v>
      </c>
      <c r="AB570" s="8" t="s">
        <v>374</v>
      </c>
      <c r="AC570" s="29"/>
      <c r="AD570" s="29"/>
      <c r="AE570" s="95" t="s">
        <v>299</v>
      </c>
      <c r="AF570" s="22"/>
      <c r="AG570" s="30"/>
      <c r="AH570" s="21"/>
      <c r="AI570" s="72">
        <v>44124</v>
      </c>
      <c r="AJ570" s="23" t="s">
        <v>27</v>
      </c>
      <c r="AK570" s="8" t="e">
        <f>VLOOKUP(A570,'[1]Externe MAJ Nov'!$A:$H,8,0)</f>
        <v>#N/A</v>
      </c>
      <c r="AL570" s="29" t="e">
        <f>VLOOKUP(A570,'[1]Externe MAJ Nov'!$A:$G,7,0)</f>
        <v>#N/A</v>
      </c>
      <c r="AM570" s="29" t="s">
        <v>299</v>
      </c>
      <c r="AN570" s="29" t="s">
        <v>77</v>
      </c>
      <c r="AO570" s="58">
        <v>44124</v>
      </c>
      <c r="AP570" s="29" t="e">
        <f>VLOOKUP(A570,'[2]External Scan 02_21'!$B:$J,9,0)</f>
        <v>#N/A</v>
      </c>
      <c r="AQ570" s="29" t="s">
        <v>299</v>
      </c>
      <c r="AR570" s="21"/>
      <c r="AS570" s="21" t="str">
        <f>VLOOKUP(AE570,'ref statu'!A:B,2,0)</f>
        <v>Faux Positive</v>
      </c>
      <c r="AT570" s="8" t="e">
        <f>VLOOKUP(A570,chk!A:B,2,0)</f>
        <v>#N/A</v>
      </c>
      <c r="AU570" s="29" t="e">
        <f>VLOOKUP(A570,checker!A:B,2,0)</f>
        <v>#N/A</v>
      </c>
      <c r="AV570" s="29" t="e">
        <f>VLOOKUP(A570,checker!B:C,2,0)</f>
        <v>#N/A</v>
      </c>
    </row>
    <row r="571" spans="1:48" x14ac:dyDescent="0.3">
      <c r="A571" s="29" t="str">
        <f t="shared" si="8"/>
        <v>96.692.66.693/443/http-generic-browsable-dir</v>
      </c>
      <c r="B571" s="29" t="s">
        <v>3015</v>
      </c>
      <c r="C571" s="43" t="s">
        <v>2491</v>
      </c>
      <c r="D571" s="8" t="s">
        <v>2975</v>
      </c>
      <c r="E571" s="8" t="s">
        <v>311</v>
      </c>
      <c r="F571" s="29"/>
      <c r="G571" s="21" t="s">
        <v>429</v>
      </c>
      <c r="H571" s="29" t="s">
        <v>256</v>
      </c>
      <c r="I571" s="8" t="s">
        <v>257</v>
      </c>
      <c r="J571" s="8">
        <v>443</v>
      </c>
      <c r="K571" s="29" t="s">
        <v>290</v>
      </c>
      <c r="L571" s="29" t="s">
        <v>276</v>
      </c>
      <c r="M571" s="9">
        <v>5</v>
      </c>
      <c r="N571" s="9" t="s">
        <v>29</v>
      </c>
      <c r="O571" s="29" t="s">
        <v>32</v>
      </c>
      <c r="P571" s="29" t="s">
        <v>33</v>
      </c>
      <c r="Q571" s="29" t="s">
        <v>34</v>
      </c>
      <c r="R571" s="29" t="s">
        <v>35</v>
      </c>
      <c r="S571" s="29" t="s">
        <v>430</v>
      </c>
      <c r="T571" s="29" t="s">
        <v>31</v>
      </c>
      <c r="U571" s="29" t="s">
        <v>31</v>
      </c>
      <c r="V571" s="29" t="s">
        <v>31</v>
      </c>
      <c r="W571" s="29">
        <v>36892</v>
      </c>
      <c r="X571" s="8" t="s">
        <v>36</v>
      </c>
      <c r="Y571" s="8">
        <v>0</v>
      </c>
      <c r="Z571" s="8" t="s">
        <v>31</v>
      </c>
      <c r="AA571" s="8" t="s">
        <v>31</v>
      </c>
      <c r="AB571" s="8" t="s">
        <v>374</v>
      </c>
      <c r="AC571" s="29"/>
      <c r="AD571" s="29"/>
      <c r="AE571" s="95" t="s">
        <v>2486</v>
      </c>
      <c r="AF571" s="22"/>
      <c r="AG571" s="30"/>
      <c r="AH571" s="67">
        <v>44142</v>
      </c>
      <c r="AI571" s="72">
        <v>44124</v>
      </c>
      <c r="AJ571" s="23" t="s">
        <v>27</v>
      </c>
      <c r="AK571" s="8" t="e">
        <f>VLOOKUP(A571,'[1]Externe MAJ Nov'!$A:$H,8,0)</f>
        <v>#N/A</v>
      </c>
      <c r="AL571" s="29" t="e">
        <f>VLOOKUP(A571,'[1]Externe MAJ Nov'!$A:$G,7,0)</f>
        <v>#N/A</v>
      </c>
      <c r="AM571" s="29" t="s">
        <v>95</v>
      </c>
      <c r="AN571" s="29" t="s">
        <v>77</v>
      </c>
      <c r="AO571" s="58">
        <v>44124</v>
      </c>
      <c r="AP571" s="29" t="e">
        <f>VLOOKUP(A571,'[2]External Scan 02_21'!$B:$J,9,0)</f>
        <v>#N/A</v>
      </c>
      <c r="AQ571" s="29" t="s">
        <v>2486</v>
      </c>
      <c r="AR571" s="21"/>
      <c r="AS571" s="21" t="str">
        <f>VLOOKUP(AE571,'ref statu'!A:B,2,0)</f>
        <v>(Signature parafeur)</v>
      </c>
      <c r="AT571" s="8" t="e">
        <f>VLOOKUP(A571,chk!A:B,2,0)</f>
        <v>#N/A</v>
      </c>
      <c r="AU571" s="29" t="e">
        <f>VLOOKUP(A571,checker!A:B,2,0)</f>
        <v>#N/A</v>
      </c>
      <c r="AV571" s="29" t="e">
        <f>VLOOKUP(A571,checker!B:C,2,0)</f>
        <v>#N/A</v>
      </c>
    </row>
    <row r="572" spans="1:48" x14ac:dyDescent="0.3">
      <c r="A572" s="29" t="str">
        <f t="shared" si="8"/>
        <v>96.692.66.693/443/ssl-3des-ciphers</v>
      </c>
      <c r="B572" s="29" t="s">
        <v>3015</v>
      </c>
      <c r="C572" s="43" t="s">
        <v>2491</v>
      </c>
      <c r="D572" s="8" t="s">
        <v>2975</v>
      </c>
      <c r="E572" s="8" t="s">
        <v>307</v>
      </c>
      <c r="F572" s="29" t="s">
        <v>308</v>
      </c>
      <c r="G572" s="21" t="s">
        <v>429</v>
      </c>
      <c r="H572" s="29" t="s">
        <v>256</v>
      </c>
      <c r="I572" s="8" t="s">
        <v>257</v>
      </c>
      <c r="J572" s="8">
        <v>443</v>
      </c>
      <c r="K572" s="29" t="s">
        <v>290</v>
      </c>
      <c r="L572" s="29" t="s">
        <v>276</v>
      </c>
      <c r="M572" s="9">
        <v>1</v>
      </c>
      <c r="N572" s="9" t="s">
        <v>42</v>
      </c>
      <c r="O572" s="29" t="s">
        <v>100</v>
      </c>
      <c r="P572" s="29" t="s">
        <v>101</v>
      </c>
      <c r="Q572" s="29" t="s">
        <v>102</v>
      </c>
      <c r="R572" s="29" t="s">
        <v>103</v>
      </c>
      <c r="S572" s="29" t="s">
        <v>208</v>
      </c>
      <c r="T572" s="29" t="s">
        <v>104</v>
      </c>
      <c r="U572" s="29" t="s">
        <v>31</v>
      </c>
      <c r="V572" s="29" t="s">
        <v>31</v>
      </c>
      <c r="W572" s="29">
        <v>39845</v>
      </c>
      <c r="X572" s="8" t="s">
        <v>36</v>
      </c>
      <c r="Y572" s="8">
        <v>0</v>
      </c>
      <c r="Z572" s="8" t="s">
        <v>31</v>
      </c>
      <c r="AA572" s="8" t="s">
        <v>31</v>
      </c>
      <c r="AB572" s="8" t="s">
        <v>260</v>
      </c>
      <c r="AC572" s="29"/>
      <c r="AD572" s="29"/>
      <c r="AE572" s="95" t="s">
        <v>28</v>
      </c>
      <c r="AF572" s="30">
        <v>44150</v>
      </c>
      <c r="AG572" s="30">
        <v>44150</v>
      </c>
      <c r="AH572" s="25">
        <v>44150</v>
      </c>
      <c r="AI572" s="72">
        <v>44124</v>
      </c>
      <c r="AJ572" s="23" t="s">
        <v>27</v>
      </c>
      <c r="AK572" s="8" t="e">
        <f>VLOOKUP(A572,'[1]Externe MAJ Nov'!$A:$H,8,0)</f>
        <v>#N/A</v>
      </c>
      <c r="AL572" s="29" t="e">
        <f>VLOOKUP(A572,'[1]Externe MAJ Nov'!$A:$G,7,0)</f>
        <v>#N/A</v>
      </c>
      <c r="AM572" s="29" t="s">
        <v>493</v>
      </c>
      <c r="AN572" s="29" t="s">
        <v>77</v>
      </c>
      <c r="AO572" s="58">
        <v>44124</v>
      </c>
      <c r="AP572" s="29" t="e">
        <f>VLOOKUP(A572,'[2]External Scan 02_21'!$B:$J,9,0)</f>
        <v>#N/A</v>
      </c>
      <c r="AQ572" s="29" t="s">
        <v>28</v>
      </c>
      <c r="AR572" s="21"/>
      <c r="AS572" s="21" t="str">
        <f>VLOOKUP(AE572,'ref statu'!A:B,2,0)</f>
        <v>Fixed</v>
      </c>
      <c r="AT572" s="8" t="e">
        <f>VLOOKUP(A572,chk!A:B,2,0)</f>
        <v>#N/A</v>
      </c>
      <c r="AU572" s="29" t="e">
        <f>VLOOKUP(A572,checker!A:B,2,0)</f>
        <v>#N/A</v>
      </c>
      <c r="AV572" s="29" t="e">
        <f>VLOOKUP(A572,checker!B:C,2,0)</f>
        <v>#N/A</v>
      </c>
    </row>
    <row r="573" spans="1:48" x14ac:dyDescent="0.3">
      <c r="A573" s="29" t="str">
        <f t="shared" si="8"/>
        <v>96.692.66.693/443/ssl-cve-2016-2183-sweet32</v>
      </c>
      <c r="B573" s="29" t="s">
        <v>3015</v>
      </c>
      <c r="C573" s="43" t="s">
        <v>2491</v>
      </c>
      <c r="D573" s="8" t="s">
        <v>2975</v>
      </c>
      <c r="E573" s="8" t="s">
        <v>311</v>
      </c>
      <c r="F573" s="29"/>
      <c r="G573" s="21" t="s">
        <v>429</v>
      </c>
      <c r="H573" s="29" t="s">
        <v>256</v>
      </c>
      <c r="I573" s="8" t="s">
        <v>257</v>
      </c>
      <c r="J573" s="8">
        <v>443</v>
      </c>
      <c r="K573" s="29" t="s">
        <v>290</v>
      </c>
      <c r="L573" s="29" t="s">
        <v>276</v>
      </c>
      <c r="M573" s="9">
        <v>5</v>
      </c>
      <c r="N573" s="9" t="s">
        <v>29</v>
      </c>
      <c r="O573" s="29" t="s">
        <v>111</v>
      </c>
      <c r="P573" s="29" t="s">
        <v>112</v>
      </c>
      <c r="Q573" s="29" t="s">
        <v>113</v>
      </c>
      <c r="R573" s="29" t="s">
        <v>103</v>
      </c>
      <c r="S573" s="29" t="s">
        <v>208</v>
      </c>
      <c r="T573" s="29" t="s">
        <v>114</v>
      </c>
      <c r="U573" s="29" t="s">
        <v>71</v>
      </c>
      <c r="V573" s="29" t="s">
        <v>278</v>
      </c>
      <c r="W573" s="29">
        <v>42606</v>
      </c>
      <c r="X573" s="8" t="s">
        <v>36</v>
      </c>
      <c r="Y573" s="8">
        <v>1</v>
      </c>
      <c r="Z573" s="8" t="s">
        <v>279</v>
      </c>
      <c r="AA573" s="8" t="s">
        <v>280</v>
      </c>
      <c r="AB573" s="8" t="s">
        <v>260</v>
      </c>
      <c r="AC573" s="29"/>
      <c r="AD573" s="29"/>
      <c r="AE573" s="95" t="s">
        <v>28</v>
      </c>
      <c r="AF573" s="22">
        <f>AG573</f>
        <v>44215</v>
      </c>
      <c r="AG573" s="30">
        <v>44215</v>
      </c>
      <c r="AH573" s="25">
        <v>44142</v>
      </c>
      <c r="AI573" s="72">
        <v>44124</v>
      </c>
      <c r="AJ573" s="23" t="s">
        <v>27</v>
      </c>
      <c r="AK573" s="8" t="e">
        <f>VLOOKUP(A573,'[1]Externe MAJ Nov'!$A:$H,8,0)</f>
        <v>#N/A</v>
      </c>
      <c r="AL573" s="29" t="e">
        <f>VLOOKUP(A573,'[1]Externe MAJ Nov'!$A:$G,7,0)</f>
        <v>#N/A</v>
      </c>
      <c r="AM573" s="29" t="s">
        <v>95</v>
      </c>
      <c r="AN573" s="29" t="s">
        <v>77</v>
      </c>
      <c r="AO573" s="58">
        <v>44124</v>
      </c>
      <c r="AP573" s="29" t="e">
        <f>VLOOKUP(A573,'[2]External Scan 02_21'!$B:$J,9,0)</f>
        <v>#N/A</v>
      </c>
      <c r="AQ573" s="29" t="s">
        <v>28</v>
      </c>
      <c r="AR573" s="21"/>
      <c r="AS573" s="21" t="str">
        <f>VLOOKUP(AE573,'ref statu'!A:B,2,0)</f>
        <v>Fixed</v>
      </c>
      <c r="AT573" s="8" t="e">
        <f>VLOOKUP(A573,chk!A:B,2,0)</f>
        <v>#N/A</v>
      </c>
      <c r="AU573" s="29" t="e">
        <f>VLOOKUP(A573,checker!A:B,2,0)</f>
        <v>#N/A</v>
      </c>
      <c r="AV573" s="29" t="e">
        <f>VLOOKUP(A573,checker!B:C,2,0)</f>
        <v>#N/A</v>
      </c>
    </row>
    <row r="574" spans="1:48" x14ac:dyDescent="0.3">
      <c r="A574" s="29" t="str">
        <f t="shared" si="8"/>
        <v>96.692.66.693/443/ssl-static-key-ciphers</v>
      </c>
      <c r="B574" s="29" t="s">
        <v>3015</v>
      </c>
      <c r="C574" s="43" t="s">
        <v>2491</v>
      </c>
      <c r="D574" s="8" t="s">
        <v>2975</v>
      </c>
      <c r="E574" s="8" t="s">
        <v>307</v>
      </c>
      <c r="F574" s="29" t="s">
        <v>308</v>
      </c>
      <c r="G574" s="21" t="s">
        <v>429</v>
      </c>
      <c r="H574" s="29" t="s">
        <v>256</v>
      </c>
      <c r="I574" s="8" t="s">
        <v>257</v>
      </c>
      <c r="J574" s="8">
        <v>443</v>
      </c>
      <c r="K574" s="29" t="s">
        <v>290</v>
      </c>
      <c r="L574" s="29" t="s">
        <v>276</v>
      </c>
      <c r="M574" s="9">
        <v>3</v>
      </c>
      <c r="N574" s="9" t="s">
        <v>42</v>
      </c>
      <c r="O574" s="29" t="s">
        <v>120</v>
      </c>
      <c r="P574" s="29" t="s">
        <v>121</v>
      </c>
      <c r="Q574" s="29" t="s">
        <v>122</v>
      </c>
      <c r="R574" s="29" t="s">
        <v>123</v>
      </c>
      <c r="S574" s="29" t="s">
        <v>209</v>
      </c>
      <c r="T574" s="29" t="s">
        <v>124</v>
      </c>
      <c r="U574" s="29" t="s">
        <v>31</v>
      </c>
      <c r="V574" s="29" t="s">
        <v>31</v>
      </c>
      <c r="W574" s="29">
        <v>42036</v>
      </c>
      <c r="X574" s="8" t="s">
        <v>36</v>
      </c>
      <c r="Y574" s="8">
        <v>0</v>
      </c>
      <c r="Z574" s="8" t="s">
        <v>31</v>
      </c>
      <c r="AA574" s="8" t="s">
        <v>31</v>
      </c>
      <c r="AB574" s="8" t="s">
        <v>260</v>
      </c>
      <c r="AC574" s="29"/>
      <c r="AD574" s="29"/>
      <c r="AE574" s="95" t="s">
        <v>28</v>
      </c>
      <c r="AF574" s="30">
        <v>44150</v>
      </c>
      <c r="AG574" s="30">
        <v>44150</v>
      </c>
      <c r="AH574" s="25">
        <v>44150</v>
      </c>
      <c r="AI574" s="72">
        <v>44124</v>
      </c>
      <c r="AJ574" s="23" t="s">
        <v>27</v>
      </c>
      <c r="AK574" s="8" t="e">
        <f>VLOOKUP(A574,'[1]Externe MAJ Nov'!$A:$H,8,0)</f>
        <v>#N/A</v>
      </c>
      <c r="AL574" s="29" t="e">
        <f>VLOOKUP(A574,'[1]Externe MAJ Nov'!$A:$G,7,0)</f>
        <v>#N/A</v>
      </c>
      <c r="AM574" s="29" t="s">
        <v>493</v>
      </c>
      <c r="AN574" s="29" t="s">
        <v>77</v>
      </c>
      <c r="AO574" s="58">
        <v>44124</v>
      </c>
      <c r="AP574" s="29" t="e">
        <f>VLOOKUP(A574,'[2]External Scan 02_21'!$B:$J,9,0)</f>
        <v>#N/A</v>
      </c>
      <c r="AQ574" s="29" t="s">
        <v>28</v>
      </c>
      <c r="AR574" s="21"/>
      <c r="AS574" s="21" t="str">
        <f>VLOOKUP(AE574,'ref statu'!A:B,2,0)</f>
        <v>Fixed</v>
      </c>
      <c r="AT574" s="8" t="e">
        <f>VLOOKUP(A574,chk!A:B,2,0)</f>
        <v>#N/A</v>
      </c>
      <c r="AU574" s="29" t="e">
        <f>VLOOKUP(A574,checker!A:B,2,0)</f>
        <v>#N/A</v>
      </c>
      <c r="AV574" s="29" t="e">
        <f>VLOOKUP(A574,checker!B:C,2,0)</f>
        <v>#N/A</v>
      </c>
    </row>
    <row r="575" spans="1:48" x14ac:dyDescent="0.3">
      <c r="A575" s="29" t="str">
        <f t="shared" si="8"/>
        <v>96.692.66.694/0/generic-tcp-timestamp</v>
      </c>
      <c r="B575" s="29" t="s">
        <v>3016</v>
      </c>
      <c r="C575" s="29" t="s">
        <v>431</v>
      </c>
      <c r="D575" s="8" t="s">
        <v>2969</v>
      </c>
      <c r="E575" s="8" t="s">
        <v>253</v>
      </c>
      <c r="F575" s="29" t="s">
        <v>294</v>
      </c>
      <c r="G575" s="21" t="s">
        <v>432</v>
      </c>
      <c r="H575" s="29" t="s">
        <v>322</v>
      </c>
      <c r="I575" s="8" t="s">
        <v>31</v>
      </c>
      <c r="J575" s="8">
        <v>0</v>
      </c>
      <c r="K575" s="29" t="s">
        <v>258</v>
      </c>
      <c r="L575" s="29" t="s">
        <v>31</v>
      </c>
      <c r="M575" s="9">
        <v>1</v>
      </c>
      <c r="N575" s="9" t="s">
        <v>42</v>
      </c>
      <c r="O575" s="29" t="s">
        <v>78</v>
      </c>
      <c r="P575" s="29" t="s">
        <v>79</v>
      </c>
      <c r="Q575" s="29" t="s">
        <v>80</v>
      </c>
      <c r="R575" s="29" t="s">
        <v>81</v>
      </c>
      <c r="S575" s="29" t="s">
        <v>82</v>
      </c>
      <c r="T575" s="29" t="s">
        <v>83</v>
      </c>
      <c r="U575" s="29" t="s">
        <v>31</v>
      </c>
      <c r="V575" s="29" t="s">
        <v>31</v>
      </c>
      <c r="W575" s="57">
        <v>35643</v>
      </c>
      <c r="X575" s="8" t="s">
        <v>36</v>
      </c>
      <c r="Y575" s="8">
        <v>0</v>
      </c>
      <c r="Z575" s="8" t="s">
        <v>31</v>
      </c>
      <c r="AA575" s="8" t="s">
        <v>31</v>
      </c>
      <c r="AB575" s="8" t="s">
        <v>260</v>
      </c>
      <c r="AC575" s="29"/>
      <c r="AD575" s="29" t="s">
        <v>2487</v>
      </c>
      <c r="AE575" s="95" t="s">
        <v>28</v>
      </c>
      <c r="AF575" s="22">
        <v>44224</v>
      </c>
      <c r="AG575" s="30">
        <v>44224</v>
      </c>
      <c r="AH575" s="8"/>
      <c r="AI575" s="72">
        <v>44124</v>
      </c>
      <c r="AJ575" s="23" t="s">
        <v>262</v>
      </c>
      <c r="AK575" s="8" t="e">
        <f>VLOOKUP(A575,'[1]Externe MAJ Nov'!$A:$H,8,0)</f>
        <v>#N/A</v>
      </c>
      <c r="AL575" s="29" t="e">
        <f>VLOOKUP(A575,'[1]Externe MAJ Nov'!$A:$G,7,0)</f>
        <v>#N/A</v>
      </c>
      <c r="AM575" s="29" t="s">
        <v>28</v>
      </c>
      <c r="AN575" s="29" t="s">
        <v>77</v>
      </c>
      <c r="AO575" s="58">
        <v>44124</v>
      </c>
      <c r="AP575" s="29" t="e">
        <f>VLOOKUP(A575,'[2]External Scan 02_21'!$B:$J,9,0)</f>
        <v>#N/A</v>
      </c>
      <c r="AQ575" s="29" t="s">
        <v>28</v>
      </c>
      <c r="AR575" s="21"/>
      <c r="AS575" s="21" t="str">
        <f>VLOOKUP(AE575,'ref statu'!A:B,2,0)</f>
        <v>Fixed</v>
      </c>
      <c r="AT575" s="8" t="e">
        <f>VLOOKUP(A575,chk!A:B,2,0)</f>
        <v>#N/A</v>
      </c>
      <c r="AU575" s="29" t="e">
        <f>VLOOKUP(A575,checker!A:B,2,0)</f>
        <v>#N/A</v>
      </c>
      <c r="AV575" s="29" t="e">
        <f>VLOOKUP(A575,checker!B:C,2,0)</f>
        <v>#N/A</v>
      </c>
    </row>
    <row r="576" spans="1:48" x14ac:dyDescent="0.3">
      <c r="A576" s="29" t="str">
        <f t="shared" si="8"/>
        <v>96.692.66.694/443/certificate-common-name-mismatch</v>
      </c>
      <c r="B576" s="29" t="s">
        <v>3016</v>
      </c>
      <c r="C576" s="29" t="s">
        <v>431</v>
      </c>
      <c r="D576" s="8" t="s">
        <v>2969</v>
      </c>
      <c r="E576" s="8" t="s">
        <v>299</v>
      </c>
      <c r="F576" s="29"/>
      <c r="G576" s="21" t="s">
        <v>432</v>
      </c>
      <c r="H576" s="29" t="s">
        <v>322</v>
      </c>
      <c r="I576" s="8" t="s">
        <v>31</v>
      </c>
      <c r="J576" s="8">
        <v>443</v>
      </c>
      <c r="K576" s="29" t="s">
        <v>290</v>
      </c>
      <c r="L576" s="29" t="s">
        <v>427</v>
      </c>
      <c r="M576" s="9">
        <v>7</v>
      </c>
      <c r="N576" s="10" t="s">
        <v>2540</v>
      </c>
      <c r="O576" s="29" t="s">
        <v>148</v>
      </c>
      <c r="P576" s="29" t="s">
        <v>149</v>
      </c>
      <c r="Q576" s="29" t="s">
        <v>150</v>
      </c>
      <c r="R576" s="29" t="s">
        <v>151</v>
      </c>
      <c r="S576" s="29" t="s">
        <v>243</v>
      </c>
      <c r="T576" s="29" t="s">
        <v>31</v>
      </c>
      <c r="U576" s="29" t="s">
        <v>31</v>
      </c>
      <c r="V576" s="29" t="s">
        <v>31</v>
      </c>
      <c r="W576" s="57">
        <v>39297</v>
      </c>
      <c r="X576" s="8" t="s">
        <v>36</v>
      </c>
      <c r="Y576" s="8">
        <v>0</v>
      </c>
      <c r="Z576" s="8" t="s">
        <v>31</v>
      </c>
      <c r="AA576" s="8" t="s">
        <v>31</v>
      </c>
      <c r="AB576" s="8" t="s">
        <v>374</v>
      </c>
      <c r="AC576" s="29"/>
      <c r="AD576" s="29"/>
      <c r="AE576" s="95" t="s">
        <v>299</v>
      </c>
      <c r="AF576" s="22"/>
      <c r="AG576" s="30"/>
      <c r="AH576" s="21"/>
      <c r="AI576" s="72">
        <v>44124</v>
      </c>
      <c r="AJ576" s="23" t="s">
        <v>262</v>
      </c>
      <c r="AK576" s="8" t="e">
        <f>VLOOKUP(A576,'[1]Externe MAJ Nov'!$A:$H,8,0)</f>
        <v>#N/A</v>
      </c>
      <c r="AL576" s="29" t="e">
        <f>VLOOKUP(A576,'[1]Externe MAJ Nov'!$A:$G,7,0)</f>
        <v>#N/A</v>
      </c>
      <c r="AM576" s="29" t="s">
        <v>299</v>
      </c>
      <c r="AN576" s="29" t="s">
        <v>77</v>
      </c>
      <c r="AO576" s="58">
        <v>44124</v>
      </c>
      <c r="AP576" s="29" t="e">
        <f>VLOOKUP(A576,'[2]External Scan 02_21'!$B:$J,9,0)</f>
        <v>#N/A</v>
      </c>
      <c r="AQ576" s="29" t="s">
        <v>299</v>
      </c>
      <c r="AR576" s="21"/>
      <c r="AS576" s="21" t="str">
        <f>VLOOKUP(AE576,'ref statu'!A:B,2,0)</f>
        <v>Faux Positive</v>
      </c>
      <c r="AT576" s="8" t="e">
        <f>VLOOKUP(A576,chk!A:B,2,0)</f>
        <v>#N/A</v>
      </c>
      <c r="AU576" s="29" t="e">
        <f>VLOOKUP(A576,checker!A:B,2,0)</f>
        <v>#N/A</v>
      </c>
      <c r="AV576" s="29" t="e">
        <f>VLOOKUP(A576,checker!B:C,2,0)</f>
        <v>#N/A</v>
      </c>
    </row>
    <row r="577" spans="1:48" x14ac:dyDescent="0.3">
      <c r="A577" s="29" t="str">
        <f t="shared" si="8"/>
        <v>96.692.66.697/0/generic-tcp-timestamp</v>
      </c>
      <c r="B577" s="29" t="s">
        <v>3017</v>
      </c>
      <c r="C577" s="29" t="s">
        <v>433</v>
      </c>
      <c r="D577" s="148" t="s">
        <v>2985</v>
      </c>
      <c r="E577" s="8" t="s">
        <v>253</v>
      </c>
      <c r="F577" s="29" t="s">
        <v>294</v>
      </c>
      <c r="G577" s="21" t="s">
        <v>434</v>
      </c>
      <c r="H577" s="29" t="s">
        <v>256</v>
      </c>
      <c r="I577" s="8" t="s">
        <v>257</v>
      </c>
      <c r="J577" s="8">
        <v>0</v>
      </c>
      <c r="K577" s="29" t="s">
        <v>258</v>
      </c>
      <c r="L577" s="29" t="s">
        <v>31</v>
      </c>
      <c r="M577" s="9">
        <v>1</v>
      </c>
      <c r="N577" s="9" t="s">
        <v>42</v>
      </c>
      <c r="O577" s="29" t="s">
        <v>78</v>
      </c>
      <c r="P577" s="29" t="s">
        <v>79</v>
      </c>
      <c r="Q577" s="29" t="s">
        <v>80</v>
      </c>
      <c r="R577" s="29" t="s">
        <v>259</v>
      </c>
      <c r="S577" s="29" t="s">
        <v>82</v>
      </c>
      <c r="T577" s="29" t="s">
        <v>83</v>
      </c>
      <c r="U577" s="29" t="s">
        <v>31</v>
      </c>
      <c r="V577" s="29" t="s">
        <v>31</v>
      </c>
      <c r="W577" s="57">
        <v>35643</v>
      </c>
      <c r="X577" s="8" t="s">
        <v>36</v>
      </c>
      <c r="Y577" s="8">
        <v>0</v>
      </c>
      <c r="Z577" s="8" t="s">
        <v>31</v>
      </c>
      <c r="AA577" s="8" t="s">
        <v>31</v>
      </c>
      <c r="AB577" s="8" t="s">
        <v>374</v>
      </c>
      <c r="AC577" s="29"/>
      <c r="AD577" s="29" t="s">
        <v>2487</v>
      </c>
      <c r="AE577" s="102" t="s">
        <v>28</v>
      </c>
      <c r="AF577" s="22">
        <v>44224</v>
      </c>
      <c r="AG577" s="30">
        <v>44224</v>
      </c>
      <c r="AH577" s="8"/>
      <c r="AI577" s="72">
        <v>44124</v>
      </c>
      <c r="AJ577" s="23" t="s">
        <v>262</v>
      </c>
      <c r="AK577" s="8" t="e">
        <f>VLOOKUP(A577,'[1]Externe MAJ Nov'!$A:$H,8,0)</f>
        <v>#N/A</v>
      </c>
      <c r="AL577" s="29" t="e">
        <f>VLOOKUP(A577,'[1]Externe MAJ Nov'!$A:$G,7,0)</f>
        <v>#N/A</v>
      </c>
      <c r="AM577" s="29" t="s">
        <v>95</v>
      </c>
      <c r="AN577" s="29" t="s">
        <v>270</v>
      </c>
      <c r="AO577" s="58">
        <v>44124</v>
      </c>
      <c r="AP577" s="29" t="e">
        <f>VLOOKUP(A577,'[2]External Scan 02_21'!$B:$J,9,0)</f>
        <v>#N/A</v>
      </c>
      <c r="AQ577" s="29" t="s">
        <v>28</v>
      </c>
      <c r="AR577" s="21"/>
      <c r="AS577" s="21" t="str">
        <f>VLOOKUP(AE577,'ref statu'!A:B,2,0)</f>
        <v>Fixed</v>
      </c>
      <c r="AT577" s="8" t="e">
        <f>VLOOKUP(A577,chk!A:B,2,0)</f>
        <v>#N/A</v>
      </c>
      <c r="AU577" s="29" t="e">
        <f>VLOOKUP(A577,checker!A:B,2,0)</f>
        <v>#N/A</v>
      </c>
      <c r="AV577" s="29" t="e">
        <f>VLOOKUP(A577,checker!B:C,2,0)</f>
        <v>#N/A</v>
      </c>
    </row>
    <row r="578" spans="1:48" x14ac:dyDescent="0.3">
      <c r="A578" s="29" t="str">
        <f t="shared" ref="A578:A641" si="9">B578&amp;"/"&amp;J578&amp;"/"&amp;O578</f>
        <v>96.692.66.697/443/certificate-common-name-mismatch</v>
      </c>
      <c r="B578" s="29" t="s">
        <v>3017</v>
      </c>
      <c r="C578" s="29" t="s">
        <v>433</v>
      </c>
      <c r="D578" s="148" t="s">
        <v>2985</v>
      </c>
      <c r="E578" s="8" t="s">
        <v>299</v>
      </c>
      <c r="F578" s="29"/>
      <c r="G578" s="21" t="s">
        <v>434</v>
      </c>
      <c r="H578" s="29" t="s">
        <v>256</v>
      </c>
      <c r="I578" s="8" t="s">
        <v>257</v>
      </c>
      <c r="J578" s="8">
        <v>443</v>
      </c>
      <c r="K578" s="29" t="s">
        <v>290</v>
      </c>
      <c r="L578" s="29" t="s">
        <v>291</v>
      </c>
      <c r="M578" s="9">
        <v>7</v>
      </c>
      <c r="N578" s="10" t="s">
        <v>2540</v>
      </c>
      <c r="O578" s="29" t="s">
        <v>148</v>
      </c>
      <c r="P578" s="29" t="s">
        <v>149</v>
      </c>
      <c r="Q578" s="29" t="s">
        <v>150</v>
      </c>
      <c r="R578" s="29" t="s">
        <v>151</v>
      </c>
      <c r="S578" s="29" t="s">
        <v>243</v>
      </c>
      <c r="T578" s="29" t="s">
        <v>31</v>
      </c>
      <c r="U578" s="29" t="s">
        <v>31</v>
      </c>
      <c r="V578" s="29" t="s">
        <v>31</v>
      </c>
      <c r="W578" s="57">
        <v>39297</v>
      </c>
      <c r="X578" s="8" t="s">
        <v>36</v>
      </c>
      <c r="Y578" s="8">
        <v>0</v>
      </c>
      <c r="Z578" s="8" t="s">
        <v>31</v>
      </c>
      <c r="AA578" s="8" t="s">
        <v>31</v>
      </c>
      <c r="AB578" s="8" t="s">
        <v>377</v>
      </c>
      <c r="AC578" s="29"/>
      <c r="AD578" s="29"/>
      <c r="AE578" s="102" t="s">
        <v>299</v>
      </c>
      <c r="AF578" s="22"/>
      <c r="AG578" s="30"/>
      <c r="AH578" s="21"/>
      <c r="AI578" s="72">
        <v>44124</v>
      </c>
      <c r="AJ578" s="23" t="s">
        <v>262</v>
      </c>
      <c r="AK578" s="8" t="e">
        <f>VLOOKUP(A578,'[1]Externe MAJ Nov'!$A:$H,8,0)</f>
        <v>#N/A</v>
      </c>
      <c r="AL578" s="29" t="s">
        <v>240</v>
      </c>
      <c r="AM578" s="29" t="s">
        <v>299</v>
      </c>
      <c r="AN578" s="29" t="s">
        <v>270</v>
      </c>
      <c r="AO578" s="58">
        <v>44124</v>
      </c>
      <c r="AP578" s="29" t="e">
        <f>VLOOKUP(A578,'[2]External Scan 02_21'!$B:$J,9,0)</f>
        <v>#N/A</v>
      </c>
      <c r="AQ578" s="29" t="s">
        <v>299</v>
      </c>
      <c r="AR578" s="21"/>
      <c r="AS578" s="21" t="str">
        <f>VLOOKUP(AE578,'ref statu'!A:B,2,0)</f>
        <v>Faux Positive</v>
      </c>
      <c r="AT578" s="8" t="e">
        <f>VLOOKUP(A578,chk!A:B,2,0)</f>
        <v>#N/A</v>
      </c>
      <c r="AU578" s="29" t="e">
        <f>VLOOKUP(A578,checker!A:B,2,0)</f>
        <v>#N/A</v>
      </c>
      <c r="AV578" s="29" t="e">
        <f>VLOOKUP(A578,checker!B:C,2,0)</f>
        <v>#N/A</v>
      </c>
    </row>
    <row r="579" spans="1:48" x14ac:dyDescent="0.3">
      <c r="A579" s="29" t="str">
        <f t="shared" si="9"/>
        <v>96.692.66.697/443/http-options-method-enabled</v>
      </c>
      <c r="B579" s="29" t="s">
        <v>3017</v>
      </c>
      <c r="C579" s="29" t="s">
        <v>433</v>
      </c>
      <c r="D579" s="148" t="s">
        <v>2985</v>
      </c>
      <c r="E579" s="8" t="s">
        <v>253</v>
      </c>
      <c r="F579" s="29"/>
      <c r="G579" s="21" t="s">
        <v>434</v>
      </c>
      <c r="H579" s="29" t="s">
        <v>256</v>
      </c>
      <c r="I579" s="8" t="s">
        <v>257</v>
      </c>
      <c r="J579" s="8">
        <v>443</v>
      </c>
      <c r="K579" s="29" t="s">
        <v>290</v>
      </c>
      <c r="L579" s="29" t="s">
        <v>291</v>
      </c>
      <c r="M579" s="9">
        <v>3</v>
      </c>
      <c r="N579" s="9" t="s">
        <v>42</v>
      </c>
      <c r="O579" s="29" t="s">
        <v>43</v>
      </c>
      <c r="P579" s="29" t="s">
        <v>44</v>
      </c>
      <c r="Q579" s="29" t="s">
        <v>45</v>
      </c>
      <c r="R579" s="29" t="s">
        <v>435</v>
      </c>
      <c r="S579" s="29" t="s">
        <v>47</v>
      </c>
      <c r="T579" s="29" t="s">
        <v>48</v>
      </c>
      <c r="U579" s="29" t="s">
        <v>31</v>
      </c>
      <c r="V579" s="29" t="s">
        <v>31</v>
      </c>
      <c r="W579" s="57">
        <v>38632</v>
      </c>
      <c r="X579" s="8" t="s">
        <v>36</v>
      </c>
      <c r="Y579" s="8">
        <v>0</v>
      </c>
      <c r="Z579" s="8" t="s">
        <v>31</v>
      </c>
      <c r="AA579" s="8" t="s">
        <v>31</v>
      </c>
      <c r="AB579" s="8" t="s">
        <v>377</v>
      </c>
      <c r="AC579" s="29"/>
      <c r="AD579" s="29"/>
      <c r="AE579" s="95" t="s">
        <v>28</v>
      </c>
      <c r="AF579" s="30">
        <v>44146</v>
      </c>
      <c r="AG579" s="30">
        <v>44146</v>
      </c>
      <c r="AH579" s="8"/>
      <c r="AI579" s="72">
        <v>44124</v>
      </c>
      <c r="AJ579" s="23" t="s">
        <v>262</v>
      </c>
      <c r="AK579" s="8" t="e">
        <f>VLOOKUP(A579,'[1]Externe MAJ Nov'!$A:$H,8,0)</f>
        <v>#N/A</v>
      </c>
      <c r="AL579" s="29" t="e">
        <f>VLOOKUP(A579,'[1]Externe MAJ Nov'!$A:$G,7,0)</f>
        <v>#N/A</v>
      </c>
      <c r="AM579" s="29" t="s">
        <v>95</v>
      </c>
      <c r="AN579" s="29" t="s">
        <v>270</v>
      </c>
      <c r="AO579" s="58">
        <v>44124</v>
      </c>
      <c r="AP579" s="29" t="e">
        <f>VLOOKUP(A579,'[2]External Scan 02_21'!$B:$J,9,0)</f>
        <v>#N/A</v>
      </c>
      <c r="AQ579" s="29" t="s">
        <v>28</v>
      </c>
      <c r="AR579" s="21"/>
      <c r="AS579" s="21" t="str">
        <f>VLOOKUP(AE579,'ref statu'!A:B,2,0)</f>
        <v>Fixed</v>
      </c>
      <c r="AT579" s="8" t="e">
        <f>VLOOKUP(A579,chk!A:B,2,0)</f>
        <v>#N/A</v>
      </c>
      <c r="AU579" s="29" t="e">
        <f>VLOOKUP(A579,checker!A:B,2,0)</f>
        <v>#N/A</v>
      </c>
      <c r="AV579" s="29" t="e">
        <f>VLOOKUP(A579,checker!B:C,2,0)</f>
        <v>#N/A</v>
      </c>
    </row>
    <row r="580" spans="1:48" x14ac:dyDescent="0.3">
      <c r="A580" s="29" t="str">
        <f t="shared" si="9"/>
        <v>96.692.66.697/443/ssl-3des-ciphers</v>
      </c>
      <c r="B580" s="29" t="s">
        <v>3017</v>
      </c>
      <c r="C580" s="29" t="s">
        <v>433</v>
      </c>
      <c r="D580" s="148" t="s">
        <v>2985</v>
      </c>
      <c r="E580" s="8" t="s">
        <v>311</v>
      </c>
      <c r="F580" s="29"/>
      <c r="G580" s="21" t="s">
        <v>434</v>
      </c>
      <c r="H580" s="29" t="s">
        <v>256</v>
      </c>
      <c r="I580" s="8" t="s">
        <v>257</v>
      </c>
      <c r="J580" s="8">
        <v>443</v>
      </c>
      <c r="K580" s="29" t="s">
        <v>290</v>
      </c>
      <c r="L580" s="29" t="s">
        <v>291</v>
      </c>
      <c r="M580" s="9">
        <v>1</v>
      </c>
      <c r="N580" s="9" t="s">
        <v>42</v>
      </c>
      <c r="O580" s="29" t="s">
        <v>100</v>
      </c>
      <c r="P580" s="29" t="s">
        <v>101</v>
      </c>
      <c r="Q580" s="29" t="s">
        <v>102</v>
      </c>
      <c r="R580" s="29" t="s">
        <v>103</v>
      </c>
      <c r="S580" s="29" t="s">
        <v>292</v>
      </c>
      <c r="T580" s="29" t="s">
        <v>104</v>
      </c>
      <c r="U580" s="29" t="s">
        <v>31</v>
      </c>
      <c r="V580" s="29" t="s">
        <v>31</v>
      </c>
      <c r="W580" s="57">
        <v>39845</v>
      </c>
      <c r="X580" s="8" t="s">
        <v>36</v>
      </c>
      <c r="Y580" s="8">
        <v>0</v>
      </c>
      <c r="Z580" s="8" t="s">
        <v>31</v>
      </c>
      <c r="AA580" s="8" t="s">
        <v>31</v>
      </c>
      <c r="AB580" s="8" t="s">
        <v>377</v>
      </c>
      <c r="AC580" s="29"/>
      <c r="AD580" s="29"/>
      <c r="AE580" s="95" t="s">
        <v>28</v>
      </c>
      <c r="AF580" s="30">
        <f t="shared" ref="AF580:AF585" si="10">AG580</f>
        <v>44140</v>
      </c>
      <c r="AG580" s="30">
        <v>44140</v>
      </c>
      <c r="AH580" s="8"/>
      <c r="AI580" s="72">
        <v>44124</v>
      </c>
      <c r="AJ580" s="23" t="s">
        <v>262</v>
      </c>
      <c r="AK580" s="8" t="e">
        <f>VLOOKUP(A580,'[1]Externe MAJ Nov'!$A:$H,8,0)</f>
        <v>#N/A</v>
      </c>
      <c r="AL580" s="29" t="e">
        <f>VLOOKUP(A580,'[1]Externe MAJ Nov'!$A:$G,7,0)</f>
        <v>#N/A</v>
      </c>
      <c r="AM580" s="29" t="s">
        <v>28</v>
      </c>
      <c r="AN580" s="29" t="s">
        <v>270</v>
      </c>
      <c r="AO580" s="58">
        <v>44124</v>
      </c>
      <c r="AP580" s="29" t="e">
        <f>VLOOKUP(A580,'[2]External Scan 02_21'!$B:$J,9,0)</f>
        <v>#N/A</v>
      </c>
      <c r="AQ580" s="29" t="s">
        <v>28</v>
      </c>
      <c r="AR580" s="21"/>
      <c r="AS580" s="21" t="str">
        <f>VLOOKUP(AE580,'ref statu'!A:B,2,0)</f>
        <v>Fixed</v>
      </c>
      <c r="AT580" s="8" t="e">
        <f>VLOOKUP(A580,chk!A:B,2,0)</f>
        <v>#N/A</v>
      </c>
      <c r="AU580" s="29" t="e">
        <f>VLOOKUP(A580,checker!A:B,2,0)</f>
        <v>#N/A</v>
      </c>
      <c r="AV580" s="29" t="e">
        <f>VLOOKUP(A580,checker!B:C,2,0)</f>
        <v>#N/A</v>
      </c>
    </row>
    <row r="581" spans="1:48" x14ac:dyDescent="0.3">
      <c r="A581" s="29" t="str">
        <f t="shared" si="9"/>
        <v>96.692.66.697/443/ssl-cve-2011-3389-beast</v>
      </c>
      <c r="B581" s="29" t="s">
        <v>3017</v>
      </c>
      <c r="C581" s="29" t="s">
        <v>433</v>
      </c>
      <c r="D581" s="148" t="s">
        <v>2985</v>
      </c>
      <c r="E581" s="8" t="s">
        <v>311</v>
      </c>
      <c r="F581" s="29" t="s">
        <v>436</v>
      </c>
      <c r="G581" s="21" t="s">
        <v>434</v>
      </c>
      <c r="H581" s="29" t="s">
        <v>256</v>
      </c>
      <c r="I581" s="8" t="s">
        <v>257</v>
      </c>
      <c r="J581" s="8">
        <v>443</v>
      </c>
      <c r="K581" s="29" t="s">
        <v>290</v>
      </c>
      <c r="L581" s="29" t="s">
        <v>291</v>
      </c>
      <c r="M581" s="9">
        <v>4</v>
      </c>
      <c r="N581" s="9" t="s">
        <v>29</v>
      </c>
      <c r="O581" s="29" t="s">
        <v>105</v>
      </c>
      <c r="P581" s="29" t="s">
        <v>106</v>
      </c>
      <c r="Q581" s="29" t="s">
        <v>107</v>
      </c>
      <c r="R581" s="29" t="s">
        <v>108</v>
      </c>
      <c r="S581" s="29" t="s">
        <v>437</v>
      </c>
      <c r="T581" s="29" t="s">
        <v>109</v>
      </c>
      <c r="U581" s="29" t="s">
        <v>110</v>
      </c>
      <c r="V581" s="29" t="s">
        <v>297</v>
      </c>
      <c r="W581" s="57">
        <v>40792</v>
      </c>
      <c r="X581" s="8" t="s">
        <v>36</v>
      </c>
      <c r="Y581" s="8">
        <v>0</v>
      </c>
      <c r="Z581" s="8" t="s">
        <v>31</v>
      </c>
      <c r="AA581" s="8" t="s">
        <v>31</v>
      </c>
      <c r="AB581" s="8" t="s">
        <v>377</v>
      </c>
      <c r="AC581" s="29"/>
      <c r="AD581" s="29"/>
      <c r="AE581" s="95" t="s">
        <v>28</v>
      </c>
      <c r="AF581" s="30">
        <f t="shared" si="10"/>
        <v>44140</v>
      </c>
      <c r="AG581" s="30">
        <v>44140</v>
      </c>
      <c r="AH581" s="8"/>
      <c r="AI581" s="72">
        <v>44124</v>
      </c>
      <c r="AJ581" s="23" t="s">
        <v>262</v>
      </c>
      <c r="AK581" s="8" t="e">
        <f>VLOOKUP(A581,'[1]Externe MAJ Nov'!$A:$H,8,0)</f>
        <v>#N/A</v>
      </c>
      <c r="AL581" s="29" t="e">
        <f>VLOOKUP(A581,'[1]Externe MAJ Nov'!$A:$G,7,0)</f>
        <v>#N/A</v>
      </c>
      <c r="AM581" s="29" t="s">
        <v>28</v>
      </c>
      <c r="AN581" s="29" t="s">
        <v>270</v>
      </c>
      <c r="AO581" s="58">
        <v>44124</v>
      </c>
      <c r="AP581" s="29" t="e">
        <f>VLOOKUP(A581,'[2]External Scan 02_21'!$B:$J,9,0)</f>
        <v>#N/A</v>
      </c>
      <c r="AQ581" s="29" t="s">
        <v>28</v>
      </c>
      <c r="AR581" s="21"/>
      <c r="AS581" s="21" t="str">
        <f>VLOOKUP(AE581,'ref statu'!A:B,2,0)</f>
        <v>Fixed</v>
      </c>
      <c r="AT581" s="8" t="e">
        <f>VLOOKUP(A581,chk!A:B,2,0)</f>
        <v>#N/A</v>
      </c>
      <c r="AU581" s="29" t="e">
        <f>VLOOKUP(A581,checker!A:B,2,0)</f>
        <v>#N/A</v>
      </c>
      <c r="AV581" s="29" t="e">
        <f>VLOOKUP(A581,checker!B:C,2,0)</f>
        <v>#N/A</v>
      </c>
    </row>
    <row r="582" spans="1:48" x14ac:dyDescent="0.3">
      <c r="A582" s="29" t="str">
        <f t="shared" si="9"/>
        <v>96.692.66.697/443/ssl-cve-2016-2183-sweet32</v>
      </c>
      <c r="B582" s="29" t="s">
        <v>3017</v>
      </c>
      <c r="C582" s="29" t="s">
        <v>433</v>
      </c>
      <c r="D582" s="148" t="s">
        <v>2985</v>
      </c>
      <c r="E582" s="8" t="s">
        <v>311</v>
      </c>
      <c r="F582" s="29" t="s">
        <v>436</v>
      </c>
      <c r="G582" s="21" t="s">
        <v>434</v>
      </c>
      <c r="H582" s="29" t="s">
        <v>256</v>
      </c>
      <c r="I582" s="8" t="s">
        <v>257</v>
      </c>
      <c r="J582" s="8">
        <v>443</v>
      </c>
      <c r="K582" s="29" t="s">
        <v>290</v>
      </c>
      <c r="L582" s="29" t="s">
        <v>291</v>
      </c>
      <c r="M582" s="9">
        <v>5</v>
      </c>
      <c r="N582" s="9" t="s">
        <v>29</v>
      </c>
      <c r="O582" s="29" t="s">
        <v>111</v>
      </c>
      <c r="P582" s="29" t="s">
        <v>112</v>
      </c>
      <c r="Q582" s="29" t="s">
        <v>113</v>
      </c>
      <c r="R582" s="29" t="s">
        <v>103</v>
      </c>
      <c r="S582" s="29" t="s">
        <v>292</v>
      </c>
      <c r="T582" s="29" t="s">
        <v>114</v>
      </c>
      <c r="U582" s="29" t="s">
        <v>71</v>
      </c>
      <c r="V582" s="29" t="s">
        <v>278</v>
      </c>
      <c r="W582" s="57">
        <v>42606</v>
      </c>
      <c r="X582" s="8" t="s">
        <v>36</v>
      </c>
      <c r="Y582" s="8">
        <v>1</v>
      </c>
      <c r="Z582" s="8" t="s">
        <v>279</v>
      </c>
      <c r="AA582" s="8" t="s">
        <v>280</v>
      </c>
      <c r="AB582" s="8" t="s">
        <v>377</v>
      </c>
      <c r="AC582" s="29"/>
      <c r="AD582" s="29"/>
      <c r="AE582" s="95" t="s">
        <v>28</v>
      </c>
      <c r="AF582" s="30">
        <f t="shared" si="10"/>
        <v>44140</v>
      </c>
      <c r="AG582" s="30">
        <v>44140</v>
      </c>
      <c r="AH582" s="8"/>
      <c r="AI582" s="72">
        <v>44124</v>
      </c>
      <c r="AJ582" s="23" t="s">
        <v>262</v>
      </c>
      <c r="AK582" s="8" t="e">
        <f>VLOOKUP(A582,'[1]Externe MAJ Nov'!$A:$H,8,0)</f>
        <v>#N/A</v>
      </c>
      <c r="AL582" s="29" t="e">
        <f>VLOOKUP(A582,'[1]Externe MAJ Nov'!$A:$G,7,0)</f>
        <v>#N/A</v>
      </c>
      <c r="AM582" s="29" t="s">
        <v>28</v>
      </c>
      <c r="AN582" s="29" t="s">
        <v>270</v>
      </c>
      <c r="AO582" s="58">
        <v>44124</v>
      </c>
      <c r="AP582" s="29" t="e">
        <f>VLOOKUP(A582,'[2]External Scan 02_21'!$B:$J,9,0)</f>
        <v>#N/A</v>
      </c>
      <c r="AQ582" s="29" t="s">
        <v>28</v>
      </c>
      <c r="AR582" s="21"/>
      <c r="AS582" s="21" t="str">
        <f>VLOOKUP(AE582,'ref statu'!A:B,2,0)</f>
        <v>Fixed</v>
      </c>
      <c r="AT582" s="8" t="e">
        <f>VLOOKUP(A582,chk!A:B,2,0)</f>
        <v>#N/A</v>
      </c>
      <c r="AU582" s="29" t="e">
        <f>VLOOKUP(A582,checker!A:B,2,0)</f>
        <v>#N/A</v>
      </c>
      <c r="AV582" s="29" t="e">
        <f>VLOOKUP(A582,checker!B:C,2,0)</f>
        <v>#N/A</v>
      </c>
    </row>
    <row r="583" spans="1:48" x14ac:dyDescent="0.3">
      <c r="A583" s="29" t="str">
        <f t="shared" si="9"/>
        <v>96.692.66.697/443/ssl-static-key-ciphers</v>
      </c>
      <c r="B583" s="29" t="s">
        <v>3017</v>
      </c>
      <c r="C583" s="29" t="s">
        <v>433</v>
      </c>
      <c r="D583" s="148" t="s">
        <v>2985</v>
      </c>
      <c r="E583" s="8" t="s">
        <v>311</v>
      </c>
      <c r="F583" s="29"/>
      <c r="G583" s="21" t="s">
        <v>434</v>
      </c>
      <c r="H583" s="29" t="s">
        <v>256</v>
      </c>
      <c r="I583" s="8" t="s">
        <v>257</v>
      </c>
      <c r="J583" s="8">
        <v>443</v>
      </c>
      <c r="K583" s="29" t="s">
        <v>290</v>
      </c>
      <c r="L583" s="29" t="s">
        <v>291</v>
      </c>
      <c r="M583" s="9">
        <v>3</v>
      </c>
      <c r="N583" s="9" t="s">
        <v>42</v>
      </c>
      <c r="O583" s="29" t="s">
        <v>120</v>
      </c>
      <c r="P583" s="29" t="s">
        <v>121</v>
      </c>
      <c r="Q583" s="29" t="s">
        <v>122</v>
      </c>
      <c r="R583" s="29" t="s">
        <v>123</v>
      </c>
      <c r="S583" s="29" t="s">
        <v>295</v>
      </c>
      <c r="T583" s="29" t="s">
        <v>124</v>
      </c>
      <c r="U583" s="29" t="s">
        <v>31</v>
      </c>
      <c r="V583" s="29" t="s">
        <v>31</v>
      </c>
      <c r="W583" s="57">
        <v>42036</v>
      </c>
      <c r="X583" s="8" t="s">
        <v>36</v>
      </c>
      <c r="Y583" s="8">
        <v>0</v>
      </c>
      <c r="Z583" s="8" t="s">
        <v>31</v>
      </c>
      <c r="AA583" s="8" t="s">
        <v>31</v>
      </c>
      <c r="AB583" s="8" t="s">
        <v>377</v>
      </c>
      <c r="AC583" s="29"/>
      <c r="AD583" s="29"/>
      <c r="AE583" s="95" t="s">
        <v>28</v>
      </c>
      <c r="AF583" s="30">
        <f t="shared" si="10"/>
        <v>44140</v>
      </c>
      <c r="AG583" s="30">
        <v>44140</v>
      </c>
      <c r="AH583" s="8"/>
      <c r="AI583" s="72">
        <v>44124</v>
      </c>
      <c r="AJ583" s="23" t="s">
        <v>262</v>
      </c>
      <c r="AK583" s="8" t="e">
        <f>VLOOKUP(A583,'[1]Externe MAJ Nov'!$A:$H,8,0)</f>
        <v>#N/A</v>
      </c>
      <c r="AL583" s="29" t="e">
        <f>VLOOKUP(A583,'[1]Externe MAJ Nov'!$A:$G,7,0)</f>
        <v>#N/A</v>
      </c>
      <c r="AM583" s="29" t="s">
        <v>28</v>
      </c>
      <c r="AN583" s="29" t="s">
        <v>270</v>
      </c>
      <c r="AO583" s="58">
        <v>44124</v>
      </c>
      <c r="AP583" s="29" t="e">
        <f>VLOOKUP(A583,'[2]External Scan 02_21'!$B:$J,9,0)</f>
        <v>#N/A</v>
      </c>
      <c r="AQ583" s="29" t="s">
        <v>28</v>
      </c>
      <c r="AR583" s="21"/>
      <c r="AS583" s="21" t="str">
        <f>VLOOKUP(AE583,'ref statu'!A:B,2,0)</f>
        <v>Fixed</v>
      </c>
      <c r="AT583" s="8" t="e">
        <f>VLOOKUP(A583,chk!A:B,2,0)</f>
        <v>#N/A</v>
      </c>
      <c r="AU583" s="29" t="e">
        <f>VLOOKUP(A583,checker!A:B,2,0)</f>
        <v>#N/A</v>
      </c>
      <c r="AV583" s="29" t="e">
        <f>VLOOKUP(A583,checker!B:C,2,0)</f>
        <v>#N/A</v>
      </c>
    </row>
    <row r="584" spans="1:48" x14ac:dyDescent="0.3">
      <c r="A584" s="29" t="str">
        <f t="shared" si="9"/>
        <v>96.692.66.697/443/tlsv1_0-enabled</v>
      </c>
      <c r="B584" s="29" t="s">
        <v>3017</v>
      </c>
      <c r="C584" s="29" t="s">
        <v>433</v>
      </c>
      <c r="D584" s="8" t="s">
        <v>2983</v>
      </c>
      <c r="E584" s="8" t="s">
        <v>311</v>
      </c>
      <c r="F584" s="29" t="s">
        <v>436</v>
      </c>
      <c r="G584" s="21" t="s">
        <v>434</v>
      </c>
      <c r="H584" s="29" t="s">
        <v>256</v>
      </c>
      <c r="I584" s="8" t="s">
        <v>257</v>
      </c>
      <c r="J584" s="8">
        <v>443</v>
      </c>
      <c r="K584" s="29" t="s">
        <v>290</v>
      </c>
      <c r="L584" s="29" t="s">
        <v>291</v>
      </c>
      <c r="M584" s="9">
        <v>4</v>
      </c>
      <c r="N584" s="9" t="s">
        <v>29</v>
      </c>
      <c r="O584" s="29" t="s">
        <v>136</v>
      </c>
      <c r="P584" s="29" t="s">
        <v>137</v>
      </c>
      <c r="Q584" s="29" t="s">
        <v>138</v>
      </c>
      <c r="R584" s="29" t="s">
        <v>139</v>
      </c>
      <c r="S584" s="29" t="s">
        <v>140</v>
      </c>
      <c r="T584" s="29" t="s">
        <v>141</v>
      </c>
      <c r="U584" s="29" t="s">
        <v>31</v>
      </c>
      <c r="V584" s="29" t="s">
        <v>31</v>
      </c>
      <c r="W584" s="57">
        <v>41926</v>
      </c>
      <c r="X584" s="8" t="s">
        <v>36</v>
      </c>
      <c r="Y584" s="8">
        <v>0</v>
      </c>
      <c r="Z584" s="8" t="s">
        <v>31</v>
      </c>
      <c r="AA584" s="8" t="s">
        <v>31</v>
      </c>
      <c r="AB584" s="8" t="s">
        <v>377</v>
      </c>
      <c r="AC584" s="29"/>
      <c r="AD584" s="29"/>
      <c r="AE584" s="95" t="s">
        <v>28</v>
      </c>
      <c r="AF584" s="30">
        <f t="shared" si="10"/>
        <v>44140</v>
      </c>
      <c r="AG584" s="30">
        <v>44140</v>
      </c>
      <c r="AH584" s="8"/>
      <c r="AI584" s="72">
        <v>44124</v>
      </c>
      <c r="AJ584" s="23" t="s">
        <v>262</v>
      </c>
      <c r="AK584" s="8" t="e">
        <f>VLOOKUP(A584,'[1]Externe MAJ Nov'!$A:$H,8,0)</f>
        <v>#N/A</v>
      </c>
      <c r="AL584" s="29" t="e">
        <f>VLOOKUP(A584,'[1]Externe MAJ Nov'!$A:$G,7,0)</f>
        <v>#N/A</v>
      </c>
      <c r="AM584" s="29" t="s">
        <v>28</v>
      </c>
      <c r="AN584" s="29" t="s">
        <v>270</v>
      </c>
      <c r="AO584" s="58">
        <v>44124</v>
      </c>
      <c r="AP584" s="29" t="e">
        <f>VLOOKUP(A584,'[2]External Scan 02_21'!$B:$J,9,0)</f>
        <v>#N/A</v>
      </c>
      <c r="AQ584" s="29" t="s">
        <v>28</v>
      </c>
      <c r="AR584" s="21"/>
      <c r="AS584" s="21" t="str">
        <f>VLOOKUP(AE584,'ref statu'!A:B,2,0)</f>
        <v>Fixed</v>
      </c>
      <c r="AT584" s="8" t="e">
        <f>VLOOKUP(A584,chk!A:B,2,0)</f>
        <v>#N/A</v>
      </c>
      <c r="AU584" s="29" t="e">
        <f>VLOOKUP(A584,checker!A:B,2,0)</f>
        <v>#N/A</v>
      </c>
      <c r="AV584" s="29" t="e">
        <f>VLOOKUP(A584,checker!B:C,2,0)</f>
        <v>#N/A</v>
      </c>
    </row>
    <row r="585" spans="1:48" x14ac:dyDescent="0.3">
      <c r="A585" s="29" t="str">
        <f t="shared" si="9"/>
        <v>96.692.66.697/443/tlsv1_1-enabled</v>
      </c>
      <c r="B585" s="29" t="s">
        <v>3017</v>
      </c>
      <c r="C585" s="29" t="s">
        <v>433</v>
      </c>
      <c r="D585" s="148" t="s">
        <v>2985</v>
      </c>
      <c r="E585" s="8" t="s">
        <v>311</v>
      </c>
      <c r="F585" s="29"/>
      <c r="G585" s="21" t="s">
        <v>434</v>
      </c>
      <c r="H585" s="29" t="s">
        <v>256</v>
      </c>
      <c r="I585" s="8" t="s">
        <v>257</v>
      </c>
      <c r="J585" s="8">
        <v>443</v>
      </c>
      <c r="K585" s="29" t="s">
        <v>290</v>
      </c>
      <c r="L585" s="29" t="s">
        <v>291</v>
      </c>
      <c r="M585" s="9">
        <v>3</v>
      </c>
      <c r="N585" s="9" t="s">
        <v>42</v>
      </c>
      <c r="O585" s="29" t="s">
        <v>142</v>
      </c>
      <c r="P585" s="29" t="s">
        <v>143</v>
      </c>
      <c r="Q585" s="29" t="s">
        <v>138</v>
      </c>
      <c r="R585" s="29" t="s">
        <v>139</v>
      </c>
      <c r="S585" s="29" t="s">
        <v>144</v>
      </c>
      <c r="T585" s="29" t="s">
        <v>141</v>
      </c>
      <c r="U585" s="29" t="s">
        <v>31</v>
      </c>
      <c r="V585" s="29" t="s">
        <v>31</v>
      </c>
      <c r="W585" s="57">
        <v>41926</v>
      </c>
      <c r="X585" s="8" t="s">
        <v>36</v>
      </c>
      <c r="Y585" s="8">
        <v>0</v>
      </c>
      <c r="Z585" s="8" t="s">
        <v>31</v>
      </c>
      <c r="AA585" s="8" t="s">
        <v>31</v>
      </c>
      <c r="AB585" s="8" t="s">
        <v>377</v>
      </c>
      <c r="AC585" s="29"/>
      <c r="AD585" s="29"/>
      <c r="AE585" s="95" t="s">
        <v>28</v>
      </c>
      <c r="AF585" s="30">
        <f t="shared" si="10"/>
        <v>44140</v>
      </c>
      <c r="AG585" s="30">
        <v>44140</v>
      </c>
      <c r="AH585" s="8"/>
      <c r="AI585" s="72">
        <v>44124</v>
      </c>
      <c r="AJ585" s="23" t="s">
        <v>262</v>
      </c>
      <c r="AK585" s="8" t="e">
        <f>VLOOKUP(A585,'[1]Externe MAJ Nov'!$A:$H,8,0)</f>
        <v>#N/A</v>
      </c>
      <c r="AL585" s="29" t="e">
        <f>VLOOKUP(A585,'[1]Externe MAJ Nov'!$A:$G,7,0)</f>
        <v>#N/A</v>
      </c>
      <c r="AM585" s="29" t="s">
        <v>28</v>
      </c>
      <c r="AN585" s="29" t="s">
        <v>270</v>
      </c>
      <c r="AO585" s="58">
        <v>44124</v>
      </c>
      <c r="AP585" s="29" t="e">
        <f>VLOOKUP(A585,'[2]External Scan 02_21'!$B:$J,9,0)</f>
        <v>#N/A</v>
      </c>
      <c r="AQ585" s="29" t="s">
        <v>28</v>
      </c>
      <c r="AR585" s="21"/>
      <c r="AS585" s="21" t="str">
        <f>VLOOKUP(AE585,'ref statu'!A:B,2,0)</f>
        <v>Fixed</v>
      </c>
      <c r="AT585" s="8" t="e">
        <f>VLOOKUP(A585,chk!A:B,2,0)</f>
        <v>#N/A</v>
      </c>
      <c r="AU585" s="29" t="e">
        <f>VLOOKUP(A585,checker!A:B,2,0)</f>
        <v>#N/A</v>
      </c>
      <c r="AV585" s="29" t="e">
        <f>VLOOKUP(A585,checker!B:C,2,0)</f>
        <v>#N/A</v>
      </c>
    </row>
    <row r="586" spans="1:48" x14ac:dyDescent="0.3">
      <c r="A586" s="29" t="str">
        <f t="shared" si="9"/>
        <v>96.692.66.656/443/http-generic-browsable-dir</v>
      </c>
      <c r="B586" s="41" t="s">
        <v>3001</v>
      </c>
      <c r="C586" s="29" t="s">
        <v>328</v>
      </c>
      <c r="D586" s="154" t="s">
        <v>2977</v>
      </c>
      <c r="E586" s="39" t="s">
        <v>494</v>
      </c>
      <c r="F586" s="39" t="s">
        <v>2492</v>
      </c>
      <c r="G586" s="41" t="s">
        <v>330</v>
      </c>
      <c r="H586" s="44" t="s">
        <v>256</v>
      </c>
      <c r="I586" s="42" t="s">
        <v>257</v>
      </c>
      <c r="J586" s="39" t="s">
        <v>2494</v>
      </c>
      <c r="K586" s="43" t="s">
        <v>290</v>
      </c>
      <c r="L586" s="43" t="s">
        <v>291</v>
      </c>
      <c r="M586" s="9" t="s">
        <v>2488</v>
      </c>
      <c r="N586" s="9" t="s">
        <v>29</v>
      </c>
      <c r="O586" s="41" t="s">
        <v>32</v>
      </c>
      <c r="P586" s="41" t="s">
        <v>33</v>
      </c>
      <c r="Q586" s="41" t="s">
        <v>34</v>
      </c>
      <c r="R586" s="41" t="s">
        <v>35</v>
      </c>
      <c r="S586" s="41" t="s">
        <v>2543</v>
      </c>
      <c r="T586" s="41" t="s">
        <v>31</v>
      </c>
      <c r="U586" s="41" t="s">
        <v>31</v>
      </c>
      <c r="V586" s="41" t="s">
        <v>31</v>
      </c>
      <c r="W586" s="41" t="s">
        <v>2512</v>
      </c>
      <c r="X586" s="39" t="s">
        <v>36</v>
      </c>
      <c r="Y586" s="39" t="s">
        <v>2495</v>
      </c>
      <c r="Z586" s="93" t="s">
        <v>31</v>
      </c>
      <c r="AA586" s="39" t="s">
        <v>31</v>
      </c>
      <c r="AB586" s="65" t="s">
        <v>513</v>
      </c>
      <c r="AD586" s="41"/>
      <c r="AE586" s="103" t="s">
        <v>2538</v>
      </c>
      <c r="AF586" s="39"/>
      <c r="AI586" s="72">
        <v>44275</v>
      </c>
      <c r="AK586" s="8" t="e">
        <f>VLOOKUP(A586,'[1]Externe MAJ Nov'!$A:$H,8,0)</f>
        <v>#N/A</v>
      </c>
      <c r="AL586" s="29" t="e">
        <f>VLOOKUP(A586,'[1]Externe MAJ Nov'!$A:$G,7,0)</f>
        <v>#N/A</v>
      </c>
      <c r="AM586" s="29"/>
      <c r="AN586" s="39" t="s">
        <v>27</v>
      </c>
      <c r="AO586" s="58">
        <v>44275</v>
      </c>
      <c r="AP586" s="29" t="e">
        <f>VLOOKUP(A586,'[2]External Scan 02_21'!$B:$J,9,0)</f>
        <v>#N/A</v>
      </c>
      <c r="AR586" s="21"/>
      <c r="AS586" s="21" t="str">
        <f>VLOOKUP(AE586,'ref statu'!A:B,2,0)</f>
        <v>Not Fixed en cours d'investigation / Planification</v>
      </c>
      <c r="AT586" s="8" t="e">
        <f>VLOOKUP(A586,chk!A:B,2,0)</f>
        <v>#N/A</v>
      </c>
      <c r="AU586" s="29" t="e">
        <f>VLOOKUP(A586,checker!A:B,2,0)</f>
        <v>#N/A</v>
      </c>
      <c r="AV586" s="29" t="e">
        <f>VLOOKUP(A586,checker!B:C,2,0)</f>
        <v>#N/A</v>
      </c>
    </row>
    <row r="587" spans="1:48" x14ac:dyDescent="0.3">
      <c r="A587" s="29" t="str">
        <f t="shared" si="9"/>
        <v>96.692.66.656/443/http-generic-click-jacking</v>
      </c>
      <c r="B587" s="41" t="s">
        <v>3001</v>
      </c>
      <c r="C587" s="29" t="s">
        <v>328</v>
      </c>
      <c r="D587" s="154" t="s">
        <v>2977</v>
      </c>
      <c r="E587" s="39" t="s">
        <v>494</v>
      </c>
      <c r="F587" s="39" t="s">
        <v>2492</v>
      </c>
      <c r="G587" s="41" t="s">
        <v>330</v>
      </c>
      <c r="H587" s="44" t="s">
        <v>256</v>
      </c>
      <c r="I587" s="42" t="s">
        <v>257</v>
      </c>
      <c r="J587" s="39" t="s">
        <v>2494</v>
      </c>
      <c r="K587" s="43" t="s">
        <v>290</v>
      </c>
      <c r="L587" s="43" t="s">
        <v>291</v>
      </c>
      <c r="M587" s="9" t="s">
        <v>2542</v>
      </c>
      <c r="N587" s="9" t="s">
        <v>29</v>
      </c>
      <c r="O587" s="41" t="s">
        <v>37</v>
      </c>
      <c r="P587" s="41" t="s">
        <v>38</v>
      </c>
      <c r="Q587" s="41" t="s">
        <v>39</v>
      </c>
      <c r="R587" s="41" t="s">
        <v>40</v>
      </c>
      <c r="S587" s="41" t="s">
        <v>2544</v>
      </c>
      <c r="T587" s="41" t="s">
        <v>41</v>
      </c>
      <c r="U587" s="41" t="s">
        <v>31</v>
      </c>
      <c r="V587" s="41" t="s">
        <v>31</v>
      </c>
      <c r="W587" s="41" t="s">
        <v>2515</v>
      </c>
      <c r="X587" s="39" t="s">
        <v>36</v>
      </c>
      <c r="Y587" s="39" t="s">
        <v>2495</v>
      </c>
      <c r="Z587" s="93" t="s">
        <v>31</v>
      </c>
      <c r="AA587" s="39" t="s">
        <v>31</v>
      </c>
      <c r="AB587" s="65" t="s">
        <v>513</v>
      </c>
      <c r="AD587" s="41"/>
      <c r="AE587" s="103" t="s">
        <v>2538</v>
      </c>
      <c r="AF587" s="39"/>
      <c r="AI587" s="72">
        <v>44275</v>
      </c>
      <c r="AK587" s="8" t="e">
        <f>VLOOKUP(A587,'[1]Externe MAJ Nov'!$A:$H,8,0)</f>
        <v>#N/A</v>
      </c>
      <c r="AL587" s="29" t="e">
        <f>VLOOKUP(A587,'[1]Externe MAJ Nov'!$A:$G,7,0)</f>
        <v>#N/A</v>
      </c>
      <c r="AM587" s="29"/>
      <c r="AN587" s="39" t="s">
        <v>27</v>
      </c>
      <c r="AO587" s="58">
        <v>44275</v>
      </c>
      <c r="AP587" s="29" t="e">
        <f>VLOOKUP(A587,'[2]External Scan 02_21'!$B:$J,9,0)</f>
        <v>#N/A</v>
      </c>
      <c r="AR587" s="21"/>
      <c r="AS587" s="21" t="str">
        <f>VLOOKUP(AE587,'ref statu'!A:B,2,0)</f>
        <v>Not Fixed en cours d'investigation / Planification</v>
      </c>
      <c r="AT587" s="8" t="e">
        <f>VLOOKUP(A587,chk!A:B,2,0)</f>
        <v>#N/A</v>
      </c>
      <c r="AU587" s="29" t="e">
        <f>VLOOKUP(A587,checker!A:B,2,0)</f>
        <v>#N/A</v>
      </c>
      <c r="AV587" s="29" t="e">
        <f>VLOOKUP(A587,checker!B:C,2,0)</f>
        <v>#N/A</v>
      </c>
    </row>
    <row r="588" spans="1:48" x14ac:dyDescent="0.3">
      <c r="A588" s="29" t="str">
        <f t="shared" si="9"/>
        <v>96.692.66.679/0/generic-tcp-timestamp</v>
      </c>
      <c r="B588" s="41" t="s">
        <v>3012</v>
      </c>
      <c r="C588" s="43" t="s">
        <v>2546</v>
      </c>
      <c r="D588" s="41"/>
      <c r="E588" s="39" t="s">
        <v>95</v>
      </c>
      <c r="G588" s="41" t="s">
        <v>2545</v>
      </c>
      <c r="H588" s="44" t="s">
        <v>256</v>
      </c>
      <c r="I588" s="42" t="s">
        <v>390</v>
      </c>
      <c r="J588" s="39" t="s">
        <v>2495</v>
      </c>
      <c r="K588" s="43" t="s">
        <v>258</v>
      </c>
      <c r="L588" s="43" t="s">
        <v>31</v>
      </c>
      <c r="M588" s="9" t="s">
        <v>2541</v>
      </c>
      <c r="N588" s="9" t="s">
        <v>42</v>
      </c>
      <c r="O588" s="41" t="s">
        <v>78</v>
      </c>
      <c r="P588" s="41" t="s">
        <v>79</v>
      </c>
      <c r="Q588" s="41" t="s">
        <v>80</v>
      </c>
      <c r="R588" s="41" t="s">
        <v>81</v>
      </c>
      <c r="S588" s="41" t="s">
        <v>82</v>
      </c>
      <c r="T588" s="41" t="s">
        <v>83</v>
      </c>
      <c r="U588" s="41" t="s">
        <v>31</v>
      </c>
      <c r="V588" s="41" t="s">
        <v>31</v>
      </c>
      <c r="W588" s="41" t="s">
        <v>2511</v>
      </c>
      <c r="X588" s="39" t="s">
        <v>36</v>
      </c>
      <c r="Y588" s="39" t="s">
        <v>2495</v>
      </c>
      <c r="Z588" s="93" t="s">
        <v>31</v>
      </c>
      <c r="AA588" s="39" t="s">
        <v>31</v>
      </c>
      <c r="AB588" s="65" t="s">
        <v>2562</v>
      </c>
      <c r="AD588" s="41"/>
      <c r="AE588" s="103" t="s">
        <v>2538</v>
      </c>
      <c r="AF588" s="39"/>
      <c r="AI588" s="72">
        <v>44275</v>
      </c>
      <c r="AK588" s="8" t="e">
        <f>VLOOKUP(A588,'[1]Externe MAJ Nov'!$A:$H,8,0)</f>
        <v>#N/A</v>
      </c>
      <c r="AL588" s="29" t="e">
        <f>VLOOKUP(A588,'[1]Externe MAJ Nov'!$A:$G,7,0)</f>
        <v>#N/A</v>
      </c>
      <c r="AM588" s="29"/>
      <c r="AN588" s="39" t="s">
        <v>27</v>
      </c>
      <c r="AO588" s="58">
        <v>44275</v>
      </c>
      <c r="AP588" s="29" t="e">
        <f>VLOOKUP(A588,'[2]External Scan 02_21'!$B:$J,9,0)</f>
        <v>#N/A</v>
      </c>
      <c r="AR588" s="21"/>
      <c r="AS588" s="21" t="str">
        <f>VLOOKUP(AE588,'ref statu'!A:B,2,0)</f>
        <v>Not Fixed en cours d'investigation / Planification</v>
      </c>
      <c r="AT588" s="8" t="e">
        <f>VLOOKUP(A588,chk!A:B,2,0)</f>
        <v>#N/A</v>
      </c>
      <c r="AU588" s="29" t="e">
        <f>VLOOKUP(A588,checker!A:B,2,0)</f>
        <v>#N/A</v>
      </c>
      <c r="AV588" s="29" t="e">
        <f>VLOOKUP(A588,checker!B:C,2,0)</f>
        <v>#N/A</v>
      </c>
    </row>
    <row r="589" spans="1:48" x14ac:dyDescent="0.3">
      <c r="A589" s="29" t="str">
        <f t="shared" si="9"/>
        <v>96.692.66.699/123/ntp-clock-variables-disclosure</v>
      </c>
      <c r="B589" s="41" t="s">
        <v>3018</v>
      </c>
      <c r="C589" s="41" t="s">
        <v>2817</v>
      </c>
      <c r="E589" s="39" t="s">
        <v>95</v>
      </c>
      <c r="H589" s="43" t="s">
        <v>256</v>
      </c>
      <c r="I589" s="39" t="s">
        <v>2574</v>
      </c>
      <c r="J589" s="39">
        <v>123</v>
      </c>
      <c r="K589" s="41" t="s">
        <v>2575</v>
      </c>
      <c r="L589" s="41" t="s">
        <v>2577</v>
      </c>
      <c r="M589" s="9">
        <v>1</v>
      </c>
      <c r="N589" s="9" t="s">
        <v>42</v>
      </c>
      <c r="O589" s="41" t="s">
        <v>2579</v>
      </c>
      <c r="P589" s="43" t="s">
        <v>2619</v>
      </c>
      <c r="Q589" s="43" t="s">
        <v>2620</v>
      </c>
      <c r="R589" s="43" t="s">
        <v>2621</v>
      </c>
      <c r="S589" s="43" t="s">
        <v>2622</v>
      </c>
      <c r="T589" s="43" t="s">
        <v>31</v>
      </c>
      <c r="U589" s="43" t="s">
        <v>31</v>
      </c>
      <c r="V589" s="43" t="s">
        <v>31</v>
      </c>
      <c r="AB589" s="39">
        <v>10</v>
      </c>
      <c r="AE589" s="103" t="s">
        <v>28</v>
      </c>
      <c r="AG589" s="65" t="s">
        <v>2924</v>
      </c>
      <c r="AI589" s="72" t="s">
        <v>2818</v>
      </c>
      <c r="AJ589" s="42" t="s">
        <v>27</v>
      </c>
      <c r="AK589" s="8" t="e">
        <f>VLOOKUP(A589,'[1]Externe MAJ Nov'!$A:$H,8,0)</f>
        <v>#N/A</v>
      </c>
      <c r="AL589" s="29" t="e">
        <f>VLOOKUP(A589,'[1]Externe MAJ Nov'!$A:$G,7,0)</f>
        <v>#N/A</v>
      </c>
      <c r="AM589" s="29"/>
      <c r="AN589" s="39" t="s">
        <v>27</v>
      </c>
      <c r="AO589" s="58" t="s">
        <v>2818</v>
      </c>
      <c r="AP589" s="29" t="e">
        <f>VLOOKUP(A589,'[2]External Scan 02_21'!$B:$J,9,0)</f>
        <v>#N/A</v>
      </c>
      <c r="AR589" s="75" t="s">
        <v>487</v>
      </c>
      <c r="AS589" s="21" t="str">
        <f>VLOOKUP(AE589,'ref statu'!A:B,2,0)</f>
        <v>Fixed</v>
      </c>
      <c r="AT589" s="8" t="e">
        <f>VLOOKUP(A589,chk!A:B,2,0)</f>
        <v>#N/A</v>
      </c>
      <c r="AU589" s="29" t="e">
        <f>VLOOKUP(A589,checker!A:B,2,0)</f>
        <v>#N/A</v>
      </c>
      <c r="AV589" s="29" t="e">
        <f>VLOOKUP(A589,checker!B:C,2,0)</f>
        <v>#N/A</v>
      </c>
    </row>
    <row r="590" spans="1:48" x14ac:dyDescent="0.3">
      <c r="A590" s="29" t="str">
        <f t="shared" si="9"/>
        <v>96.692.66.699/443/apache-httpd-cve-2012-0053</v>
      </c>
      <c r="B590" s="41" t="s">
        <v>3018</v>
      </c>
      <c r="C590" s="41" t="s">
        <v>2817</v>
      </c>
      <c r="E590" s="39" t="s">
        <v>95</v>
      </c>
      <c r="H590" s="43" t="s">
        <v>256</v>
      </c>
      <c r="I590" s="39" t="s">
        <v>2574</v>
      </c>
      <c r="J590" s="39">
        <v>443</v>
      </c>
      <c r="K590" s="41" t="s">
        <v>290</v>
      </c>
      <c r="L590" s="41" t="s">
        <v>2578</v>
      </c>
      <c r="M590" s="9">
        <v>4</v>
      </c>
      <c r="N590" s="9" t="s">
        <v>29</v>
      </c>
      <c r="O590" s="41" t="s">
        <v>2580</v>
      </c>
      <c r="P590" s="43" t="s">
        <v>2623</v>
      </c>
      <c r="Q590" s="43" t="s">
        <v>2624</v>
      </c>
      <c r="R590" s="43" t="s">
        <v>2625</v>
      </c>
      <c r="S590" s="43" t="s">
        <v>2626</v>
      </c>
      <c r="T590" s="43" t="s">
        <v>2627</v>
      </c>
      <c r="U590" s="43" t="s">
        <v>2628</v>
      </c>
      <c r="V590" s="43" t="s">
        <v>2780</v>
      </c>
      <c r="AB590" s="39">
        <v>10</v>
      </c>
      <c r="AE590" s="103" t="s">
        <v>28</v>
      </c>
      <c r="AG590" s="65" t="s">
        <v>2924</v>
      </c>
      <c r="AI590" s="72" t="s">
        <v>2818</v>
      </c>
      <c r="AJ590" s="42" t="s">
        <v>27</v>
      </c>
      <c r="AK590" s="8" t="e">
        <f>VLOOKUP(A590,'[1]Externe MAJ Nov'!$A:$H,8,0)</f>
        <v>#N/A</v>
      </c>
      <c r="AL590" s="29" t="e">
        <f>VLOOKUP(A590,'[1]Externe MAJ Nov'!$A:$G,7,0)</f>
        <v>#N/A</v>
      </c>
      <c r="AM590" s="29"/>
      <c r="AN590" s="39" t="s">
        <v>27</v>
      </c>
      <c r="AO590" s="58" t="s">
        <v>2819</v>
      </c>
      <c r="AP590" s="29" t="e">
        <f>VLOOKUP(A590,'[2]External Scan 02_21'!$B:$J,9,0)</f>
        <v>#N/A</v>
      </c>
      <c r="AR590" s="75" t="s">
        <v>487</v>
      </c>
      <c r="AS590" s="21" t="str">
        <f>VLOOKUP(AE590,'ref statu'!A:B,2,0)</f>
        <v>Fixed</v>
      </c>
      <c r="AT590" s="8" t="e">
        <f>VLOOKUP(A590,chk!A:B,2,0)</f>
        <v>#N/A</v>
      </c>
      <c r="AU590" s="29" t="e">
        <f>VLOOKUP(A590,checker!A:B,2,0)</f>
        <v>#N/A</v>
      </c>
      <c r="AV590" s="29" t="e">
        <f>VLOOKUP(A590,checker!B:C,2,0)</f>
        <v>#N/A</v>
      </c>
    </row>
    <row r="591" spans="1:48" x14ac:dyDescent="0.3">
      <c r="A591" s="29" t="str">
        <f t="shared" si="9"/>
        <v>96.692.66.699/80/apache-httpd-cve-2012-0053</v>
      </c>
      <c r="B591" s="41" t="s">
        <v>3018</v>
      </c>
      <c r="C591" s="41" t="s">
        <v>2817</v>
      </c>
      <c r="E591" s="39" t="s">
        <v>95</v>
      </c>
      <c r="H591" s="43" t="s">
        <v>256</v>
      </c>
      <c r="I591" s="39" t="s">
        <v>2574</v>
      </c>
      <c r="J591" s="39">
        <v>80</v>
      </c>
      <c r="K591" s="41" t="s">
        <v>275</v>
      </c>
      <c r="L591" s="41" t="s">
        <v>2578</v>
      </c>
      <c r="M591" s="9">
        <v>4</v>
      </c>
      <c r="N591" s="9" t="s">
        <v>29</v>
      </c>
      <c r="O591" s="41" t="s">
        <v>2580</v>
      </c>
      <c r="P591" s="43" t="s">
        <v>2623</v>
      </c>
      <c r="Q591" s="43" t="s">
        <v>2624</v>
      </c>
      <c r="R591" s="43" t="s">
        <v>2625</v>
      </c>
      <c r="S591" s="43" t="s">
        <v>2629</v>
      </c>
      <c r="T591" s="43" t="s">
        <v>2627</v>
      </c>
      <c r="U591" s="43" t="s">
        <v>2628</v>
      </c>
      <c r="V591" s="43" t="s">
        <v>2780</v>
      </c>
      <c r="AB591" s="39">
        <v>10</v>
      </c>
      <c r="AE591" s="103" t="s">
        <v>2925</v>
      </c>
      <c r="AI591" s="72" t="s">
        <v>2818</v>
      </c>
      <c r="AJ591" s="42" t="s">
        <v>27</v>
      </c>
      <c r="AK591" s="8" t="e">
        <f>VLOOKUP(A591,'[1]Externe MAJ Nov'!$A:$H,8,0)</f>
        <v>#N/A</v>
      </c>
      <c r="AL591" s="29" t="e">
        <f>VLOOKUP(A591,'[1]Externe MAJ Nov'!$A:$G,7,0)</f>
        <v>#N/A</v>
      </c>
      <c r="AM591" s="29"/>
      <c r="AN591" s="39" t="s">
        <v>27</v>
      </c>
      <c r="AO591" s="58" t="s">
        <v>2820</v>
      </c>
      <c r="AP591" s="29" t="e">
        <f>VLOOKUP(A591,'[2]External Scan 02_21'!$B:$J,9,0)</f>
        <v>#N/A</v>
      </c>
      <c r="AR591" s="75" t="s">
        <v>487</v>
      </c>
      <c r="AS591" s="21" t="str">
        <f>VLOOKUP(AE591,'ref statu'!A:B,2,0)</f>
        <v>DTP intervention de l'éditeur nécessaire</v>
      </c>
      <c r="AT591" s="8" t="e">
        <f>VLOOKUP(A591,chk!A:B,2,0)</f>
        <v>#N/A</v>
      </c>
      <c r="AU591" s="29" t="e">
        <f>VLOOKUP(A591,checker!A:B,2,0)</f>
        <v>#N/A</v>
      </c>
      <c r="AV591" s="29" t="e">
        <f>VLOOKUP(A591,checker!B:C,2,0)</f>
        <v>#N/A</v>
      </c>
    </row>
    <row r="592" spans="1:48" x14ac:dyDescent="0.3">
      <c r="A592" s="29" t="str">
        <f t="shared" si="9"/>
        <v>96.692.66.699/443/apache-httpd-cve-2017-9798</v>
      </c>
      <c r="B592" s="41" t="s">
        <v>3018</v>
      </c>
      <c r="C592" s="41" t="s">
        <v>2817</v>
      </c>
      <c r="E592" s="39" t="s">
        <v>95</v>
      </c>
      <c r="H592" s="43" t="s">
        <v>256</v>
      </c>
      <c r="I592" s="39" t="s">
        <v>2574</v>
      </c>
      <c r="J592" s="39">
        <v>443</v>
      </c>
      <c r="K592" s="41" t="s">
        <v>290</v>
      </c>
      <c r="L592" s="41" t="s">
        <v>2578</v>
      </c>
      <c r="M592" s="9">
        <v>5</v>
      </c>
      <c r="N592" s="9" t="s">
        <v>29</v>
      </c>
      <c r="O592" s="41" t="s">
        <v>2581</v>
      </c>
      <c r="P592" s="43" t="s">
        <v>2630</v>
      </c>
      <c r="Q592" s="43" t="s">
        <v>2631</v>
      </c>
      <c r="R592" s="43" t="s">
        <v>2632</v>
      </c>
      <c r="S592" s="43" t="s">
        <v>2626</v>
      </c>
      <c r="T592" s="43" t="s">
        <v>2633</v>
      </c>
      <c r="U592" s="43" t="s">
        <v>2634</v>
      </c>
      <c r="V592" s="43" t="s">
        <v>2781</v>
      </c>
      <c r="AB592" s="39">
        <v>10</v>
      </c>
      <c r="AE592" s="103" t="s">
        <v>28</v>
      </c>
      <c r="AG592" s="65" t="s">
        <v>2924</v>
      </c>
      <c r="AI592" s="72" t="s">
        <v>2818</v>
      </c>
      <c r="AJ592" s="42" t="s">
        <v>27</v>
      </c>
      <c r="AK592" s="8" t="e">
        <f>VLOOKUP(A592,'[1]Externe MAJ Nov'!$A:$H,8,0)</f>
        <v>#N/A</v>
      </c>
      <c r="AL592" s="29" t="e">
        <f>VLOOKUP(A592,'[1]Externe MAJ Nov'!$A:$G,7,0)</f>
        <v>#N/A</v>
      </c>
      <c r="AM592" s="29"/>
      <c r="AN592" s="39" t="s">
        <v>27</v>
      </c>
      <c r="AO592" s="58" t="s">
        <v>2821</v>
      </c>
      <c r="AP592" s="29" t="e">
        <f>VLOOKUP(A592,'[2]External Scan 02_21'!$B:$J,9,0)</f>
        <v>#N/A</v>
      </c>
      <c r="AR592" s="75" t="s">
        <v>487</v>
      </c>
      <c r="AS592" s="21" t="str">
        <f>VLOOKUP(AE592,'ref statu'!A:B,2,0)</f>
        <v>Fixed</v>
      </c>
      <c r="AT592" s="8" t="e">
        <f>VLOOKUP(A592,chk!A:B,2,0)</f>
        <v>#N/A</v>
      </c>
      <c r="AU592" s="29" t="e">
        <f>VLOOKUP(A592,checker!A:B,2,0)</f>
        <v>#N/A</v>
      </c>
      <c r="AV592" s="29" t="e">
        <f>VLOOKUP(A592,checker!B:C,2,0)</f>
        <v>#N/A</v>
      </c>
    </row>
    <row r="593" spans="1:48" x14ac:dyDescent="0.3">
      <c r="A593" s="29" t="str">
        <f t="shared" si="9"/>
        <v>96.692.66.699/80/apache-httpd-cve-2017-9798</v>
      </c>
      <c r="B593" s="41" t="s">
        <v>3018</v>
      </c>
      <c r="C593" s="41" t="s">
        <v>2817</v>
      </c>
      <c r="E593" s="39" t="s">
        <v>95</v>
      </c>
      <c r="H593" s="43" t="s">
        <v>256</v>
      </c>
      <c r="I593" s="39" t="s">
        <v>2574</v>
      </c>
      <c r="J593" s="39">
        <v>80</v>
      </c>
      <c r="K593" s="41" t="s">
        <v>275</v>
      </c>
      <c r="L593" s="41" t="s">
        <v>2578</v>
      </c>
      <c r="M593" s="9">
        <v>5</v>
      </c>
      <c r="N593" s="9" t="s">
        <v>29</v>
      </c>
      <c r="O593" s="41" t="s">
        <v>2581</v>
      </c>
      <c r="P593" s="43" t="s">
        <v>2630</v>
      </c>
      <c r="Q593" s="43" t="s">
        <v>2631</v>
      </c>
      <c r="R593" s="43" t="s">
        <v>2632</v>
      </c>
      <c r="S593" s="43" t="s">
        <v>2629</v>
      </c>
      <c r="T593" s="43" t="s">
        <v>2633</v>
      </c>
      <c r="U593" s="43" t="s">
        <v>2634</v>
      </c>
      <c r="V593" s="43" t="s">
        <v>2781</v>
      </c>
      <c r="AB593" s="39">
        <v>10</v>
      </c>
      <c r="AE593" s="103" t="s">
        <v>2925</v>
      </c>
      <c r="AI593" s="72" t="s">
        <v>2818</v>
      </c>
      <c r="AJ593" s="42" t="s">
        <v>27</v>
      </c>
      <c r="AK593" s="8" t="e">
        <f>VLOOKUP(A593,'[1]Externe MAJ Nov'!$A:$H,8,0)</f>
        <v>#N/A</v>
      </c>
      <c r="AL593" s="29" t="e">
        <f>VLOOKUP(A593,'[1]Externe MAJ Nov'!$A:$G,7,0)</f>
        <v>#N/A</v>
      </c>
      <c r="AM593" s="29"/>
      <c r="AN593" s="39" t="s">
        <v>27</v>
      </c>
      <c r="AO593" s="58" t="s">
        <v>2822</v>
      </c>
      <c r="AP593" s="29" t="e">
        <f>VLOOKUP(A593,'[2]External Scan 02_21'!$B:$J,9,0)</f>
        <v>#N/A</v>
      </c>
      <c r="AR593" s="75" t="s">
        <v>487</v>
      </c>
      <c r="AS593" s="21" t="str">
        <f>VLOOKUP(AE593,'ref statu'!A:B,2,0)</f>
        <v>DTP intervention de l'éditeur nécessaire</v>
      </c>
      <c r="AT593" s="8" t="e">
        <f>VLOOKUP(A593,chk!A:B,2,0)</f>
        <v>#N/A</v>
      </c>
      <c r="AU593" s="29" t="e">
        <f>VLOOKUP(A593,checker!A:B,2,0)</f>
        <v>#N/A</v>
      </c>
      <c r="AV593" s="29" t="e">
        <f>VLOOKUP(A593,checker!B:C,2,0)</f>
        <v>#N/A</v>
      </c>
    </row>
    <row r="594" spans="1:48" x14ac:dyDescent="0.3">
      <c r="A594" s="29" t="str">
        <f t="shared" si="9"/>
        <v>96.692.66.699/443/apache-httpd-cve-2017-9788</v>
      </c>
      <c r="B594" s="41" t="s">
        <v>3018</v>
      </c>
      <c r="C594" s="41" t="s">
        <v>2817</v>
      </c>
      <c r="E594" s="39" t="s">
        <v>95</v>
      </c>
      <c r="H594" s="43" t="s">
        <v>256</v>
      </c>
      <c r="I594" s="39" t="s">
        <v>2574</v>
      </c>
      <c r="J594" s="39">
        <v>443</v>
      </c>
      <c r="K594" s="41" t="s">
        <v>290</v>
      </c>
      <c r="L594" s="41" t="s">
        <v>2578</v>
      </c>
      <c r="M594" s="9">
        <v>6</v>
      </c>
      <c r="N594" s="9" t="s">
        <v>29</v>
      </c>
      <c r="O594" s="41" t="s">
        <v>2582</v>
      </c>
      <c r="P594" s="43" t="s">
        <v>2635</v>
      </c>
      <c r="Q594" s="43" t="s">
        <v>2636</v>
      </c>
      <c r="R594" s="43" t="s">
        <v>2637</v>
      </c>
      <c r="S594" s="43" t="s">
        <v>2626</v>
      </c>
      <c r="T594" s="43" t="s">
        <v>2633</v>
      </c>
      <c r="U594" s="43" t="s">
        <v>2638</v>
      </c>
      <c r="V594" s="43" t="s">
        <v>2782</v>
      </c>
      <c r="AB594" s="39">
        <v>10</v>
      </c>
      <c r="AE594" s="103" t="s">
        <v>28</v>
      </c>
      <c r="AG594" s="65" t="s">
        <v>2924</v>
      </c>
      <c r="AI594" s="72" t="s">
        <v>2818</v>
      </c>
      <c r="AJ594" s="42" t="s">
        <v>27</v>
      </c>
      <c r="AK594" s="8" t="e">
        <f>VLOOKUP(A594,'[1]Externe MAJ Nov'!$A:$H,8,0)</f>
        <v>#N/A</v>
      </c>
      <c r="AL594" s="29" t="e">
        <f>VLOOKUP(A594,'[1]Externe MAJ Nov'!$A:$G,7,0)</f>
        <v>#N/A</v>
      </c>
      <c r="AM594" s="29"/>
      <c r="AN594" s="39" t="s">
        <v>27</v>
      </c>
      <c r="AO594" s="58" t="s">
        <v>2823</v>
      </c>
      <c r="AP594" s="29" t="e">
        <f>VLOOKUP(A594,'[2]External Scan 02_21'!$B:$J,9,0)</f>
        <v>#N/A</v>
      </c>
      <c r="AR594" s="75" t="s">
        <v>487</v>
      </c>
      <c r="AS594" s="21" t="str">
        <f>VLOOKUP(AE594,'ref statu'!A:B,2,0)</f>
        <v>Fixed</v>
      </c>
      <c r="AT594" s="8" t="e">
        <f>VLOOKUP(A594,chk!A:B,2,0)</f>
        <v>#N/A</v>
      </c>
      <c r="AU594" s="29" t="e">
        <f>VLOOKUP(A594,checker!A:B,2,0)</f>
        <v>#N/A</v>
      </c>
      <c r="AV594" s="29" t="e">
        <f>VLOOKUP(A594,checker!B:C,2,0)</f>
        <v>#N/A</v>
      </c>
    </row>
    <row r="595" spans="1:48" x14ac:dyDescent="0.3">
      <c r="A595" s="29" t="str">
        <f t="shared" si="9"/>
        <v>96.692.66.699/80/apache-httpd-cve-2017-9788</v>
      </c>
      <c r="B595" s="41" t="s">
        <v>3018</v>
      </c>
      <c r="C595" s="41" t="s">
        <v>2817</v>
      </c>
      <c r="E595" s="39" t="s">
        <v>95</v>
      </c>
      <c r="H595" s="43" t="s">
        <v>256</v>
      </c>
      <c r="I595" s="39" t="s">
        <v>2574</v>
      </c>
      <c r="J595" s="39">
        <v>80</v>
      </c>
      <c r="K595" s="41" t="s">
        <v>275</v>
      </c>
      <c r="L595" s="41" t="s">
        <v>2578</v>
      </c>
      <c r="M595" s="9">
        <v>6</v>
      </c>
      <c r="N595" s="9" t="s">
        <v>29</v>
      </c>
      <c r="O595" s="41" t="s">
        <v>2582</v>
      </c>
      <c r="P595" s="43" t="s">
        <v>2635</v>
      </c>
      <c r="Q595" s="43" t="s">
        <v>2636</v>
      </c>
      <c r="R595" s="43" t="s">
        <v>2637</v>
      </c>
      <c r="S595" s="43" t="s">
        <v>2629</v>
      </c>
      <c r="T595" s="43" t="s">
        <v>2633</v>
      </c>
      <c r="U595" s="43" t="s">
        <v>2638</v>
      </c>
      <c r="V595" s="43" t="s">
        <v>2782</v>
      </c>
      <c r="AB595" s="39">
        <v>10</v>
      </c>
      <c r="AE595" s="103" t="s">
        <v>2925</v>
      </c>
      <c r="AI595" s="72" t="s">
        <v>2818</v>
      </c>
      <c r="AJ595" s="42" t="s">
        <v>27</v>
      </c>
      <c r="AK595" s="8" t="e">
        <f>VLOOKUP(A595,'[1]Externe MAJ Nov'!$A:$H,8,0)</f>
        <v>#N/A</v>
      </c>
      <c r="AL595" s="29" t="e">
        <f>VLOOKUP(A595,'[1]Externe MAJ Nov'!$A:$G,7,0)</f>
        <v>#N/A</v>
      </c>
      <c r="AM595" s="29"/>
      <c r="AN595" s="39" t="s">
        <v>27</v>
      </c>
      <c r="AO595" s="58" t="s">
        <v>2824</v>
      </c>
      <c r="AP595" s="29" t="e">
        <f>VLOOKUP(A595,'[2]External Scan 02_21'!$B:$J,9,0)</f>
        <v>#N/A</v>
      </c>
      <c r="AR595" s="75" t="s">
        <v>487</v>
      </c>
      <c r="AS595" s="21" t="str">
        <f>VLOOKUP(AE595,'ref statu'!A:B,2,0)</f>
        <v>DTP intervention de l'éditeur nécessaire</v>
      </c>
      <c r="AT595" s="8" t="e">
        <f>VLOOKUP(A595,chk!A:B,2,0)</f>
        <v>#N/A</v>
      </c>
      <c r="AU595" s="29" t="e">
        <f>VLOOKUP(A595,checker!A:B,2,0)</f>
        <v>#N/A</v>
      </c>
      <c r="AV595" s="29" t="e">
        <f>VLOOKUP(A595,checker!B:C,2,0)</f>
        <v>#N/A</v>
      </c>
    </row>
    <row r="596" spans="1:48" x14ac:dyDescent="0.3">
      <c r="A596" s="29" t="str">
        <f t="shared" si="9"/>
        <v>96.692.66.699/22/ssh-rc4-ciphers</v>
      </c>
      <c r="B596" s="41" t="s">
        <v>3018</v>
      </c>
      <c r="C596" s="41" t="s">
        <v>2817</v>
      </c>
      <c r="E596" s="39" t="s">
        <v>95</v>
      </c>
      <c r="H596" s="43" t="s">
        <v>256</v>
      </c>
      <c r="I596" s="39" t="s">
        <v>2574</v>
      </c>
      <c r="J596" s="39">
        <v>22</v>
      </c>
      <c r="K596" s="41" t="s">
        <v>268</v>
      </c>
      <c r="L596" s="41" t="s">
        <v>269</v>
      </c>
      <c r="M596" s="9">
        <v>4</v>
      </c>
      <c r="N596" s="9" t="s">
        <v>29</v>
      </c>
      <c r="O596" s="41" t="s">
        <v>84</v>
      </c>
      <c r="P596" s="43" t="s">
        <v>85</v>
      </c>
      <c r="Q596" s="43" t="s">
        <v>86</v>
      </c>
      <c r="R596" s="43" t="s">
        <v>87</v>
      </c>
      <c r="S596" s="43" t="s">
        <v>272</v>
      </c>
      <c r="T596" s="43" t="s">
        <v>88</v>
      </c>
      <c r="U596" s="43" t="s">
        <v>31</v>
      </c>
      <c r="V596" s="43" t="s">
        <v>31</v>
      </c>
      <c r="AB596" s="39">
        <v>10</v>
      </c>
      <c r="AE596" s="103" t="s">
        <v>28</v>
      </c>
      <c r="AG596" s="65" t="s">
        <v>2924</v>
      </c>
      <c r="AI596" s="72" t="s">
        <v>2818</v>
      </c>
      <c r="AJ596" s="42" t="s">
        <v>27</v>
      </c>
      <c r="AK596" s="8" t="e">
        <f>VLOOKUP(A596,'[1]Externe MAJ Nov'!$A:$H,8,0)</f>
        <v>#N/A</v>
      </c>
      <c r="AL596" s="29" t="e">
        <f>VLOOKUP(A596,'[1]Externe MAJ Nov'!$A:$G,7,0)</f>
        <v>#N/A</v>
      </c>
      <c r="AM596" s="29"/>
      <c r="AN596" s="39" t="s">
        <v>27</v>
      </c>
      <c r="AO596" s="58" t="s">
        <v>2825</v>
      </c>
      <c r="AP596" s="29" t="e">
        <f>VLOOKUP(A596,'[2]External Scan 02_21'!$B:$J,9,0)</f>
        <v>#N/A</v>
      </c>
      <c r="AR596" s="75" t="s">
        <v>487</v>
      </c>
      <c r="AS596" s="21" t="str">
        <f>VLOOKUP(AE596,'ref statu'!A:B,2,0)</f>
        <v>Fixed</v>
      </c>
      <c r="AT596" s="8" t="e">
        <f>VLOOKUP(A596,chk!A:B,2,0)</f>
        <v>#N/A</v>
      </c>
      <c r="AU596" s="29" t="e">
        <f>VLOOKUP(A596,checker!A:B,2,0)</f>
        <v>#N/A</v>
      </c>
      <c r="AV596" s="29" t="e">
        <f>VLOOKUP(A596,checker!B:C,2,0)</f>
        <v>#N/A</v>
      </c>
    </row>
    <row r="597" spans="1:48" x14ac:dyDescent="0.3">
      <c r="A597" s="29" t="str">
        <f t="shared" si="9"/>
        <v>96.692.66.699/443/apache-httpd-cve-2014-0098</v>
      </c>
      <c r="B597" s="41" t="s">
        <v>3018</v>
      </c>
      <c r="C597" s="41" t="s">
        <v>2817</v>
      </c>
      <c r="E597" s="39" t="s">
        <v>95</v>
      </c>
      <c r="H597" s="43" t="s">
        <v>256</v>
      </c>
      <c r="I597" s="39" t="s">
        <v>2574</v>
      </c>
      <c r="J597" s="39">
        <v>443</v>
      </c>
      <c r="K597" s="41" t="s">
        <v>290</v>
      </c>
      <c r="L597" s="41" t="s">
        <v>2578</v>
      </c>
      <c r="M597" s="9">
        <v>5</v>
      </c>
      <c r="N597" s="9" t="s">
        <v>29</v>
      </c>
      <c r="O597" s="41" t="s">
        <v>2583</v>
      </c>
      <c r="P597" s="43" t="s">
        <v>2639</v>
      </c>
      <c r="Q597" s="43" t="s">
        <v>2640</v>
      </c>
      <c r="R597" s="43" t="s">
        <v>2641</v>
      </c>
      <c r="S597" s="43" t="s">
        <v>2626</v>
      </c>
      <c r="T597" s="43" t="s">
        <v>2633</v>
      </c>
      <c r="U597" s="43" t="s">
        <v>2642</v>
      </c>
      <c r="V597" s="43" t="s">
        <v>2783</v>
      </c>
      <c r="AB597" s="39">
        <v>10</v>
      </c>
      <c r="AE597" s="103" t="s">
        <v>28</v>
      </c>
      <c r="AG597" s="65" t="s">
        <v>2924</v>
      </c>
      <c r="AI597" s="72" t="s">
        <v>2818</v>
      </c>
      <c r="AJ597" s="42" t="s">
        <v>27</v>
      </c>
      <c r="AK597" s="8" t="e">
        <f>VLOOKUP(A597,'[1]Externe MAJ Nov'!$A:$H,8,0)</f>
        <v>#N/A</v>
      </c>
      <c r="AL597" s="29" t="e">
        <f>VLOOKUP(A597,'[1]Externe MAJ Nov'!$A:$G,7,0)</f>
        <v>#N/A</v>
      </c>
      <c r="AM597" s="29"/>
      <c r="AN597" s="39" t="s">
        <v>27</v>
      </c>
      <c r="AO597" s="58" t="s">
        <v>2826</v>
      </c>
      <c r="AP597" s="29" t="e">
        <f>VLOOKUP(A597,'[2]External Scan 02_21'!$B:$J,9,0)</f>
        <v>#N/A</v>
      </c>
      <c r="AR597" s="75" t="s">
        <v>487</v>
      </c>
      <c r="AS597" s="21" t="str">
        <f>VLOOKUP(AE597,'ref statu'!A:B,2,0)</f>
        <v>Fixed</v>
      </c>
      <c r="AT597" s="8" t="e">
        <f>VLOOKUP(A597,chk!A:B,2,0)</f>
        <v>#N/A</v>
      </c>
      <c r="AU597" s="29" t="e">
        <f>VLOOKUP(A597,checker!A:B,2,0)</f>
        <v>#N/A</v>
      </c>
      <c r="AV597" s="29" t="e">
        <f>VLOOKUP(A597,checker!B:C,2,0)</f>
        <v>#N/A</v>
      </c>
    </row>
    <row r="598" spans="1:48" x14ac:dyDescent="0.3">
      <c r="A598" s="29" t="str">
        <f t="shared" si="9"/>
        <v>96.692.66.699/80/apache-httpd-cve-2014-0098</v>
      </c>
      <c r="B598" s="41" t="s">
        <v>3018</v>
      </c>
      <c r="C598" s="41" t="s">
        <v>2817</v>
      </c>
      <c r="E598" s="39" t="s">
        <v>95</v>
      </c>
      <c r="H598" s="43" t="s">
        <v>256</v>
      </c>
      <c r="I598" s="39" t="s">
        <v>2574</v>
      </c>
      <c r="J598" s="39">
        <v>80</v>
      </c>
      <c r="K598" s="41" t="s">
        <v>275</v>
      </c>
      <c r="L598" s="41" t="s">
        <v>2578</v>
      </c>
      <c r="M598" s="9">
        <v>5</v>
      </c>
      <c r="N598" s="9" t="s">
        <v>29</v>
      </c>
      <c r="O598" s="41" t="s">
        <v>2583</v>
      </c>
      <c r="P598" s="43" t="s">
        <v>2639</v>
      </c>
      <c r="Q598" s="43" t="s">
        <v>2640</v>
      </c>
      <c r="R598" s="43" t="s">
        <v>2641</v>
      </c>
      <c r="S598" s="43" t="s">
        <v>2629</v>
      </c>
      <c r="T598" s="43" t="s">
        <v>2633</v>
      </c>
      <c r="U598" s="43" t="s">
        <v>2642</v>
      </c>
      <c r="V598" s="43" t="s">
        <v>2783</v>
      </c>
      <c r="AB598" s="39">
        <v>10</v>
      </c>
      <c r="AE598" s="103" t="s">
        <v>2925</v>
      </c>
      <c r="AI598" s="72" t="s">
        <v>2818</v>
      </c>
      <c r="AJ598" s="42" t="s">
        <v>27</v>
      </c>
      <c r="AK598" s="8" t="e">
        <f>VLOOKUP(A598,'[1]Externe MAJ Nov'!$A:$H,8,0)</f>
        <v>#N/A</v>
      </c>
      <c r="AL598" s="29" t="e">
        <f>VLOOKUP(A598,'[1]Externe MAJ Nov'!$A:$G,7,0)</f>
        <v>#N/A</v>
      </c>
      <c r="AM598" s="29"/>
      <c r="AN598" s="39" t="s">
        <v>27</v>
      </c>
      <c r="AO598" s="58" t="s">
        <v>2827</v>
      </c>
      <c r="AP598" s="29" t="e">
        <f>VLOOKUP(A598,'[2]External Scan 02_21'!$B:$J,9,0)</f>
        <v>#N/A</v>
      </c>
      <c r="AR598" s="75" t="s">
        <v>487</v>
      </c>
      <c r="AS598" s="21" t="str">
        <f>VLOOKUP(AE598,'ref statu'!A:B,2,0)</f>
        <v>DTP intervention de l'éditeur nécessaire</v>
      </c>
      <c r="AT598" s="8" t="e">
        <f>VLOOKUP(A598,chk!A:B,2,0)</f>
        <v>#N/A</v>
      </c>
      <c r="AU598" s="29" t="e">
        <f>VLOOKUP(A598,checker!A:B,2,0)</f>
        <v>#N/A</v>
      </c>
      <c r="AV598" s="29" t="e">
        <f>VLOOKUP(A598,checker!B:C,2,0)</f>
        <v>#N/A</v>
      </c>
    </row>
    <row r="599" spans="1:48" x14ac:dyDescent="0.3">
      <c r="A599" s="29" t="str">
        <f t="shared" si="9"/>
        <v>96.692.66.699/443/apache-httpd-cve-2017-3169</v>
      </c>
      <c r="B599" s="41" t="s">
        <v>3018</v>
      </c>
      <c r="C599" s="41" t="s">
        <v>2817</v>
      </c>
      <c r="E599" s="39" t="s">
        <v>95</v>
      </c>
      <c r="H599" s="43" t="s">
        <v>256</v>
      </c>
      <c r="I599" s="39" t="s">
        <v>2574</v>
      </c>
      <c r="J599" s="39">
        <v>443</v>
      </c>
      <c r="K599" s="41" t="s">
        <v>290</v>
      </c>
      <c r="L599" s="41" t="s">
        <v>2578</v>
      </c>
      <c r="M599" s="9">
        <v>8</v>
      </c>
      <c r="N599" s="10" t="s">
        <v>2540</v>
      </c>
      <c r="O599" s="41" t="s">
        <v>2584</v>
      </c>
      <c r="P599" s="43" t="s">
        <v>2643</v>
      </c>
      <c r="Q599" s="43" t="s">
        <v>2644</v>
      </c>
      <c r="R599" s="43" t="s">
        <v>2645</v>
      </c>
      <c r="S599" s="43" t="s">
        <v>2626</v>
      </c>
      <c r="T599" s="43" t="s">
        <v>2633</v>
      </c>
      <c r="U599" s="43" t="s">
        <v>2646</v>
      </c>
      <c r="V599" s="43" t="s">
        <v>2784</v>
      </c>
      <c r="AB599" s="39">
        <v>10</v>
      </c>
      <c r="AE599" s="103" t="s">
        <v>28</v>
      </c>
      <c r="AG599" s="65" t="s">
        <v>2924</v>
      </c>
      <c r="AI599" s="72" t="s">
        <v>2818</v>
      </c>
      <c r="AJ599" s="42" t="s">
        <v>27</v>
      </c>
      <c r="AK599" s="8" t="e">
        <f>VLOOKUP(A599,'[1]Externe MAJ Nov'!$A:$H,8,0)</f>
        <v>#N/A</v>
      </c>
      <c r="AL599" s="29" t="e">
        <f>VLOOKUP(A599,'[1]Externe MAJ Nov'!$A:$G,7,0)</f>
        <v>#N/A</v>
      </c>
      <c r="AM599" s="29"/>
      <c r="AN599" s="39" t="s">
        <v>27</v>
      </c>
      <c r="AO599" s="58" t="s">
        <v>2828</v>
      </c>
      <c r="AP599" s="29" t="e">
        <f>VLOOKUP(A599,'[2]External Scan 02_21'!$B:$J,9,0)</f>
        <v>#N/A</v>
      </c>
      <c r="AR599" s="75" t="s">
        <v>487</v>
      </c>
      <c r="AS599" s="21" t="str">
        <f>VLOOKUP(AE599,'ref statu'!A:B,2,0)</f>
        <v>Fixed</v>
      </c>
      <c r="AT599" s="8" t="e">
        <f>VLOOKUP(A599,chk!A:B,2,0)</f>
        <v>#N/A</v>
      </c>
      <c r="AU599" s="29" t="e">
        <f>VLOOKUP(A599,checker!A:B,2,0)</f>
        <v>#N/A</v>
      </c>
      <c r="AV599" s="29" t="e">
        <f>VLOOKUP(A599,checker!B:C,2,0)</f>
        <v>#N/A</v>
      </c>
    </row>
    <row r="600" spans="1:48" x14ac:dyDescent="0.3">
      <c r="A600" s="29" t="str">
        <f t="shared" si="9"/>
        <v>96.692.66.699/80/apache-httpd-cve-2017-3169</v>
      </c>
      <c r="B600" s="41" t="s">
        <v>3018</v>
      </c>
      <c r="C600" s="41" t="s">
        <v>2817</v>
      </c>
      <c r="E600" s="39" t="s">
        <v>95</v>
      </c>
      <c r="H600" s="43" t="s">
        <v>256</v>
      </c>
      <c r="I600" s="39" t="s">
        <v>2574</v>
      </c>
      <c r="J600" s="39">
        <v>80</v>
      </c>
      <c r="K600" s="41" t="s">
        <v>275</v>
      </c>
      <c r="L600" s="41" t="s">
        <v>2578</v>
      </c>
      <c r="M600" s="9">
        <v>8</v>
      </c>
      <c r="N600" s="10" t="s">
        <v>2540</v>
      </c>
      <c r="O600" s="41" t="s">
        <v>2584</v>
      </c>
      <c r="P600" s="43" t="s">
        <v>2643</v>
      </c>
      <c r="Q600" s="43" t="s">
        <v>2644</v>
      </c>
      <c r="R600" s="43" t="s">
        <v>2645</v>
      </c>
      <c r="S600" s="43" t="s">
        <v>2629</v>
      </c>
      <c r="T600" s="43" t="s">
        <v>2633</v>
      </c>
      <c r="U600" s="43" t="s">
        <v>2646</v>
      </c>
      <c r="V600" s="43" t="s">
        <v>2784</v>
      </c>
      <c r="AB600" s="39">
        <v>10</v>
      </c>
      <c r="AE600" s="103" t="s">
        <v>2925</v>
      </c>
      <c r="AI600" s="72" t="s">
        <v>2818</v>
      </c>
      <c r="AJ600" s="42" t="s">
        <v>27</v>
      </c>
      <c r="AK600" s="8" t="e">
        <f>VLOOKUP(A600,'[1]Externe MAJ Nov'!$A:$H,8,0)</f>
        <v>#N/A</v>
      </c>
      <c r="AL600" s="29" t="e">
        <f>VLOOKUP(A600,'[1]Externe MAJ Nov'!$A:$G,7,0)</f>
        <v>#N/A</v>
      </c>
      <c r="AM600" s="29"/>
      <c r="AN600" s="39" t="s">
        <v>27</v>
      </c>
      <c r="AO600" s="58" t="s">
        <v>2829</v>
      </c>
      <c r="AP600" s="29" t="e">
        <f>VLOOKUP(A600,'[2]External Scan 02_21'!$B:$J,9,0)</f>
        <v>#N/A</v>
      </c>
      <c r="AR600" s="75" t="s">
        <v>487</v>
      </c>
      <c r="AS600" s="21" t="str">
        <f>VLOOKUP(AE600,'ref statu'!A:B,2,0)</f>
        <v>DTP intervention de l'éditeur nécessaire</v>
      </c>
      <c r="AT600" s="8" t="e">
        <f>VLOOKUP(A600,chk!A:B,2,0)</f>
        <v>#N/A</v>
      </c>
      <c r="AU600" s="29" t="e">
        <f>VLOOKUP(A600,checker!A:B,2,0)</f>
        <v>#N/A</v>
      </c>
      <c r="AV600" s="29" t="e">
        <f>VLOOKUP(A600,checker!B:C,2,0)</f>
        <v>#N/A</v>
      </c>
    </row>
    <row r="601" spans="1:48" x14ac:dyDescent="0.3">
      <c r="A601" s="29" t="str">
        <f t="shared" si="9"/>
        <v>96.692.66.699/443/apache-httpd-cve-2014-0118</v>
      </c>
      <c r="B601" s="41" t="s">
        <v>3018</v>
      </c>
      <c r="C601" s="41" t="s">
        <v>2817</v>
      </c>
      <c r="E601" s="39" t="s">
        <v>95</v>
      </c>
      <c r="H601" s="43" t="s">
        <v>256</v>
      </c>
      <c r="I601" s="39" t="s">
        <v>2574</v>
      </c>
      <c r="J601" s="39">
        <v>443</v>
      </c>
      <c r="K601" s="41" t="s">
        <v>290</v>
      </c>
      <c r="L601" s="41" t="s">
        <v>2578</v>
      </c>
      <c r="M601" s="9">
        <v>4</v>
      </c>
      <c r="N601" s="9" t="s">
        <v>29</v>
      </c>
      <c r="O601" s="41" t="s">
        <v>2585</v>
      </c>
      <c r="P601" s="43" t="s">
        <v>2647</v>
      </c>
      <c r="Q601" s="43" t="s">
        <v>2648</v>
      </c>
      <c r="R601" s="43" t="s">
        <v>2649</v>
      </c>
      <c r="S601" s="43" t="s">
        <v>2626</v>
      </c>
      <c r="T601" s="43" t="s">
        <v>2633</v>
      </c>
      <c r="U601" s="43" t="s">
        <v>2650</v>
      </c>
      <c r="V601" s="43" t="s">
        <v>2785</v>
      </c>
      <c r="AB601" s="39">
        <v>10</v>
      </c>
      <c r="AE601" s="103" t="s">
        <v>28</v>
      </c>
      <c r="AG601" s="65" t="s">
        <v>2924</v>
      </c>
      <c r="AI601" s="72" t="s">
        <v>2818</v>
      </c>
      <c r="AJ601" s="42" t="s">
        <v>27</v>
      </c>
      <c r="AK601" s="8" t="e">
        <f>VLOOKUP(A601,'[1]Externe MAJ Nov'!$A:$H,8,0)</f>
        <v>#N/A</v>
      </c>
      <c r="AL601" s="29" t="e">
        <f>VLOOKUP(A601,'[1]Externe MAJ Nov'!$A:$G,7,0)</f>
        <v>#N/A</v>
      </c>
      <c r="AM601" s="29"/>
      <c r="AN601" s="39" t="s">
        <v>27</v>
      </c>
      <c r="AO601" s="58" t="s">
        <v>2830</v>
      </c>
      <c r="AP601" s="29" t="e">
        <f>VLOOKUP(A601,'[2]External Scan 02_21'!$B:$J,9,0)</f>
        <v>#N/A</v>
      </c>
      <c r="AR601" s="75" t="s">
        <v>487</v>
      </c>
      <c r="AS601" s="21" t="str">
        <f>VLOOKUP(AE601,'ref statu'!A:B,2,0)</f>
        <v>Fixed</v>
      </c>
      <c r="AT601" s="8" t="e">
        <f>VLOOKUP(A601,chk!A:B,2,0)</f>
        <v>#N/A</v>
      </c>
      <c r="AU601" s="29" t="e">
        <f>VLOOKUP(A601,checker!A:B,2,0)</f>
        <v>#N/A</v>
      </c>
      <c r="AV601" s="29" t="e">
        <f>VLOOKUP(A601,checker!B:C,2,0)</f>
        <v>#N/A</v>
      </c>
    </row>
    <row r="602" spans="1:48" x14ac:dyDescent="0.3">
      <c r="A602" s="29" t="str">
        <f t="shared" si="9"/>
        <v>96.692.66.699/80/apache-httpd-cve-2014-0118</v>
      </c>
      <c r="B602" s="41" t="s">
        <v>3018</v>
      </c>
      <c r="C602" s="41" t="s">
        <v>2817</v>
      </c>
      <c r="E602" s="39" t="s">
        <v>95</v>
      </c>
      <c r="H602" s="43" t="s">
        <v>256</v>
      </c>
      <c r="I602" s="39" t="s">
        <v>2574</v>
      </c>
      <c r="J602" s="39">
        <v>80</v>
      </c>
      <c r="K602" s="41" t="s">
        <v>275</v>
      </c>
      <c r="L602" s="41" t="s">
        <v>2578</v>
      </c>
      <c r="M602" s="9">
        <v>4</v>
      </c>
      <c r="N602" s="9" t="s">
        <v>29</v>
      </c>
      <c r="O602" s="41" t="s">
        <v>2585</v>
      </c>
      <c r="P602" s="43" t="s">
        <v>2647</v>
      </c>
      <c r="Q602" s="43" t="s">
        <v>2648</v>
      </c>
      <c r="R602" s="43" t="s">
        <v>2649</v>
      </c>
      <c r="S602" s="43" t="s">
        <v>2629</v>
      </c>
      <c r="T602" s="43" t="s">
        <v>2633</v>
      </c>
      <c r="U602" s="43" t="s">
        <v>2650</v>
      </c>
      <c r="V602" s="43" t="s">
        <v>2785</v>
      </c>
      <c r="AB602" s="39">
        <v>10</v>
      </c>
      <c r="AE602" s="103" t="s">
        <v>2925</v>
      </c>
      <c r="AI602" s="72" t="s">
        <v>2818</v>
      </c>
      <c r="AJ602" s="42" t="s">
        <v>27</v>
      </c>
      <c r="AK602" s="8" t="e">
        <f>VLOOKUP(A602,'[1]Externe MAJ Nov'!$A:$H,8,0)</f>
        <v>#N/A</v>
      </c>
      <c r="AL602" s="29" t="e">
        <f>VLOOKUP(A602,'[1]Externe MAJ Nov'!$A:$G,7,0)</f>
        <v>#N/A</v>
      </c>
      <c r="AM602" s="29"/>
      <c r="AN602" s="39" t="s">
        <v>27</v>
      </c>
      <c r="AO602" s="58" t="s">
        <v>2831</v>
      </c>
      <c r="AP602" s="29" t="e">
        <f>VLOOKUP(A602,'[2]External Scan 02_21'!$B:$J,9,0)</f>
        <v>#N/A</v>
      </c>
      <c r="AR602" s="75" t="s">
        <v>487</v>
      </c>
      <c r="AS602" s="21" t="str">
        <f>VLOOKUP(AE602,'ref statu'!A:B,2,0)</f>
        <v>DTP intervention de l'éditeur nécessaire</v>
      </c>
      <c r="AT602" s="8" t="e">
        <f>VLOOKUP(A602,chk!A:B,2,0)</f>
        <v>#N/A</v>
      </c>
      <c r="AU602" s="29" t="e">
        <f>VLOOKUP(A602,checker!A:B,2,0)</f>
        <v>#N/A</v>
      </c>
      <c r="AV602" s="29" t="e">
        <f>VLOOKUP(A602,checker!B:C,2,0)</f>
        <v>#N/A</v>
      </c>
    </row>
    <row r="603" spans="1:48" x14ac:dyDescent="0.3">
      <c r="A603" s="29" t="str">
        <f t="shared" si="9"/>
        <v>96.692.66.699/443/apache-httpd-cve-2016-5387</v>
      </c>
      <c r="B603" s="41" t="s">
        <v>3018</v>
      </c>
      <c r="C603" s="41" t="s">
        <v>2817</v>
      </c>
      <c r="E603" s="39" t="s">
        <v>95</v>
      </c>
      <c r="H603" s="43" t="s">
        <v>256</v>
      </c>
      <c r="I603" s="39" t="s">
        <v>2574</v>
      </c>
      <c r="J603" s="39">
        <v>443</v>
      </c>
      <c r="K603" s="41" t="s">
        <v>290</v>
      </c>
      <c r="L603" s="41" t="s">
        <v>2578</v>
      </c>
      <c r="M603" s="9">
        <v>5</v>
      </c>
      <c r="N603" s="9" t="s">
        <v>29</v>
      </c>
      <c r="O603" s="41" t="s">
        <v>2586</v>
      </c>
      <c r="P603" s="43" t="s">
        <v>2651</v>
      </c>
      <c r="Q603" s="43" t="s">
        <v>2652</v>
      </c>
      <c r="R603" s="43" t="s">
        <v>2653</v>
      </c>
      <c r="S603" s="43" t="s">
        <v>2626</v>
      </c>
      <c r="T603" s="43" t="s">
        <v>2633</v>
      </c>
      <c r="U603" s="43" t="s">
        <v>2654</v>
      </c>
      <c r="V603" s="43" t="s">
        <v>2786</v>
      </c>
      <c r="AB603" s="39">
        <v>10</v>
      </c>
      <c r="AE603" s="103" t="s">
        <v>28</v>
      </c>
      <c r="AG603" s="65" t="s">
        <v>2924</v>
      </c>
      <c r="AI603" s="72" t="s">
        <v>2818</v>
      </c>
      <c r="AJ603" s="42" t="s">
        <v>27</v>
      </c>
      <c r="AK603" s="8" t="e">
        <f>VLOOKUP(A603,'[1]Externe MAJ Nov'!$A:$H,8,0)</f>
        <v>#N/A</v>
      </c>
      <c r="AL603" s="29" t="e">
        <f>VLOOKUP(A603,'[1]Externe MAJ Nov'!$A:$G,7,0)</f>
        <v>#N/A</v>
      </c>
      <c r="AM603" s="29"/>
      <c r="AN603" s="39" t="s">
        <v>27</v>
      </c>
      <c r="AO603" s="58" t="s">
        <v>2832</v>
      </c>
      <c r="AP603" s="29" t="e">
        <f>VLOOKUP(A603,'[2]External Scan 02_21'!$B:$J,9,0)</f>
        <v>#N/A</v>
      </c>
      <c r="AR603" s="75" t="s">
        <v>487</v>
      </c>
      <c r="AS603" s="21" t="str">
        <f>VLOOKUP(AE603,'ref statu'!A:B,2,0)</f>
        <v>Fixed</v>
      </c>
      <c r="AT603" s="8" t="e">
        <f>VLOOKUP(A603,chk!A:B,2,0)</f>
        <v>#N/A</v>
      </c>
      <c r="AU603" s="29" t="e">
        <f>VLOOKUP(A603,checker!A:B,2,0)</f>
        <v>#N/A</v>
      </c>
      <c r="AV603" s="29" t="e">
        <f>VLOOKUP(A603,checker!B:C,2,0)</f>
        <v>#N/A</v>
      </c>
    </row>
    <row r="604" spans="1:48" x14ac:dyDescent="0.3">
      <c r="A604" s="29" t="str">
        <f t="shared" si="9"/>
        <v>96.692.66.699/80/apache-httpd-cve-2016-5387</v>
      </c>
      <c r="B604" s="41" t="s">
        <v>3018</v>
      </c>
      <c r="C604" s="41" t="s">
        <v>2817</v>
      </c>
      <c r="E604" s="39" t="s">
        <v>95</v>
      </c>
      <c r="H604" s="43" t="s">
        <v>256</v>
      </c>
      <c r="I604" s="39" t="s">
        <v>2574</v>
      </c>
      <c r="J604" s="39">
        <v>80</v>
      </c>
      <c r="K604" s="41" t="s">
        <v>275</v>
      </c>
      <c r="L604" s="41" t="s">
        <v>2578</v>
      </c>
      <c r="M604" s="9">
        <v>5</v>
      </c>
      <c r="N604" s="9" t="s">
        <v>29</v>
      </c>
      <c r="O604" s="41" t="s">
        <v>2586</v>
      </c>
      <c r="P604" s="43" t="s">
        <v>2651</v>
      </c>
      <c r="Q604" s="43" t="s">
        <v>2652</v>
      </c>
      <c r="R604" s="43" t="s">
        <v>2653</v>
      </c>
      <c r="S604" s="43" t="s">
        <v>2629</v>
      </c>
      <c r="T604" s="43" t="s">
        <v>2633</v>
      </c>
      <c r="U604" s="43" t="s">
        <v>2654</v>
      </c>
      <c r="V604" s="43" t="s">
        <v>2786</v>
      </c>
      <c r="AB604" s="39">
        <v>10</v>
      </c>
      <c r="AE604" s="103" t="s">
        <v>2925</v>
      </c>
      <c r="AI604" s="72" t="s">
        <v>2818</v>
      </c>
      <c r="AJ604" s="42" t="s">
        <v>27</v>
      </c>
      <c r="AK604" s="8" t="e">
        <f>VLOOKUP(A604,'[1]Externe MAJ Nov'!$A:$H,8,0)</f>
        <v>#N/A</v>
      </c>
      <c r="AL604" s="29" t="e">
        <f>VLOOKUP(A604,'[1]Externe MAJ Nov'!$A:$G,7,0)</f>
        <v>#N/A</v>
      </c>
      <c r="AM604" s="29"/>
      <c r="AN604" s="39" t="s">
        <v>27</v>
      </c>
      <c r="AO604" s="58" t="s">
        <v>2833</v>
      </c>
      <c r="AP604" s="29" t="e">
        <f>VLOOKUP(A604,'[2]External Scan 02_21'!$B:$J,9,0)</f>
        <v>#N/A</v>
      </c>
      <c r="AR604" s="75" t="s">
        <v>487</v>
      </c>
      <c r="AS604" s="21" t="str">
        <f>VLOOKUP(AE604,'ref statu'!A:B,2,0)</f>
        <v>DTP intervention de l'éditeur nécessaire</v>
      </c>
      <c r="AT604" s="8" t="e">
        <f>VLOOKUP(A604,chk!A:B,2,0)</f>
        <v>#N/A</v>
      </c>
      <c r="AU604" s="29" t="e">
        <f>VLOOKUP(A604,checker!A:B,2,0)</f>
        <v>#N/A</v>
      </c>
      <c r="AV604" s="29" t="e">
        <f>VLOOKUP(A604,checker!B:C,2,0)</f>
        <v>#N/A</v>
      </c>
    </row>
    <row r="605" spans="1:48" x14ac:dyDescent="0.3">
      <c r="A605" s="29" t="str">
        <f t="shared" si="9"/>
        <v>96.692.66.699/80/apache-httpd-cve-2014-0226</v>
      </c>
      <c r="B605" s="41" t="s">
        <v>3018</v>
      </c>
      <c r="C605" s="41" t="s">
        <v>2817</v>
      </c>
      <c r="E605" s="39" t="s">
        <v>95</v>
      </c>
      <c r="H605" s="43" t="s">
        <v>256</v>
      </c>
      <c r="I605" s="39" t="s">
        <v>2574</v>
      </c>
      <c r="J605" s="39">
        <v>80</v>
      </c>
      <c r="K605" s="41" t="s">
        <v>275</v>
      </c>
      <c r="L605" s="41" t="s">
        <v>2578</v>
      </c>
      <c r="M605" s="9">
        <v>7</v>
      </c>
      <c r="N605" s="10" t="s">
        <v>2540</v>
      </c>
      <c r="O605" s="41" t="s">
        <v>2587</v>
      </c>
      <c r="P605" s="43" t="s">
        <v>2655</v>
      </c>
      <c r="Q605" s="43" t="s">
        <v>2656</v>
      </c>
      <c r="R605" s="43" t="s">
        <v>2649</v>
      </c>
      <c r="S605" s="43" t="s">
        <v>2629</v>
      </c>
      <c r="T605" s="43" t="s">
        <v>2633</v>
      </c>
      <c r="U605" s="43" t="s">
        <v>2657</v>
      </c>
      <c r="V605" s="43" t="s">
        <v>2787</v>
      </c>
      <c r="AB605" s="39">
        <v>10</v>
      </c>
      <c r="AE605" s="103" t="s">
        <v>2925</v>
      </c>
      <c r="AI605" s="72" t="s">
        <v>2818</v>
      </c>
      <c r="AJ605" s="42" t="s">
        <v>27</v>
      </c>
      <c r="AK605" s="8" t="e">
        <f>VLOOKUP(A605,'[1]Externe MAJ Nov'!$A:$H,8,0)</f>
        <v>#N/A</v>
      </c>
      <c r="AL605" s="29" t="e">
        <f>VLOOKUP(A605,'[1]Externe MAJ Nov'!$A:$G,7,0)</f>
        <v>#N/A</v>
      </c>
      <c r="AM605" s="29"/>
      <c r="AN605" s="39" t="s">
        <v>27</v>
      </c>
      <c r="AO605" s="58" t="s">
        <v>2834</v>
      </c>
      <c r="AP605" s="29" t="e">
        <f>VLOOKUP(A605,'[2]External Scan 02_21'!$B:$J,9,0)</f>
        <v>#N/A</v>
      </c>
      <c r="AR605" s="75" t="s">
        <v>487</v>
      </c>
      <c r="AS605" s="21" t="str">
        <f>VLOOKUP(AE605,'ref statu'!A:B,2,0)</f>
        <v>DTP intervention de l'éditeur nécessaire</v>
      </c>
      <c r="AT605" s="8" t="e">
        <f>VLOOKUP(A605,chk!A:B,2,0)</f>
        <v>#N/A</v>
      </c>
      <c r="AU605" s="29" t="e">
        <f>VLOOKUP(A605,checker!A:B,2,0)</f>
        <v>#N/A</v>
      </c>
      <c r="AV605" s="29" t="e">
        <f>VLOOKUP(A605,checker!B:C,2,0)</f>
        <v>#N/A</v>
      </c>
    </row>
    <row r="606" spans="1:48" x14ac:dyDescent="0.3">
      <c r="A606" s="29" t="str">
        <f t="shared" si="9"/>
        <v>96.692.66.699/443/apache-httpd-cve-2014-0226</v>
      </c>
      <c r="B606" s="41" t="s">
        <v>3018</v>
      </c>
      <c r="C606" s="41" t="s">
        <v>2817</v>
      </c>
      <c r="E606" s="39" t="s">
        <v>95</v>
      </c>
      <c r="H606" s="43" t="s">
        <v>256</v>
      </c>
      <c r="I606" s="39" t="s">
        <v>2574</v>
      </c>
      <c r="J606" s="39">
        <v>443</v>
      </c>
      <c r="K606" s="41" t="s">
        <v>290</v>
      </c>
      <c r="L606" s="41" t="s">
        <v>2578</v>
      </c>
      <c r="M606" s="9">
        <v>7</v>
      </c>
      <c r="N606" s="10" t="s">
        <v>2540</v>
      </c>
      <c r="O606" s="41" t="s">
        <v>2587</v>
      </c>
      <c r="P606" s="43" t="s">
        <v>2655</v>
      </c>
      <c r="Q606" s="43" t="s">
        <v>2656</v>
      </c>
      <c r="R606" s="43" t="s">
        <v>2649</v>
      </c>
      <c r="S606" s="43" t="s">
        <v>2626</v>
      </c>
      <c r="T606" s="43" t="s">
        <v>2633</v>
      </c>
      <c r="U606" s="43" t="s">
        <v>2657</v>
      </c>
      <c r="V606" s="43" t="s">
        <v>2787</v>
      </c>
      <c r="AB606" s="39">
        <v>10</v>
      </c>
      <c r="AE606" s="103" t="s">
        <v>28</v>
      </c>
      <c r="AG606" s="65" t="s">
        <v>2924</v>
      </c>
      <c r="AI606" s="72" t="s">
        <v>2818</v>
      </c>
      <c r="AJ606" s="42" t="s">
        <v>27</v>
      </c>
      <c r="AK606" s="8" t="e">
        <f>VLOOKUP(A606,'[1]Externe MAJ Nov'!$A:$H,8,0)</f>
        <v>#N/A</v>
      </c>
      <c r="AL606" s="29" t="e">
        <f>VLOOKUP(A606,'[1]Externe MAJ Nov'!$A:$G,7,0)</f>
        <v>#N/A</v>
      </c>
      <c r="AM606" s="29"/>
      <c r="AN606" s="39" t="s">
        <v>27</v>
      </c>
      <c r="AO606" s="58" t="s">
        <v>2835</v>
      </c>
      <c r="AP606" s="29" t="e">
        <f>VLOOKUP(A606,'[2]External Scan 02_21'!$B:$J,9,0)</f>
        <v>#N/A</v>
      </c>
      <c r="AR606" s="75" t="s">
        <v>487</v>
      </c>
      <c r="AS606" s="21" t="str">
        <f>VLOOKUP(AE606,'ref statu'!A:B,2,0)</f>
        <v>Fixed</v>
      </c>
      <c r="AT606" s="8" t="e">
        <f>VLOOKUP(A606,chk!A:B,2,0)</f>
        <v>#N/A</v>
      </c>
      <c r="AU606" s="29" t="e">
        <f>VLOOKUP(A606,checker!A:B,2,0)</f>
        <v>#N/A</v>
      </c>
      <c r="AV606" s="29" t="e">
        <f>VLOOKUP(A606,checker!B:C,2,0)</f>
        <v>#N/A</v>
      </c>
    </row>
    <row r="607" spans="1:48" x14ac:dyDescent="0.3">
      <c r="A607" s="29" t="str">
        <f t="shared" si="9"/>
        <v>96.692.66.699/22/ssh-cbc-ciphers</v>
      </c>
      <c r="B607" s="41" t="s">
        <v>3018</v>
      </c>
      <c r="C607" s="41" t="s">
        <v>2817</v>
      </c>
      <c r="E607" s="39" t="s">
        <v>95</v>
      </c>
      <c r="H607" s="43" t="s">
        <v>256</v>
      </c>
      <c r="I607" s="39" t="s">
        <v>2574</v>
      </c>
      <c r="J607" s="39">
        <v>22</v>
      </c>
      <c r="K607" s="41" t="s">
        <v>268</v>
      </c>
      <c r="L607" s="41" t="s">
        <v>269</v>
      </c>
      <c r="M607" s="9">
        <v>3</v>
      </c>
      <c r="N607" s="9" t="s">
        <v>42</v>
      </c>
      <c r="O607" s="41" t="s">
        <v>55</v>
      </c>
      <c r="P607" s="43" t="s">
        <v>56</v>
      </c>
      <c r="Q607" s="43" t="s">
        <v>57</v>
      </c>
      <c r="R607" s="43" t="s">
        <v>58</v>
      </c>
      <c r="S607" s="43" t="s">
        <v>271</v>
      </c>
      <c r="T607" s="43" t="s">
        <v>59</v>
      </c>
      <c r="U607" s="43" t="s">
        <v>31</v>
      </c>
      <c r="V607" s="43" t="s">
        <v>31</v>
      </c>
      <c r="AB607" s="39">
        <v>10</v>
      </c>
      <c r="AE607" s="103" t="s">
        <v>28</v>
      </c>
      <c r="AG607" s="65" t="s">
        <v>2924</v>
      </c>
      <c r="AI607" s="72" t="s">
        <v>2818</v>
      </c>
      <c r="AJ607" s="42" t="s">
        <v>27</v>
      </c>
      <c r="AK607" s="8" t="e">
        <f>VLOOKUP(A607,'[1]Externe MAJ Nov'!$A:$H,8,0)</f>
        <v>#N/A</v>
      </c>
      <c r="AL607" s="29" t="e">
        <f>VLOOKUP(A607,'[1]Externe MAJ Nov'!$A:$G,7,0)</f>
        <v>#N/A</v>
      </c>
      <c r="AM607" s="29"/>
      <c r="AN607" s="39" t="s">
        <v>27</v>
      </c>
      <c r="AO607" s="58" t="s">
        <v>2836</v>
      </c>
      <c r="AP607" s="29" t="e">
        <f>VLOOKUP(A607,'[2]External Scan 02_21'!$B:$J,9,0)</f>
        <v>#N/A</v>
      </c>
      <c r="AR607" s="75" t="s">
        <v>487</v>
      </c>
      <c r="AS607" s="21" t="str">
        <f>VLOOKUP(AE607,'ref statu'!A:B,2,0)</f>
        <v>Fixed</v>
      </c>
      <c r="AT607" s="8" t="e">
        <f>VLOOKUP(A607,chk!A:B,2,0)</f>
        <v>#N/A</v>
      </c>
      <c r="AU607" s="29" t="e">
        <f>VLOOKUP(A607,checker!A:B,2,0)</f>
        <v>#N/A</v>
      </c>
      <c r="AV607" s="29" t="e">
        <f>VLOOKUP(A607,checker!B:C,2,0)</f>
        <v>#N/A</v>
      </c>
    </row>
    <row r="608" spans="1:48" x14ac:dyDescent="0.3">
      <c r="A608" s="29" t="str">
        <f t="shared" si="9"/>
        <v>96.692.66.699/443/apache-httpd-obsolete</v>
      </c>
      <c r="B608" s="41" t="s">
        <v>3018</v>
      </c>
      <c r="C608" s="41" t="s">
        <v>2817</v>
      </c>
      <c r="E608" s="39" t="s">
        <v>95</v>
      </c>
      <c r="H608" s="43" t="s">
        <v>256</v>
      </c>
      <c r="I608" s="39" t="s">
        <v>2574</v>
      </c>
      <c r="J608" s="39">
        <v>443</v>
      </c>
      <c r="K608" s="41" t="s">
        <v>290</v>
      </c>
      <c r="L608" s="41" t="s">
        <v>2578</v>
      </c>
      <c r="M608" s="9">
        <v>10</v>
      </c>
      <c r="N608" s="10" t="s">
        <v>164</v>
      </c>
      <c r="O608" s="41" t="s">
        <v>2588</v>
      </c>
      <c r="P608" s="43" t="s">
        <v>2658</v>
      </c>
      <c r="Q608" s="43" t="s">
        <v>2659</v>
      </c>
      <c r="R608" s="43" t="s">
        <v>2660</v>
      </c>
      <c r="S608" s="43" t="s">
        <v>2626</v>
      </c>
      <c r="T608" s="43" t="s">
        <v>2661</v>
      </c>
      <c r="U608" s="43" t="s">
        <v>31</v>
      </c>
      <c r="V608" s="43" t="s">
        <v>31</v>
      </c>
      <c r="AB608" s="39">
        <v>10</v>
      </c>
      <c r="AE608" s="103" t="s">
        <v>28</v>
      </c>
      <c r="AG608" s="65" t="s">
        <v>2924</v>
      </c>
      <c r="AI608" s="72" t="s">
        <v>2818</v>
      </c>
      <c r="AJ608" s="42" t="s">
        <v>27</v>
      </c>
      <c r="AK608" s="8" t="e">
        <f>VLOOKUP(A608,'[1]Externe MAJ Nov'!$A:$H,8,0)</f>
        <v>#N/A</v>
      </c>
      <c r="AL608" s="29" t="e">
        <f>VLOOKUP(A608,'[1]Externe MAJ Nov'!$A:$G,7,0)</f>
        <v>#N/A</v>
      </c>
      <c r="AM608" s="29"/>
      <c r="AN608" s="39" t="s">
        <v>27</v>
      </c>
      <c r="AO608" s="58" t="s">
        <v>2837</v>
      </c>
      <c r="AP608" s="29" t="e">
        <f>VLOOKUP(A608,'[2]External Scan 02_21'!$B:$J,9,0)</f>
        <v>#N/A</v>
      </c>
      <c r="AR608" s="75" t="s">
        <v>487</v>
      </c>
      <c r="AS608" s="21" t="str">
        <f>VLOOKUP(AE608,'ref statu'!A:B,2,0)</f>
        <v>Fixed</v>
      </c>
      <c r="AT608" s="8" t="e">
        <f>VLOOKUP(A608,chk!A:B,2,0)</f>
        <v>#N/A</v>
      </c>
      <c r="AU608" s="29" t="e">
        <f>VLOOKUP(A608,checker!A:B,2,0)</f>
        <v>#N/A</v>
      </c>
      <c r="AV608" s="29" t="e">
        <f>VLOOKUP(A608,checker!B:C,2,0)</f>
        <v>#N/A</v>
      </c>
    </row>
    <row r="609" spans="1:48" x14ac:dyDescent="0.3">
      <c r="A609" s="29" t="str">
        <f t="shared" si="9"/>
        <v>96.692.66.699/80/apache-httpd-obsolete</v>
      </c>
      <c r="B609" s="41" t="s">
        <v>3018</v>
      </c>
      <c r="C609" s="41" t="s">
        <v>2817</v>
      </c>
      <c r="E609" s="39" t="s">
        <v>95</v>
      </c>
      <c r="H609" s="43" t="s">
        <v>256</v>
      </c>
      <c r="I609" s="39" t="s">
        <v>2574</v>
      </c>
      <c r="J609" s="39">
        <v>80</v>
      </c>
      <c r="K609" s="41" t="s">
        <v>275</v>
      </c>
      <c r="L609" s="41" t="s">
        <v>2578</v>
      </c>
      <c r="M609" s="9">
        <v>10</v>
      </c>
      <c r="N609" s="10" t="s">
        <v>164</v>
      </c>
      <c r="O609" s="41" t="s">
        <v>2588</v>
      </c>
      <c r="P609" s="43" t="s">
        <v>2658</v>
      </c>
      <c r="Q609" s="43" t="s">
        <v>2659</v>
      </c>
      <c r="R609" s="43" t="s">
        <v>2660</v>
      </c>
      <c r="S609" s="43" t="s">
        <v>2629</v>
      </c>
      <c r="T609" s="43" t="s">
        <v>2661</v>
      </c>
      <c r="U609" s="43" t="s">
        <v>31</v>
      </c>
      <c r="V609" s="43" t="s">
        <v>31</v>
      </c>
      <c r="AB609" s="39">
        <v>10</v>
      </c>
      <c r="AE609" s="103" t="s">
        <v>2925</v>
      </c>
      <c r="AI609" s="72" t="s">
        <v>2818</v>
      </c>
      <c r="AJ609" s="42" t="s">
        <v>27</v>
      </c>
      <c r="AK609" s="8" t="e">
        <f>VLOOKUP(A609,'[1]Externe MAJ Nov'!$A:$H,8,0)</f>
        <v>#N/A</v>
      </c>
      <c r="AL609" s="29" t="e">
        <f>VLOOKUP(A609,'[1]Externe MAJ Nov'!$A:$G,7,0)</f>
        <v>#N/A</v>
      </c>
      <c r="AM609" s="29"/>
      <c r="AN609" s="39" t="s">
        <v>27</v>
      </c>
      <c r="AO609" s="58" t="s">
        <v>2838</v>
      </c>
      <c r="AP609" s="29" t="e">
        <f>VLOOKUP(A609,'[2]External Scan 02_21'!$B:$J,9,0)</f>
        <v>#N/A</v>
      </c>
      <c r="AR609" s="75" t="s">
        <v>487</v>
      </c>
      <c r="AS609" s="21" t="str">
        <f>VLOOKUP(AE609,'ref statu'!A:B,2,0)</f>
        <v>DTP intervention de l'éditeur nécessaire</v>
      </c>
      <c r="AT609" s="8" t="e">
        <f>VLOOKUP(A609,chk!A:B,2,0)</f>
        <v>#N/A</v>
      </c>
      <c r="AU609" s="29" t="e">
        <f>VLOOKUP(A609,checker!A:B,2,0)</f>
        <v>#N/A</v>
      </c>
      <c r="AV609" s="29" t="e">
        <f>VLOOKUP(A609,checker!B:C,2,0)</f>
        <v>#N/A</v>
      </c>
    </row>
    <row r="610" spans="1:48" x14ac:dyDescent="0.3">
      <c r="A610" s="29" t="str">
        <f t="shared" si="9"/>
        <v>96.692.66.699/443/tlsv1_0-enabled</v>
      </c>
      <c r="B610" s="41" t="s">
        <v>3018</v>
      </c>
      <c r="C610" s="41" t="s">
        <v>2817</v>
      </c>
      <c r="E610" s="39" t="s">
        <v>95</v>
      </c>
      <c r="H610" s="43" t="s">
        <v>256</v>
      </c>
      <c r="I610" s="39" t="s">
        <v>2574</v>
      </c>
      <c r="J610" s="39">
        <v>443</v>
      </c>
      <c r="K610" s="41" t="s">
        <v>290</v>
      </c>
      <c r="L610" s="41" t="s">
        <v>2578</v>
      </c>
      <c r="M610" s="9">
        <v>4</v>
      </c>
      <c r="N610" s="9" t="s">
        <v>29</v>
      </c>
      <c r="O610" s="41" t="s">
        <v>136</v>
      </c>
      <c r="P610" s="43" t="s">
        <v>137</v>
      </c>
      <c r="Q610" s="43" t="s">
        <v>138</v>
      </c>
      <c r="R610" s="43" t="s">
        <v>139</v>
      </c>
      <c r="S610" s="43" t="s">
        <v>140</v>
      </c>
      <c r="T610" s="43" t="s">
        <v>141</v>
      </c>
      <c r="U610" s="43" t="s">
        <v>31</v>
      </c>
      <c r="V610" s="43" t="s">
        <v>31</v>
      </c>
      <c r="AB610" s="39">
        <v>10</v>
      </c>
      <c r="AE610" s="103" t="s">
        <v>28</v>
      </c>
      <c r="AG610" s="65" t="s">
        <v>2924</v>
      </c>
      <c r="AI610" s="72" t="s">
        <v>2818</v>
      </c>
      <c r="AJ610" s="42" t="s">
        <v>27</v>
      </c>
      <c r="AK610" s="8" t="e">
        <f>VLOOKUP(A610,'[1]Externe MAJ Nov'!$A:$H,8,0)</f>
        <v>#N/A</v>
      </c>
      <c r="AL610" s="29" t="e">
        <f>VLOOKUP(A610,'[1]Externe MAJ Nov'!$A:$G,7,0)</f>
        <v>#N/A</v>
      </c>
      <c r="AM610" s="29"/>
      <c r="AN610" s="39" t="s">
        <v>27</v>
      </c>
      <c r="AO610" s="58" t="s">
        <v>2839</v>
      </c>
      <c r="AP610" s="29" t="e">
        <f>VLOOKUP(A610,'[2]External Scan 02_21'!$B:$J,9,0)</f>
        <v>#N/A</v>
      </c>
      <c r="AR610" s="75" t="s">
        <v>487</v>
      </c>
      <c r="AS610" s="21" t="str">
        <f>VLOOKUP(AE610,'ref statu'!A:B,2,0)</f>
        <v>Fixed</v>
      </c>
      <c r="AT610" s="8" t="e">
        <f>VLOOKUP(A610,chk!A:B,2,0)</f>
        <v>#N/A</v>
      </c>
      <c r="AU610" s="29" t="e">
        <f>VLOOKUP(A610,checker!A:B,2,0)</f>
        <v>#N/A</v>
      </c>
      <c r="AV610" s="29" t="e">
        <f>VLOOKUP(A610,checker!B:C,2,0)</f>
        <v>#N/A</v>
      </c>
    </row>
    <row r="611" spans="1:48" x14ac:dyDescent="0.3">
      <c r="A611" s="29" t="str">
        <f t="shared" si="9"/>
        <v>96.692.66.699/444/tlsv1_0-enabled</v>
      </c>
      <c r="B611" s="41" t="s">
        <v>3018</v>
      </c>
      <c r="C611" s="41" t="s">
        <v>2817</v>
      </c>
      <c r="E611" s="39" t="s">
        <v>95</v>
      </c>
      <c r="H611" s="43" t="s">
        <v>256</v>
      </c>
      <c r="I611" s="39" t="s">
        <v>2574</v>
      </c>
      <c r="J611" s="39">
        <v>444</v>
      </c>
      <c r="K611" s="41" t="s">
        <v>2576</v>
      </c>
      <c r="L611" s="41" t="s">
        <v>31</v>
      </c>
      <c r="M611" s="9">
        <v>4</v>
      </c>
      <c r="N611" s="9" t="s">
        <v>29</v>
      </c>
      <c r="O611" s="41" t="s">
        <v>136</v>
      </c>
      <c r="P611" s="43" t="s">
        <v>137</v>
      </c>
      <c r="Q611" s="43" t="s">
        <v>138</v>
      </c>
      <c r="R611" s="43" t="s">
        <v>139</v>
      </c>
      <c r="S611" s="43" t="s">
        <v>140</v>
      </c>
      <c r="T611" s="43" t="s">
        <v>141</v>
      </c>
      <c r="U611" s="43" t="s">
        <v>31</v>
      </c>
      <c r="V611" s="43" t="s">
        <v>31</v>
      </c>
      <c r="AB611" s="39">
        <v>10</v>
      </c>
      <c r="AE611" s="103" t="s">
        <v>28</v>
      </c>
      <c r="AG611" s="65" t="s">
        <v>2924</v>
      </c>
      <c r="AI611" s="72" t="s">
        <v>2818</v>
      </c>
      <c r="AJ611" s="42" t="s">
        <v>27</v>
      </c>
      <c r="AK611" s="8" t="e">
        <f>VLOOKUP(A611,'[1]Externe MAJ Nov'!$A:$H,8,0)</f>
        <v>#N/A</v>
      </c>
      <c r="AL611" s="29" t="e">
        <f>VLOOKUP(A611,'[1]Externe MAJ Nov'!$A:$G,7,0)</f>
        <v>#N/A</v>
      </c>
      <c r="AM611" s="29"/>
      <c r="AN611" s="39" t="s">
        <v>27</v>
      </c>
      <c r="AO611" s="58" t="s">
        <v>2840</v>
      </c>
      <c r="AP611" s="29" t="e">
        <f>VLOOKUP(A611,'[2]External Scan 02_21'!$B:$J,9,0)</f>
        <v>#N/A</v>
      </c>
      <c r="AR611" s="75" t="s">
        <v>487</v>
      </c>
      <c r="AS611" s="21" t="str">
        <f>VLOOKUP(AE611,'ref statu'!A:B,2,0)</f>
        <v>Fixed</v>
      </c>
      <c r="AT611" s="8" t="e">
        <f>VLOOKUP(A611,chk!A:B,2,0)</f>
        <v>#N/A</v>
      </c>
      <c r="AU611" s="29" t="e">
        <f>VLOOKUP(A611,checker!A:B,2,0)</f>
        <v>#N/A</v>
      </c>
      <c r="AV611" s="29" t="e">
        <f>VLOOKUP(A611,checker!B:C,2,0)</f>
        <v>#N/A</v>
      </c>
    </row>
    <row r="612" spans="1:48" x14ac:dyDescent="0.3">
      <c r="A612" s="29" t="str">
        <f t="shared" si="9"/>
        <v>96.692.66.699/443/apache-httpd-cve-2013-5704</v>
      </c>
      <c r="B612" s="41" t="s">
        <v>3018</v>
      </c>
      <c r="C612" s="41" t="s">
        <v>2817</v>
      </c>
      <c r="E612" s="39" t="s">
        <v>95</v>
      </c>
      <c r="H612" s="43" t="s">
        <v>256</v>
      </c>
      <c r="I612" s="39" t="s">
        <v>2574</v>
      </c>
      <c r="J612" s="39">
        <v>443</v>
      </c>
      <c r="K612" s="41" t="s">
        <v>290</v>
      </c>
      <c r="L612" s="41" t="s">
        <v>2578</v>
      </c>
      <c r="M612" s="9">
        <v>5</v>
      </c>
      <c r="N612" s="9" t="s">
        <v>29</v>
      </c>
      <c r="O612" s="41" t="s">
        <v>2589</v>
      </c>
      <c r="P612" s="43" t="s">
        <v>2662</v>
      </c>
      <c r="Q612" s="43" t="s">
        <v>2663</v>
      </c>
      <c r="R612" s="43" t="s">
        <v>2664</v>
      </c>
      <c r="S612" s="43" t="s">
        <v>2626</v>
      </c>
      <c r="T612" s="43" t="s">
        <v>2633</v>
      </c>
      <c r="U612" s="43" t="s">
        <v>2665</v>
      </c>
      <c r="V612" s="43" t="s">
        <v>2788</v>
      </c>
      <c r="AB612" s="39">
        <v>10</v>
      </c>
      <c r="AE612" s="103" t="s">
        <v>28</v>
      </c>
      <c r="AG612" s="65" t="s">
        <v>2924</v>
      </c>
      <c r="AI612" s="72" t="s">
        <v>2818</v>
      </c>
      <c r="AJ612" s="42" t="s">
        <v>27</v>
      </c>
      <c r="AK612" s="8" t="e">
        <f>VLOOKUP(A612,'[1]Externe MAJ Nov'!$A:$H,8,0)</f>
        <v>#N/A</v>
      </c>
      <c r="AL612" s="29" t="e">
        <f>VLOOKUP(A612,'[1]Externe MAJ Nov'!$A:$G,7,0)</f>
        <v>#N/A</v>
      </c>
      <c r="AM612" s="29"/>
      <c r="AN612" s="39" t="s">
        <v>27</v>
      </c>
      <c r="AO612" s="58" t="s">
        <v>2841</v>
      </c>
      <c r="AP612" s="29" t="e">
        <f>VLOOKUP(A612,'[2]External Scan 02_21'!$B:$J,9,0)</f>
        <v>#N/A</v>
      </c>
      <c r="AR612" s="75" t="s">
        <v>487</v>
      </c>
      <c r="AS612" s="21" t="str">
        <f>VLOOKUP(AE612,'ref statu'!A:B,2,0)</f>
        <v>Fixed</v>
      </c>
      <c r="AT612" s="8" t="e">
        <f>VLOOKUP(A612,chk!A:B,2,0)</f>
        <v>#N/A</v>
      </c>
      <c r="AU612" s="29" t="e">
        <f>VLOOKUP(A612,checker!A:B,2,0)</f>
        <v>#N/A</v>
      </c>
      <c r="AV612" s="29" t="e">
        <f>VLOOKUP(A612,checker!B:C,2,0)</f>
        <v>#N/A</v>
      </c>
    </row>
    <row r="613" spans="1:48" x14ac:dyDescent="0.3">
      <c r="A613" s="29" t="str">
        <f t="shared" si="9"/>
        <v>96.692.66.699/80/apache-httpd-cve-2013-5704</v>
      </c>
      <c r="B613" s="41" t="s">
        <v>3018</v>
      </c>
      <c r="C613" s="41" t="s">
        <v>2817</v>
      </c>
      <c r="E613" s="39" t="s">
        <v>95</v>
      </c>
      <c r="H613" s="43" t="s">
        <v>256</v>
      </c>
      <c r="I613" s="39" t="s">
        <v>2574</v>
      </c>
      <c r="J613" s="39">
        <v>80</v>
      </c>
      <c r="K613" s="41" t="s">
        <v>275</v>
      </c>
      <c r="L613" s="41" t="s">
        <v>2578</v>
      </c>
      <c r="M613" s="9">
        <v>5</v>
      </c>
      <c r="N613" s="9" t="s">
        <v>29</v>
      </c>
      <c r="O613" s="41" t="s">
        <v>2589</v>
      </c>
      <c r="P613" s="43" t="s">
        <v>2662</v>
      </c>
      <c r="Q613" s="43" t="s">
        <v>2663</v>
      </c>
      <c r="R613" s="43" t="s">
        <v>2664</v>
      </c>
      <c r="S613" s="43" t="s">
        <v>2629</v>
      </c>
      <c r="T613" s="43" t="s">
        <v>2633</v>
      </c>
      <c r="U613" s="43" t="s">
        <v>2665</v>
      </c>
      <c r="V613" s="43" t="s">
        <v>2788</v>
      </c>
      <c r="AB613" s="39">
        <v>10</v>
      </c>
      <c r="AE613" s="103" t="s">
        <v>2925</v>
      </c>
      <c r="AI613" s="72" t="s">
        <v>2818</v>
      </c>
      <c r="AJ613" s="42" t="s">
        <v>27</v>
      </c>
      <c r="AK613" s="8" t="e">
        <f>VLOOKUP(A613,'[1]Externe MAJ Nov'!$A:$H,8,0)</f>
        <v>#N/A</v>
      </c>
      <c r="AL613" s="29" t="e">
        <f>VLOOKUP(A613,'[1]Externe MAJ Nov'!$A:$G,7,0)</f>
        <v>#N/A</v>
      </c>
      <c r="AM613" s="29"/>
      <c r="AN613" s="39" t="s">
        <v>27</v>
      </c>
      <c r="AO613" s="58" t="s">
        <v>2842</v>
      </c>
      <c r="AP613" s="29" t="e">
        <f>VLOOKUP(A613,'[2]External Scan 02_21'!$B:$J,9,0)</f>
        <v>#N/A</v>
      </c>
      <c r="AR613" s="75" t="s">
        <v>487</v>
      </c>
      <c r="AS613" s="21" t="str">
        <f>VLOOKUP(AE613,'ref statu'!A:B,2,0)</f>
        <v>DTP intervention de l'éditeur nécessaire</v>
      </c>
      <c r="AT613" s="8" t="e">
        <f>VLOOKUP(A613,chk!A:B,2,0)</f>
        <v>#N/A</v>
      </c>
      <c r="AU613" s="29" t="e">
        <f>VLOOKUP(A613,checker!A:B,2,0)</f>
        <v>#N/A</v>
      </c>
      <c r="AV613" s="29" t="e">
        <f>VLOOKUP(A613,checker!B:C,2,0)</f>
        <v>#N/A</v>
      </c>
    </row>
    <row r="614" spans="1:48" x14ac:dyDescent="0.3">
      <c r="A614" s="29" t="str">
        <f t="shared" si="9"/>
        <v>96.692.66.699/443/apache-httpd-cve-2013-6438</v>
      </c>
      <c r="B614" s="41" t="s">
        <v>3018</v>
      </c>
      <c r="C614" s="41" t="s">
        <v>2817</v>
      </c>
      <c r="E614" s="39" t="s">
        <v>95</v>
      </c>
      <c r="H614" s="43" t="s">
        <v>256</v>
      </c>
      <c r="I614" s="39" t="s">
        <v>2574</v>
      </c>
      <c r="J614" s="39">
        <v>443</v>
      </c>
      <c r="K614" s="41" t="s">
        <v>290</v>
      </c>
      <c r="L614" s="41" t="s">
        <v>2578</v>
      </c>
      <c r="M614" s="9">
        <v>5</v>
      </c>
      <c r="N614" s="9" t="s">
        <v>29</v>
      </c>
      <c r="O614" s="41" t="s">
        <v>2590</v>
      </c>
      <c r="P614" s="43" t="s">
        <v>2666</v>
      </c>
      <c r="Q614" s="43" t="s">
        <v>2667</v>
      </c>
      <c r="R614" s="43" t="s">
        <v>2641</v>
      </c>
      <c r="S614" s="43" t="s">
        <v>2626</v>
      </c>
      <c r="T614" s="43" t="s">
        <v>2633</v>
      </c>
      <c r="U614" s="43" t="s">
        <v>2668</v>
      </c>
      <c r="V614" s="43" t="s">
        <v>2789</v>
      </c>
      <c r="AB614" s="39">
        <v>10</v>
      </c>
      <c r="AE614" s="103" t="s">
        <v>28</v>
      </c>
      <c r="AG614" s="65" t="s">
        <v>2924</v>
      </c>
      <c r="AI614" s="72" t="s">
        <v>2818</v>
      </c>
      <c r="AJ614" s="42" t="s">
        <v>27</v>
      </c>
      <c r="AK614" s="8" t="e">
        <f>VLOOKUP(A614,'[1]Externe MAJ Nov'!$A:$H,8,0)</f>
        <v>#N/A</v>
      </c>
      <c r="AL614" s="29" t="e">
        <f>VLOOKUP(A614,'[1]Externe MAJ Nov'!$A:$G,7,0)</f>
        <v>#N/A</v>
      </c>
      <c r="AM614" s="29"/>
      <c r="AN614" s="39" t="s">
        <v>27</v>
      </c>
      <c r="AO614" s="58" t="s">
        <v>2843</v>
      </c>
      <c r="AP614" s="29" t="e">
        <f>VLOOKUP(A614,'[2]External Scan 02_21'!$B:$J,9,0)</f>
        <v>#N/A</v>
      </c>
      <c r="AR614" s="75" t="s">
        <v>487</v>
      </c>
      <c r="AS614" s="21" t="str">
        <f>VLOOKUP(AE614,'ref statu'!A:B,2,0)</f>
        <v>Fixed</v>
      </c>
      <c r="AT614" s="8" t="e">
        <f>VLOOKUP(A614,chk!A:B,2,0)</f>
        <v>#N/A</v>
      </c>
      <c r="AU614" s="29" t="e">
        <f>VLOOKUP(A614,checker!A:B,2,0)</f>
        <v>#N/A</v>
      </c>
      <c r="AV614" s="29" t="e">
        <f>VLOOKUP(A614,checker!B:C,2,0)</f>
        <v>#N/A</v>
      </c>
    </row>
    <row r="615" spans="1:48" x14ac:dyDescent="0.3">
      <c r="A615" s="29" t="str">
        <f t="shared" si="9"/>
        <v>96.692.66.699/80/apache-httpd-cve-2013-6438</v>
      </c>
      <c r="B615" s="41" t="s">
        <v>3018</v>
      </c>
      <c r="C615" s="41" t="s">
        <v>2817</v>
      </c>
      <c r="E615" s="39" t="s">
        <v>95</v>
      </c>
      <c r="H615" s="43" t="s">
        <v>256</v>
      </c>
      <c r="I615" s="39" t="s">
        <v>2574</v>
      </c>
      <c r="J615" s="39">
        <v>80</v>
      </c>
      <c r="K615" s="41" t="s">
        <v>275</v>
      </c>
      <c r="L615" s="41" t="s">
        <v>2578</v>
      </c>
      <c r="M615" s="9">
        <v>5</v>
      </c>
      <c r="N615" s="9" t="s">
        <v>29</v>
      </c>
      <c r="O615" s="41" t="s">
        <v>2590</v>
      </c>
      <c r="P615" s="43" t="s">
        <v>2666</v>
      </c>
      <c r="Q615" s="43" t="s">
        <v>2667</v>
      </c>
      <c r="R615" s="43" t="s">
        <v>2641</v>
      </c>
      <c r="S615" s="43" t="s">
        <v>2629</v>
      </c>
      <c r="T615" s="43" t="s">
        <v>2633</v>
      </c>
      <c r="U615" s="43" t="s">
        <v>2668</v>
      </c>
      <c r="V615" s="43" t="s">
        <v>2789</v>
      </c>
      <c r="AB615" s="39">
        <v>10</v>
      </c>
      <c r="AE615" s="103" t="s">
        <v>2925</v>
      </c>
      <c r="AI615" s="72" t="s">
        <v>2818</v>
      </c>
      <c r="AJ615" s="42" t="s">
        <v>27</v>
      </c>
      <c r="AK615" s="8" t="e">
        <f>VLOOKUP(A615,'[1]Externe MAJ Nov'!$A:$H,8,0)</f>
        <v>#N/A</v>
      </c>
      <c r="AL615" s="29" t="e">
        <f>VLOOKUP(A615,'[1]Externe MAJ Nov'!$A:$G,7,0)</f>
        <v>#N/A</v>
      </c>
      <c r="AM615" s="29"/>
      <c r="AN615" s="39" t="s">
        <v>27</v>
      </c>
      <c r="AO615" s="58" t="s">
        <v>2844</v>
      </c>
      <c r="AP615" s="29" t="e">
        <f>VLOOKUP(A615,'[2]External Scan 02_21'!$B:$J,9,0)</f>
        <v>#N/A</v>
      </c>
      <c r="AR615" s="75" t="s">
        <v>487</v>
      </c>
      <c r="AS615" s="21" t="str">
        <f>VLOOKUP(AE615,'ref statu'!A:B,2,0)</f>
        <v>DTP intervention de l'éditeur nécessaire</v>
      </c>
      <c r="AT615" s="8" t="e">
        <f>VLOOKUP(A615,chk!A:B,2,0)</f>
        <v>#N/A</v>
      </c>
      <c r="AU615" s="29" t="e">
        <f>VLOOKUP(A615,checker!A:B,2,0)</f>
        <v>#N/A</v>
      </c>
      <c r="AV615" s="29" t="e">
        <f>VLOOKUP(A615,checker!B:C,2,0)</f>
        <v>#N/A</v>
      </c>
    </row>
    <row r="616" spans="1:48" x14ac:dyDescent="0.3">
      <c r="A616" s="29" t="str">
        <f t="shared" si="9"/>
        <v>96.692.66.699/80/apache-httpd-cve-2015-3183</v>
      </c>
      <c r="B616" s="41" t="s">
        <v>3018</v>
      </c>
      <c r="C616" s="41" t="s">
        <v>2817</v>
      </c>
      <c r="E616" s="39" t="s">
        <v>95</v>
      </c>
      <c r="H616" s="43" t="s">
        <v>256</v>
      </c>
      <c r="I616" s="39" t="s">
        <v>2574</v>
      </c>
      <c r="J616" s="39">
        <v>80</v>
      </c>
      <c r="K616" s="41" t="s">
        <v>275</v>
      </c>
      <c r="L616" s="41" t="s">
        <v>2578</v>
      </c>
      <c r="M616" s="9">
        <v>5</v>
      </c>
      <c r="N616" s="9" t="s">
        <v>29</v>
      </c>
      <c r="O616" s="41" t="s">
        <v>2591</v>
      </c>
      <c r="P616" s="43" t="s">
        <v>2669</v>
      </c>
      <c r="Q616" s="43" t="s">
        <v>2670</v>
      </c>
      <c r="R616" s="43" t="s">
        <v>2671</v>
      </c>
      <c r="S616" s="43" t="s">
        <v>2629</v>
      </c>
      <c r="T616" s="43" t="s">
        <v>2633</v>
      </c>
      <c r="U616" s="43" t="s">
        <v>2672</v>
      </c>
      <c r="V616" s="43" t="s">
        <v>2790</v>
      </c>
      <c r="AB616" s="39">
        <v>10</v>
      </c>
      <c r="AE616" s="103" t="s">
        <v>2925</v>
      </c>
      <c r="AI616" s="72" t="s">
        <v>2818</v>
      </c>
      <c r="AJ616" s="42" t="s">
        <v>27</v>
      </c>
      <c r="AK616" s="8" t="e">
        <f>VLOOKUP(A616,'[1]Externe MAJ Nov'!$A:$H,8,0)</f>
        <v>#N/A</v>
      </c>
      <c r="AL616" s="29" t="e">
        <f>VLOOKUP(A616,'[1]Externe MAJ Nov'!$A:$G,7,0)</f>
        <v>#N/A</v>
      </c>
      <c r="AM616" s="29"/>
      <c r="AN616" s="39" t="s">
        <v>27</v>
      </c>
      <c r="AO616" s="58" t="s">
        <v>2845</v>
      </c>
      <c r="AP616" s="29" t="e">
        <f>VLOOKUP(A616,'[2]External Scan 02_21'!$B:$J,9,0)</f>
        <v>#N/A</v>
      </c>
      <c r="AR616" s="75" t="s">
        <v>487</v>
      </c>
      <c r="AS616" s="21" t="str">
        <f>VLOOKUP(AE616,'ref statu'!A:B,2,0)</f>
        <v>DTP intervention de l'éditeur nécessaire</v>
      </c>
      <c r="AT616" s="8" t="e">
        <f>VLOOKUP(A616,chk!A:B,2,0)</f>
        <v>#N/A</v>
      </c>
      <c r="AU616" s="29" t="e">
        <f>VLOOKUP(A616,checker!A:B,2,0)</f>
        <v>#N/A</v>
      </c>
      <c r="AV616" s="29" t="e">
        <f>VLOOKUP(A616,checker!B:C,2,0)</f>
        <v>#N/A</v>
      </c>
    </row>
    <row r="617" spans="1:48" x14ac:dyDescent="0.3">
      <c r="A617" s="29" t="str">
        <f t="shared" si="9"/>
        <v>96.692.66.699/443/apache-httpd-cve-2015-3183</v>
      </c>
      <c r="B617" s="41" t="s">
        <v>3018</v>
      </c>
      <c r="C617" s="41" t="s">
        <v>2817</v>
      </c>
      <c r="E617" s="39" t="s">
        <v>95</v>
      </c>
      <c r="H617" s="43" t="s">
        <v>256</v>
      </c>
      <c r="I617" s="39" t="s">
        <v>2574</v>
      </c>
      <c r="J617" s="39">
        <v>443</v>
      </c>
      <c r="K617" s="41" t="s">
        <v>290</v>
      </c>
      <c r="L617" s="41" t="s">
        <v>2578</v>
      </c>
      <c r="M617" s="9">
        <v>5</v>
      </c>
      <c r="N617" s="9" t="s">
        <v>29</v>
      </c>
      <c r="O617" s="41" t="s">
        <v>2591</v>
      </c>
      <c r="P617" s="43" t="s">
        <v>2669</v>
      </c>
      <c r="Q617" s="43" t="s">
        <v>2670</v>
      </c>
      <c r="R617" s="43" t="s">
        <v>2671</v>
      </c>
      <c r="S617" s="43" t="s">
        <v>2626</v>
      </c>
      <c r="T617" s="43" t="s">
        <v>2633</v>
      </c>
      <c r="U617" s="43" t="s">
        <v>2672</v>
      </c>
      <c r="V617" s="43" t="s">
        <v>2790</v>
      </c>
      <c r="AB617" s="39">
        <v>10</v>
      </c>
      <c r="AE617" s="103" t="s">
        <v>28</v>
      </c>
      <c r="AG617" s="65" t="s">
        <v>2924</v>
      </c>
      <c r="AI617" s="72" t="s">
        <v>2818</v>
      </c>
      <c r="AJ617" s="42" t="s">
        <v>27</v>
      </c>
      <c r="AK617" s="8" t="e">
        <f>VLOOKUP(A617,'[1]Externe MAJ Nov'!$A:$H,8,0)</f>
        <v>#N/A</v>
      </c>
      <c r="AL617" s="29" t="e">
        <f>VLOOKUP(A617,'[1]Externe MAJ Nov'!$A:$G,7,0)</f>
        <v>#N/A</v>
      </c>
      <c r="AM617" s="29"/>
      <c r="AN617" s="39" t="s">
        <v>27</v>
      </c>
      <c r="AO617" s="58" t="s">
        <v>2846</v>
      </c>
      <c r="AP617" s="29" t="e">
        <f>VLOOKUP(A617,'[2]External Scan 02_21'!$B:$J,9,0)</f>
        <v>#N/A</v>
      </c>
      <c r="AR617" s="75" t="s">
        <v>487</v>
      </c>
      <c r="AS617" s="21" t="str">
        <f>VLOOKUP(AE617,'ref statu'!A:B,2,0)</f>
        <v>Fixed</v>
      </c>
      <c r="AT617" s="8" t="e">
        <f>VLOOKUP(A617,chk!A:B,2,0)</f>
        <v>#N/A</v>
      </c>
      <c r="AU617" s="29" t="e">
        <f>VLOOKUP(A617,checker!A:B,2,0)</f>
        <v>#N/A</v>
      </c>
      <c r="AV617" s="29" t="e">
        <f>VLOOKUP(A617,checker!B:C,2,0)</f>
        <v>#N/A</v>
      </c>
    </row>
    <row r="618" spans="1:48" x14ac:dyDescent="0.3">
      <c r="A618" s="29" t="str">
        <f t="shared" si="9"/>
        <v>96.692.66.699/22/ssh-weak-kex-algorithms</v>
      </c>
      <c r="B618" s="41" t="s">
        <v>3018</v>
      </c>
      <c r="C618" s="41" t="s">
        <v>2817</v>
      </c>
      <c r="E618" s="39" t="s">
        <v>95</v>
      </c>
      <c r="H618" s="43" t="s">
        <v>256</v>
      </c>
      <c r="I618" s="39" t="s">
        <v>2574</v>
      </c>
      <c r="J618" s="39">
        <v>22</v>
      </c>
      <c r="K618" s="41" t="s">
        <v>268</v>
      </c>
      <c r="L618" s="41" t="s">
        <v>269</v>
      </c>
      <c r="M618" s="9">
        <v>4</v>
      </c>
      <c r="N618" s="9" t="s">
        <v>29</v>
      </c>
      <c r="O618" s="41" t="s">
        <v>72</v>
      </c>
      <c r="P618" s="43" t="s">
        <v>73</v>
      </c>
      <c r="Q618" s="43" t="s">
        <v>74</v>
      </c>
      <c r="R618" s="43" t="s">
        <v>75</v>
      </c>
      <c r="S618" s="43" t="s">
        <v>244</v>
      </c>
      <c r="T618" s="43" t="s">
        <v>76</v>
      </c>
      <c r="U618" s="43" t="s">
        <v>31</v>
      </c>
      <c r="V618" s="43" t="s">
        <v>31</v>
      </c>
      <c r="AB618" s="39">
        <v>10</v>
      </c>
      <c r="AE618" s="103" t="s">
        <v>28</v>
      </c>
      <c r="AG618" s="65" t="s">
        <v>2924</v>
      </c>
      <c r="AI618" s="72" t="s">
        <v>2818</v>
      </c>
      <c r="AJ618" s="42" t="s">
        <v>27</v>
      </c>
      <c r="AK618" s="8" t="e">
        <f>VLOOKUP(A618,'[1]Externe MAJ Nov'!$A:$H,8,0)</f>
        <v>#N/A</v>
      </c>
      <c r="AL618" s="29" t="e">
        <f>VLOOKUP(A618,'[1]Externe MAJ Nov'!$A:$G,7,0)</f>
        <v>#N/A</v>
      </c>
      <c r="AM618" s="29"/>
      <c r="AN618" s="39" t="s">
        <v>27</v>
      </c>
      <c r="AO618" s="58" t="s">
        <v>2847</v>
      </c>
      <c r="AP618" s="29" t="e">
        <f>VLOOKUP(A618,'[2]External Scan 02_21'!$B:$J,9,0)</f>
        <v>#N/A</v>
      </c>
      <c r="AR618" s="75" t="s">
        <v>487</v>
      </c>
      <c r="AS618" s="21" t="str">
        <f>VLOOKUP(AE618,'ref statu'!A:B,2,0)</f>
        <v>Fixed</v>
      </c>
      <c r="AT618" s="8" t="e">
        <f>VLOOKUP(A618,chk!A:B,2,0)</f>
        <v>#N/A</v>
      </c>
      <c r="AU618" s="29" t="e">
        <f>VLOOKUP(A618,checker!A:B,2,0)</f>
        <v>#N/A</v>
      </c>
      <c r="AV618" s="29" t="e">
        <f>VLOOKUP(A618,checker!B:C,2,0)</f>
        <v>#N/A</v>
      </c>
    </row>
    <row r="619" spans="1:48" x14ac:dyDescent="0.3">
      <c r="A619" s="29" t="str">
        <f t="shared" si="9"/>
        <v>96.692.66.699/22/ssh-cve-2015-4000</v>
      </c>
      <c r="B619" s="41" t="s">
        <v>3018</v>
      </c>
      <c r="C619" s="41" t="s">
        <v>2817</v>
      </c>
      <c r="E619" s="39" t="s">
        <v>95</v>
      </c>
      <c r="H619" s="43" t="s">
        <v>256</v>
      </c>
      <c r="I619" s="39" t="s">
        <v>2574</v>
      </c>
      <c r="J619" s="39">
        <v>22</v>
      </c>
      <c r="K619" s="41" t="s">
        <v>268</v>
      </c>
      <c r="L619" s="41" t="s">
        <v>269</v>
      </c>
      <c r="M619" s="9">
        <v>4</v>
      </c>
      <c r="N619" s="9" t="s">
        <v>29</v>
      </c>
      <c r="O619" s="41" t="s">
        <v>60</v>
      </c>
      <c r="P619" s="43" t="s">
        <v>61</v>
      </c>
      <c r="Q619" s="43" t="s">
        <v>62</v>
      </c>
      <c r="R619" s="43" t="s">
        <v>63</v>
      </c>
      <c r="S619" s="43" t="s">
        <v>64</v>
      </c>
      <c r="T619" s="43" t="s">
        <v>65</v>
      </c>
      <c r="U619" s="43" t="s">
        <v>66</v>
      </c>
      <c r="V619" s="43" t="s">
        <v>273</v>
      </c>
      <c r="AB619" s="39">
        <v>10</v>
      </c>
      <c r="AE619" s="103" t="s">
        <v>28</v>
      </c>
      <c r="AG619" s="65" t="s">
        <v>2924</v>
      </c>
      <c r="AI619" s="72" t="s">
        <v>2818</v>
      </c>
      <c r="AJ619" s="42" t="s">
        <v>27</v>
      </c>
      <c r="AK619" s="8" t="e">
        <f>VLOOKUP(A619,'[1]Externe MAJ Nov'!$A:$H,8,0)</f>
        <v>#N/A</v>
      </c>
      <c r="AL619" s="29" t="e">
        <f>VLOOKUP(A619,'[1]Externe MAJ Nov'!$A:$G,7,0)</f>
        <v>#N/A</v>
      </c>
      <c r="AM619" s="29"/>
      <c r="AN619" s="39" t="s">
        <v>27</v>
      </c>
      <c r="AO619" s="58" t="s">
        <v>2848</v>
      </c>
      <c r="AP619" s="29" t="e">
        <f>VLOOKUP(A619,'[2]External Scan 02_21'!$B:$J,9,0)</f>
        <v>#N/A</v>
      </c>
      <c r="AR619" s="75" t="s">
        <v>487</v>
      </c>
      <c r="AS619" s="21" t="str">
        <f>VLOOKUP(AE619,'ref statu'!A:B,2,0)</f>
        <v>Fixed</v>
      </c>
      <c r="AT619" s="8" t="e">
        <f>VLOOKUP(A619,chk!A:B,2,0)</f>
        <v>#N/A</v>
      </c>
      <c r="AU619" s="29" t="e">
        <f>VLOOKUP(A619,checker!A:B,2,0)</f>
        <v>#N/A</v>
      </c>
      <c r="AV619" s="29" t="e">
        <f>VLOOKUP(A619,checker!B:C,2,0)</f>
        <v>#N/A</v>
      </c>
    </row>
    <row r="620" spans="1:48" x14ac:dyDescent="0.3">
      <c r="A620" s="29" t="str">
        <f t="shared" si="9"/>
        <v>96.692.66.699/443/apache-httpd-cve-2011-3192</v>
      </c>
      <c r="B620" s="41" t="s">
        <v>3018</v>
      </c>
      <c r="C620" s="41" t="s">
        <v>2817</v>
      </c>
      <c r="E620" s="39" t="s">
        <v>95</v>
      </c>
      <c r="H620" s="43" t="s">
        <v>256</v>
      </c>
      <c r="I620" s="39" t="s">
        <v>2574</v>
      </c>
      <c r="J620" s="39">
        <v>443</v>
      </c>
      <c r="K620" s="41" t="s">
        <v>290</v>
      </c>
      <c r="L620" s="41" t="s">
        <v>2578</v>
      </c>
      <c r="M620" s="9">
        <v>8</v>
      </c>
      <c r="N620" s="10" t="s">
        <v>2540</v>
      </c>
      <c r="O620" s="41" t="s">
        <v>2592</v>
      </c>
      <c r="P620" s="43" t="s">
        <v>2673</v>
      </c>
      <c r="Q620" s="43" t="s">
        <v>2674</v>
      </c>
      <c r="R620" s="43" t="s">
        <v>2675</v>
      </c>
      <c r="S620" s="43" t="s">
        <v>2626</v>
      </c>
      <c r="T620" s="43" t="s">
        <v>2627</v>
      </c>
      <c r="U620" s="43" t="s">
        <v>2676</v>
      </c>
      <c r="V620" s="43" t="s">
        <v>2791</v>
      </c>
      <c r="AB620" s="39">
        <v>10</v>
      </c>
      <c r="AE620" s="103" t="s">
        <v>28</v>
      </c>
      <c r="AG620" s="65" t="s">
        <v>2924</v>
      </c>
      <c r="AI620" s="72" t="s">
        <v>2818</v>
      </c>
      <c r="AJ620" s="42" t="s">
        <v>27</v>
      </c>
      <c r="AK620" s="8" t="e">
        <f>VLOOKUP(A620,'[1]Externe MAJ Nov'!$A:$H,8,0)</f>
        <v>#N/A</v>
      </c>
      <c r="AL620" s="29" t="e">
        <f>VLOOKUP(A620,'[1]Externe MAJ Nov'!$A:$G,7,0)</f>
        <v>#N/A</v>
      </c>
      <c r="AM620" s="29"/>
      <c r="AN620" s="39" t="s">
        <v>27</v>
      </c>
      <c r="AO620" s="58" t="s">
        <v>2849</v>
      </c>
      <c r="AP620" s="29" t="e">
        <f>VLOOKUP(A620,'[2]External Scan 02_21'!$B:$J,9,0)</f>
        <v>#N/A</v>
      </c>
      <c r="AR620" s="75" t="s">
        <v>487</v>
      </c>
      <c r="AS620" s="21" t="str">
        <f>VLOOKUP(AE620,'ref statu'!A:B,2,0)</f>
        <v>Fixed</v>
      </c>
      <c r="AT620" s="8" t="e">
        <f>VLOOKUP(A620,chk!A:B,2,0)</f>
        <v>#N/A</v>
      </c>
      <c r="AU620" s="29" t="e">
        <f>VLOOKUP(A620,checker!A:B,2,0)</f>
        <v>#N/A</v>
      </c>
      <c r="AV620" s="29" t="e">
        <f>VLOOKUP(A620,checker!B:C,2,0)</f>
        <v>#N/A</v>
      </c>
    </row>
    <row r="621" spans="1:48" x14ac:dyDescent="0.3">
      <c r="A621" s="29" t="str">
        <f t="shared" si="9"/>
        <v>96.692.66.699/80/apache-httpd-cve-2011-3192</v>
      </c>
      <c r="B621" s="41" t="s">
        <v>3018</v>
      </c>
      <c r="C621" s="41" t="s">
        <v>2817</v>
      </c>
      <c r="E621" s="39" t="s">
        <v>95</v>
      </c>
      <c r="H621" s="43" t="s">
        <v>256</v>
      </c>
      <c r="I621" s="39" t="s">
        <v>2574</v>
      </c>
      <c r="J621" s="39">
        <v>80</v>
      </c>
      <c r="K621" s="41" t="s">
        <v>275</v>
      </c>
      <c r="L621" s="41" t="s">
        <v>2578</v>
      </c>
      <c r="M621" s="9">
        <v>8</v>
      </c>
      <c r="N621" s="10" t="s">
        <v>2540</v>
      </c>
      <c r="O621" s="41" t="s">
        <v>2592</v>
      </c>
      <c r="P621" s="43" t="s">
        <v>2673</v>
      </c>
      <c r="Q621" s="43" t="s">
        <v>2674</v>
      </c>
      <c r="R621" s="43" t="s">
        <v>2675</v>
      </c>
      <c r="S621" s="43" t="s">
        <v>2629</v>
      </c>
      <c r="T621" s="43" t="s">
        <v>2627</v>
      </c>
      <c r="U621" s="43" t="s">
        <v>2676</v>
      </c>
      <c r="V621" s="43" t="s">
        <v>2791</v>
      </c>
      <c r="AB621" s="39">
        <v>10</v>
      </c>
      <c r="AE621" s="103" t="s">
        <v>2925</v>
      </c>
      <c r="AI621" s="72" t="s">
        <v>2818</v>
      </c>
      <c r="AJ621" s="42" t="s">
        <v>27</v>
      </c>
      <c r="AK621" s="8" t="e">
        <f>VLOOKUP(A621,'[1]Externe MAJ Nov'!$A:$H,8,0)</f>
        <v>#N/A</v>
      </c>
      <c r="AL621" s="29" t="e">
        <f>VLOOKUP(A621,'[1]Externe MAJ Nov'!$A:$G,7,0)</f>
        <v>#N/A</v>
      </c>
      <c r="AM621" s="29"/>
      <c r="AN621" s="39" t="s">
        <v>27</v>
      </c>
      <c r="AO621" s="58" t="s">
        <v>2850</v>
      </c>
      <c r="AP621" s="29" t="e">
        <f>VLOOKUP(A621,'[2]External Scan 02_21'!$B:$J,9,0)</f>
        <v>#N/A</v>
      </c>
      <c r="AR621" s="75" t="s">
        <v>487</v>
      </c>
      <c r="AS621" s="21" t="str">
        <f>VLOOKUP(AE621,'ref statu'!A:B,2,0)</f>
        <v>DTP intervention de l'éditeur nécessaire</v>
      </c>
      <c r="AT621" s="8" t="e">
        <f>VLOOKUP(A621,chk!A:B,2,0)</f>
        <v>#N/A</v>
      </c>
      <c r="AU621" s="29" t="e">
        <f>VLOOKUP(A621,checker!A:B,2,0)</f>
        <v>#N/A</v>
      </c>
      <c r="AV621" s="29" t="e">
        <f>VLOOKUP(A621,checker!B:C,2,0)</f>
        <v>#N/A</v>
      </c>
    </row>
    <row r="622" spans="1:48" x14ac:dyDescent="0.3">
      <c r="A622" s="29" t="str">
        <f t="shared" si="9"/>
        <v>96.692.66.699/80/apache-httpd-cve-2011-3348</v>
      </c>
      <c r="B622" s="41" t="s">
        <v>3018</v>
      </c>
      <c r="C622" s="41" t="s">
        <v>2817</v>
      </c>
      <c r="E622" s="39" t="s">
        <v>95</v>
      </c>
      <c r="H622" s="43" t="s">
        <v>256</v>
      </c>
      <c r="I622" s="39" t="s">
        <v>2574</v>
      </c>
      <c r="J622" s="39">
        <v>80</v>
      </c>
      <c r="K622" s="41" t="s">
        <v>275</v>
      </c>
      <c r="L622" s="41" t="s">
        <v>2578</v>
      </c>
      <c r="M622" s="9">
        <v>4</v>
      </c>
      <c r="N622" s="9" t="s">
        <v>29</v>
      </c>
      <c r="O622" s="41" t="s">
        <v>2593</v>
      </c>
      <c r="P622" s="43" t="s">
        <v>2677</v>
      </c>
      <c r="Q622" s="43" t="s">
        <v>2678</v>
      </c>
      <c r="R622" s="43" t="s">
        <v>2679</v>
      </c>
      <c r="S622" s="43" t="s">
        <v>2629</v>
      </c>
      <c r="T622" s="43" t="s">
        <v>2680</v>
      </c>
      <c r="U622" s="43" t="s">
        <v>2681</v>
      </c>
      <c r="V622" s="43" t="s">
        <v>2792</v>
      </c>
      <c r="AB622" s="39">
        <v>10</v>
      </c>
      <c r="AE622" s="103" t="s">
        <v>2925</v>
      </c>
      <c r="AI622" s="72" t="s">
        <v>2818</v>
      </c>
      <c r="AJ622" s="42" t="s">
        <v>27</v>
      </c>
      <c r="AK622" s="8" t="e">
        <f>VLOOKUP(A622,'[1]Externe MAJ Nov'!$A:$H,8,0)</f>
        <v>#N/A</v>
      </c>
      <c r="AL622" s="29" t="e">
        <f>VLOOKUP(A622,'[1]Externe MAJ Nov'!$A:$G,7,0)</f>
        <v>#N/A</v>
      </c>
      <c r="AM622" s="29"/>
      <c r="AN622" s="39" t="s">
        <v>27</v>
      </c>
      <c r="AO622" s="58" t="s">
        <v>2851</v>
      </c>
      <c r="AP622" s="29" t="e">
        <f>VLOOKUP(A622,'[2]External Scan 02_21'!$B:$J,9,0)</f>
        <v>#N/A</v>
      </c>
      <c r="AR622" s="75" t="s">
        <v>487</v>
      </c>
      <c r="AS622" s="21" t="str">
        <f>VLOOKUP(AE622,'ref statu'!A:B,2,0)</f>
        <v>DTP intervention de l'éditeur nécessaire</v>
      </c>
      <c r="AT622" s="8" t="e">
        <f>VLOOKUP(A622,chk!A:B,2,0)</f>
        <v>#N/A</v>
      </c>
      <c r="AU622" s="29" t="e">
        <f>VLOOKUP(A622,checker!A:B,2,0)</f>
        <v>#N/A</v>
      </c>
      <c r="AV622" s="29" t="e">
        <f>VLOOKUP(A622,checker!B:C,2,0)</f>
        <v>#N/A</v>
      </c>
    </row>
    <row r="623" spans="1:48" x14ac:dyDescent="0.3">
      <c r="A623" s="29" t="str">
        <f t="shared" si="9"/>
        <v>96.692.66.699/443/apache-httpd-cve-2011-3348</v>
      </c>
      <c r="B623" s="41" t="s">
        <v>3018</v>
      </c>
      <c r="C623" s="41" t="s">
        <v>2817</v>
      </c>
      <c r="E623" s="39" t="s">
        <v>95</v>
      </c>
      <c r="H623" s="43" t="s">
        <v>256</v>
      </c>
      <c r="I623" s="39" t="s">
        <v>2574</v>
      </c>
      <c r="J623" s="39">
        <v>443</v>
      </c>
      <c r="K623" s="41" t="s">
        <v>290</v>
      </c>
      <c r="L623" s="41" t="s">
        <v>2578</v>
      </c>
      <c r="M623" s="9">
        <v>4</v>
      </c>
      <c r="N623" s="9" t="s">
        <v>29</v>
      </c>
      <c r="O623" s="41" t="s">
        <v>2593</v>
      </c>
      <c r="P623" s="43" t="s">
        <v>2677</v>
      </c>
      <c r="Q623" s="43" t="s">
        <v>2678</v>
      </c>
      <c r="R623" s="43" t="s">
        <v>2679</v>
      </c>
      <c r="S623" s="43" t="s">
        <v>2626</v>
      </c>
      <c r="T623" s="43" t="s">
        <v>2680</v>
      </c>
      <c r="U623" s="43" t="s">
        <v>2681</v>
      </c>
      <c r="V623" s="43" t="s">
        <v>2792</v>
      </c>
      <c r="AB623" s="39">
        <v>10</v>
      </c>
      <c r="AE623" s="103" t="s">
        <v>28</v>
      </c>
      <c r="AG623" s="65" t="s">
        <v>2924</v>
      </c>
      <c r="AI623" s="72" t="s">
        <v>2818</v>
      </c>
      <c r="AJ623" s="42" t="s">
        <v>27</v>
      </c>
      <c r="AK623" s="8" t="e">
        <f>VLOOKUP(A623,'[1]Externe MAJ Nov'!$A:$H,8,0)</f>
        <v>#N/A</v>
      </c>
      <c r="AL623" s="29" t="e">
        <f>VLOOKUP(A623,'[1]Externe MAJ Nov'!$A:$G,7,0)</f>
        <v>#N/A</v>
      </c>
      <c r="AM623" s="29"/>
      <c r="AN623" s="39" t="s">
        <v>27</v>
      </c>
      <c r="AO623" s="58" t="s">
        <v>2852</v>
      </c>
      <c r="AP623" s="29" t="e">
        <f>VLOOKUP(A623,'[2]External Scan 02_21'!$B:$J,9,0)</f>
        <v>#N/A</v>
      </c>
      <c r="AR623" s="75" t="s">
        <v>487</v>
      </c>
      <c r="AS623" s="21" t="str">
        <f>VLOOKUP(AE623,'ref statu'!A:B,2,0)</f>
        <v>Fixed</v>
      </c>
      <c r="AT623" s="8" t="e">
        <f>VLOOKUP(A623,chk!A:B,2,0)</f>
        <v>#N/A</v>
      </c>
      <c r="AU623" s="29" t="e">
        <f>VLOOKUP(A623,checker!A:B,2,0)</f>
        <v>#N/A</v>
      </c>
      <c r="AV623" s="29" t="e">
        <f>VLOOKUP(A623,checker!B:C,2,0)</f>
        <v>#N/A</v>
      </c>
    </row>
    <row r="624" spans="1:48" x14ac:dyDescent="0.3">
      <c r="A624" s="29" t="str">
        <f t="shared" si="9"/>
        <v>96.692.66.699/22/ssh-weak-message-authentication-code-algorithms</v>
      </c>
      <c r="B624" s="41" t="s">
        <v>3018</v>
      </c>
      <c r="C624" s="41" t="s">
        <v>2817</v>
      </c>
      <c r="E624" s="39" t="s">
        <v>95</v>
      </c>
      <c r="H624" s="43" t="s">
        <v>256</v>
      </c>
      <c r="I624" s="39" t="s">
        <v>2574</v>
      </c>
      <c r="J624" s="39">
        <v>22</v>
      </c>
      <c r="K624" s="41" t="s">
        <v>268</v>
      </c>
      <c r="L624" s="41" t="s">
        <v>269</v>
      </c>
      <c r="M624" s="9">
        <v>4</v>
      </c>
      <c r="N624" s="9" t="s">
        <v>29</v>
      </c>
      <c r="O624" s="41" t="s">
        <v>89</v>
      </c>
      <c r="P624" s="43" t="s">
        <v>90</v>
      </c>
      <c r="Q624" s="43" t="s">
        <v>91</v>
      </c>
      <c r="R624" s="43" t="s">
        <v>92</v>
      </c>
      <c r="S624" s="43" t="s">
        <v>274</v>
      </c>
      <c r="T624" s="43" t="s">
        <v>93</v>
      </c>
      <c r="U624" s="43" t="s">
        <v>31</v>
      </c>
      <c r="V624" s="43" t="s">
        <v>31</v>
      </c>
      <c r="AB624" s="39">
        <v>10</v>
      </c>
      <c r="AE624" s="103" t="s">
        <v>28</v>
      </c>
      <c r="AG624" s="65" t="s">
        <v>2924</v>
      </c>
      <c r="AI624" s="72" t="s">
        <v>2818</v>
      </c>
      <c r="AJ624" s="42" t="s">
        <v>27</v>
      </c>
      <c r="AK624" s="8" t="e">
        <f>VLOOKUP(A624,'[1]Externe MAJ Nov'!$A:$H,8,0)</f>
        <v>#N/A</v>
      </c>
      <c r="AL624" s="29" t="e">
        <f>VLOOKUP(A624,'[1]Externe MAJ Nov'!$A:$G,7,0)</f>
        <v>#N/A</v>
      </c>
      <c r="AM624" s="29"/>
      <c r="AN624" s="39" t="s">
        <v>27</v>
      </c>
      <c r="AO624" s="58" t="s">
        <v>2853</v>
      </c>
      <c r="AP624" s="29" t="e">
        <f>VLOOKUP(A624,'[2]External Scan 02_21'!$B:$J,9,0)</f>
        <v>#N/A</v>
      </c>
      <c r="AR624" s="75" t="s">
        <v>487</v>
      </c>
      <c r="AS624" s="21" t="str">
        <f>VLOOKUP(AE624,'ref statu'!A:B,2,0)</f>
        <v>Fixed</v>
      </c>
      <c r="AT624" s="8" t="e">
        <f>VLOOKUP(A624,chk!A:B,2,0)</f>
        <v>#N/A</v>
      </c>
      <c r="AU624" s="29" t="e">
        <f>VLOOKUP(A624,checker!A:B,2,0)</f>
        <v>#N/A</v>
      </c>
      <c r="AV624" s="29" t="e">
        <f>VLOOKUP(A624,checker!B:C,2,0)</f>
        <v>#N/A</v>
      </c>
    </row>
    <row r="625" spans="1:48" x14ac:dyDescent="0.3">
      <c r="A625" s="29" t="str">
        <f t="shared" si="9"/>
        <v>96.692.66.699/80/apache-httpd-cve-2009-3720</v>
      </c>
      <c r="B625" s="41" t="s">
        <v>3018</v>
      </c>
      <c r="C625" s="41" t="s">
        <v>2817</v>
      </c>
      <c r="E625" s="39" t="s">
        <v>95</v>
      </c>
      <c r="H625" s="43" t="s">
        <v>256</v>
      </c>
      <c r="I625" s="39" t="s">
        <v>2574</v>
      </c>
      <c r="J625" s="39">
        <v>80</v>
      </c>
      <c r="K625" s="41" t="s">
        <v>275</v>
      </c>
      <c r="L625" s="41" t="s">
        <v>2578</v>
      </c>
      <c r="M625" s="9">
        <v>5</v>
      </c>
      <c r="N625" s="9" t="s">
        <v>29</v>
      </c>
      <c r="O625" s="41" t="s">
        <v>2594</v>
      </c>
      <c r="P625" s="43" t="s">
        <v>2682</v>
      </c>
      <c r="Q625" s="43" t="s">
        <v>2683</v>
      </c>
      <c r="R625" s="43" t="s">
        <v>2684</v>
      </c>
      <c r="S625" s="43" t="s">
        <v>2629</v>
      </c>
      <c r="T625" s="43" t="s">
        <v>2627</v>
      </c>
      <c r="U625" s="43" t="s">
        <v>2685</v>
      </c>
      <c r="V625" s="43" t="s">
        <v>2793</v>
      </c>
      <c r="AB625" s="39">
        <v>10</v>
      </c>
      <c r="AE625" s="103" t="s">
        <v>2925</v>
      </c>
      <c r="AI625" s="72" t="s">
        <v>2818</v>
      </c>
      <c r="AJ625" s="42" t="s">
        <v>27</v>
      </c>
      <c r="AK625" s="8" t="e">
        <f>VLOOKUP(A625,'[1]Externe MAJ Nov'!$A:$H,8,0)</f>
        <v>#N/A</v>
      </c>
      <c r="AL625" s="29" t="e">
        <f>VLOOKUP(A625,'[1]Externe MAJ Nov'!$A:$G,7,0)</f>
        <v>#N/A</v>
      </c>
      <c r="AM625" s="29"/>
      <c r="AN625" s="39" t="s">
        <v>27</v>
      </c>
      <c r="AO625" s="58" t="s">
        <v>2854</v>
      </c>
      <c r="AP625" s="29" t="e">
        <f>VLOOKUP(A625,'[2]External Scan 02_21'!$B:$J,9,0)</f>
        <v>#N/A</v>
      </c>
      <c r="AR625" s="75" t="s">
        <v>487</v>
      </c>
      <c r="AS625" s="21" t="str">
        <f>VLOOKUP(AE625,'ref statu'!A:B,2,0)</f>
        <v>DTP intervention de l'éditeur nécessaire</v>
      </c>
      <c r="AT625" s="8" t="e">
        <f>VLOOKUP(A625,chk!A:B,2,0)</f>
        <v>#N/A</v>
      </c>
      <c r="AU625" s="29" t="e">
        <f>VLOOKUP(A625,checker!A:B,2,0)</f>
        <v>#N/A</v>
      </c>
      <c r="AV625" s="29" t="e">
        <f>VLOOKUP(A625,checker!B:C,2,0)</f>
        <v>#N/A</v>
      </c>
    </row>
    <row r="626" spans="1:48" x14ac:dyDescent="0.3">
      <c r="A626" s="29" t="str">
        <f t="shared" si="9"/>
        <v>96.692.66.699/443/apache-httpd-cve-2009-3720</v>
      </c>
      <c r="B626" s="41" t="s">
        <v>3018</v>
      </c>
      <c r="C626" s="41" t="s">
        <v>2817</v>
      </c>
      <c r="E626" s="39" t="s">
        <v>95</v>
      </c>
      <c r="H626" s="43" t="s">
        <v>256</v>
      </c>
      <c r="I626" s="39" t="s">
        <v>2574</v>
      </c>
      <c r="J626" s="39">
        <v>443</v>
      </c>
      <c r="K626" s="41" t="s">
        <v>290</v>
      </c>
      <c r="L626" s="41" t="s">
        <v>2578</v>
      </c>
      <c r="M626" s="9">
        <v>5</v>
      </c>
      <c r="N626" s="9" t="s">
        <v>29</v>
      </c>
      <c r="O626" s="41" t="s">
        <v>2594</v>
      </c>
      <c r="P626" s="43" t="s">
        <v>2682</v>
      </c>
      <c r="Q626" s="43" t="s">
        <v>2683</v>
      </c>
      <c r="R626" s="43" t="s">
        <v>2684</v>
      </c>
      <c r="S626" s="43" t="s">
        <v>2626</v>
      </c>
      <c r="T626" s="43" t="s">
        <v>2627</v>
      </c>
      <c r="U626" s="43" t="s">
        <v>2685</v>
      </c>
      <c r="V626" s="43" t="s">
        <v>2793</v>
      </c>
      <c r="AB626" s="39">
        <v>10</v>
      </c>
      <c r="AE626" s="103" t="s">
        <v>28</v>
      </c>
      <c r="AG626" s="65" t="s">
        <v>2924</v>
      </c>
      <c r="AI626" s="72" t="s">
        <v>2818</v>
      </c>
      <c r="AJ626" s="42" t="s">
        <v>27</v>
      </c>
      <c r="AK626" s="8" t="e">
        <f>VLOOKUP(A626,'[1]Externe MAJ Nov'!$A:$H,8,0)</f>
        <v>#N/A</v>
      </c>
      <c r="AL626" s="29" t="e">
        <f>VLOOKUP(A626,'[1]Externe MAJ Nov'!$A:$G,7,0)</f>
        <v>#N/A</v>
      </c>
      <c r="AM626" s="29"/>
      <c r="AN626" s="39" t="s">
        <v>27</v>
      </c>
      <c r="AO626" s="58" t="s">
        <v>2855</v>
      </c>
      <c r="AP626" s="29" t="e">
        <f>VLOOKUP(A626,'[2]External Scan 02_21'!$B:$J,9,0)</f>
        <v>#N/A</v>
      </c>
      <c r="AR626" s="75" t="s">
        <v>487</v>
      </c>
      <c r="AS626" s="21" t="str">
        <f>VLOOKUP(AE626,'ref statu'!A:B,2,0)</f>
        <v>Fixed</v>
      </c>
      <c r="AT626" s="8" t="e">
        <f>VLOOKUP(A626,chk!A:B,2,0)</f>
        <v>#N/A</v>
      </c>
      <c r="AU626" s="29" t="e">
        <f>VLOOKUP(A626,checker!A:B,2,0)</f>
        <v>#N/A</v>
      </c>
      <c r="AV626" s="29" t="e">
        <f>VLOOKUP(A626,checker!B:C,2,0)</f>
        <v>#N/A</v>
      </c>
    </row>
    <row r="627" spans="1:48" x14ac:dyDescent="0.3">
      <c r="A627" s="29" t="str">
        <f t="shared" si="9"/>
        <v>96.692.66.699/80/apache-httpd-cve-2012-3499</v>
      </c>
      <c r="B627" s="41" t="s">
        <v>3018</v>
      </c>
      <c r="C627" s="41" t="s">
        <v>2817</v>
      </c>
      <c r="E627" s="39" t="s">
        <v>95</v>
      </c>
      <c r="H627" s="43" t="s">
        <v>256</v>
      </c>
      <c r="I627" s="39" t="s">
        <v>2574</v>
      </c>
      <c r="J627" s="39">
        <v>80</v>
      </c>
      <c r="K627" s="41" t="s">
        <v>275</v>
      </c>
      <c r="L627" s="41" t="s">
        <v>2578</v>
      </c>
      <c r="M627" s="9">
        <v>4</v>
      </c>
      <c r="N627" s="9" t="s">
        <v>29</v>
      </c>
      <c r="O627" s="41" t="s">
        <v>2595</v>
      </c>
      <c r="P627" s="43" t="s">
        <v>2686</v>
      </c>
      <c r="Q627" s="43" t="s">
        <v>2687</v>
      </c>
      <c r="R627" s="43" t="s">
        <v>2688</v>
      </c>
      <c r="S627" s="43" t="s">
        <v>2629</v>
      </c>
      <c r="T627" s="43" t="s">
        <v>2633</v>
      </c>
      <c r="U627" s="43" t="s">
        <v>2689</v>
      </c>
      <c r="V627" s="43" t="s">
        <v>2794</v>
      </c>
      <c r="AB627" s="39">
        <v>10</v>
      </c>
      <c r="AE627" s="103" t="s">
        <v>2925</v>
      </c>
      <c r="AI627" s="72" t="s">
        <v>2818</v>
      </c>
      <c r="AJ627" s="42" t="s">
        <v>27</v>
      </c>
      <c r="AK627" s="8" t="e">
        <f>VLOOKUP(A627,'[1]Externe MAJ Nov'!$A:$H,8,0)</f>
        <v>#N/A</v>
      </c>
      <c r="AL627" s="29" t="e">
        <f>VLOOKUP(A627,'[1]Externe MAJ Nov'!$A:$G,7,0)</f>
        <v>#N/A</v>
      </c>
      <c r="AM627" s="29"/>
      <c r="AN627" s="39" t="s">
        <v>27</v>
      </c>
      <c r="AO627" s="58" t="s">
        <v>2856</v>
      </c>
      <c r="AP627" s="29" t="e">
        <f>VLOOKUP(A627,'[2]External Scan 02_21'!$B:$J,9,0)</f>
        <v>#N/A</v>
      </c>
      <c r="AR627" s="75" t="s">
        <v>487</v>
      </c>
      <c r="AS627" s="21" t="str">
        <f>VLOOKUP(AE627,'ref statu'!A:B,2,0)</f>
        <v>DTP intervention de l'éditeur nécessaire</v>
      </c>
      <c r="AT627" s="8" t="e">
        <f>VLOOKUP(A627,chk!A:B,2,0)</f>
        <v>#N/A</v>
      </c>
      <c r="AU627" s="29" t="e">
        <f>VLOOKUP(A627,checker!A:B,2,0)</f>
        <v>#N/A</v>
      </c>
      <c r="AV627" s="29" t="e">
        <f>VLOOKUP(A627,checker!B:C,2,0)</f>
        <v>#N/A</v>
      </c>
    </row>
    <row r="628" spans="1:48" x14ac:dyDescent="0.3">
      <c r="A628" s="29" t="str">
        <f t="shared" si="9"/>
        <v>96.692.66.699/443/apache-httpd-cve-2012-3499</v>
      </c>
      <c r="B628" s="41" t="s">
        <v>3018</v>
      </c>
      <c r="C628" s="41" t="s">
        <v>2817</v>
      </c>
      <c r="E628" s="39" t="s">
        <v>95</v>
      </c>
      <c r="H628" s="43" t="s">
        <v>256</v>
      </c>
      <c r="I628" s="39" t="s">
        <v>2574</v>
      </c>
      <c r="J628" s="39">
        <v>443</v>
      </c>
      <c r="K628" s="41" t="s">
        <v>290</v>
      </c>
      <c r="L628" s="41" t="s">
        <v>2578</v>
      </c>
      <c r="M628" s="9">
        <v>4</v>
      </c>
      <c r="N628" s="9" t="s">
        <v>29</v>
      </c>
      <c r="O628" s="41" t="s">
        <v>2595</v>
      </c>
      <c r="P628" s="43" t="s">
        <v>2686</v>
      </c>
      <c r="Q628" s="43" t="s">
        <v>2687</v>
      </c>
      <c r="R628" s="43" t="s">
        <v>2688</v>
      </c>
      <c r="S628" s="43" t="s">
        <v>2626</v>
      </c>
      <c r="T628" s="43" t="s">
        <v>2633</v>
      </c>
      <c r="U628" s="43" t="s">
        <v>2689</v>
      </c>
      <c r="V628" s="43" t="s">
        <v>2794</v>
      </c>
      <c r="AB628" s="39">
        <v>10</v>
      </c>
      <c r="AE628" s="103" t="s">
        <v>28</v>
      </c>
      <c r="AG628" s="65" t="s">
        <v>2924</v>
      </c>
      <c r="AI628" s="72" t="s">
        <v>2818</v>
      </c>
      <c r="AJ628" s="42" t="s">
        <v>27</v>
      </c>
      <c r="AK628" s="8" t="e">
        <f>VLOOKUP(A628,'[1]Externe MAJ Nov'!$A:$H,8,0)</f>
        <v>#N/A</v>
      </c>
      <c r="AL628" s="29" t="e">
        <f>VLOOKUP(A628,'[1]Externe MAJ Nov'!$A:$G,7,0)</f>
        <v>#N/A</v>
      </c>
      <c r="AM628" s="29"/>
      <c r="AN628" s="39" t="s">
        <v>27</v>
      </c>
      <c r="AO628" s="58" t="s">
        <v>2857</v>
      </c>
      <c r="AP628" s="29" t="e">
        <f>VLOOKUP(A628,'[2]External Scan 02_21'!$B:$J,9,0)</f>
        <v>#N/A</v>
      </c>
      <c r="AR628" s="75" t="s">
        <v>487</v>
      </c>
      <c r="AS628" s="21" t="str">
        <f>VLOOKUP(AE628,'ref statu'!A:B,2,0)</f>
        <v>Fixed</v>
      </c>
      <c r="AT628" s="8" t="e">
        <f>VLOOKUP(A628,chk!A:B,2,0)</f>
        <v>#N/A</v>
      </c>
      <c r="AU628" s="29" t="e">
        <f>VLOOKUP(A628,checker!A:B,2,0)</f>
        <v>#N/A</v>
      </c>
      <c r="AV628" s="29" t="e">
        <f>VLOOKUP(A628,checker!B:C,2,0)</f>
        <v>#N/A</v>
      </c>
    </row>
    <row r="629" spans="1:48" x14ac:dyDescent="0.3">
      <c r="A629" s="29" t="str">
        <f t="shared" si="9"/>
        <v>96.692.66.699/123/ntp-r7-2014-12-reslist-disclosure</v>
      </c>
      <c r="B629" s="41" t="s">
        <v>3018</v>
      </c>
      <c r="C629" s="41" t="s">
        <v>2817</v>
      </c>
      <c r="E629" s="39" t="s">
        <v>95</v>
      </c>
      <c r="H629" s="43" t="s">
        <v>256</v>
      </c>
      <c r="I629" s="39" t="s">
        <v>2574</v>
      </c>
      <c r="J629" s="39">
        <v>123</v>
      </c>
      <c r="K629" s="41" t="s">
        <v>2575</v>
      </c>
      <c r="L629" s="41" t="s">
        <v>2577</v>
      </c>
      <c r="M629" s="9">
        <v>5</v>
      </c>
      <c r="N629" s="9" t="s">
        <v>29</v>
      </c>
      <c r="O629" s="41" t="s">
        <v>2596</v>
      </c>
      <c r="P629" s="43" t="s">
        <v>2690</v>
      </c>
      <c r="Q629" s="43" t="s">
        <v>2691</v>
      </c>
      <c r="R629" s="43" t="s">
        <v>2692</v>
      </c>
      <c r="S629" s="43" t="s">
        <v>2693</v>
      </c>
      <c r="T629" s="43" t="s">
        <v>2694</v>
      </c>
      <c r="U629" s="43" t="s">
        <v>2695</v>
      </c>
      <c r="V629" s="43" t="s">
        <v>2795</v>
      </c>
      <c r="AB629" s="39">
        <v>10</v>
      </c>
      <c r="AE629" s="103" t="s">
        <v>28</v>
      </c>
      <c r="AG629" s="65" t="s">
        <v>2924</v>
      </c>
      <c r="AI629" s="72" t="s">
        <v>2818</v>
      </c>
      <c r="AJ629" s="42" t="s">
        <v>27</v>
      </c>
      <c r="AK629" s="8" t="e">
        <f>VLOOKUP(A629,'[1]Externe MAJ Nov'!$A:$H,8,0)</f>
        <v>#N/A</v>
      </c>
      <c r="AL629" s="29" t="e">
        <f>VLOOKUP(A629,'[1]Externe MAJ Nov'!$A:$G,7,0)</f>
        <v>#N/A</v>
      </c>
      <c r="AM629" s="29"/>
      <c r="AN629" s="39" t="s">
        <v>27</v>
      </c>
      <c r="AO629" s="58" t="s">
        <v>2858</v>
      </c>
      <c r="AP629" s="29" t="e">
        <f>VLOOKUP(A629,'[2]External Scan 02_21'!$B:$J,9,0)</f>
        <v>#N/A</v>
      </c>
      <c r="AR629" s="75" t="s">
        <v>487</v>
      </c>
      <c r="AS629" s="21" t="str">
        <f>VLOOKUP(AE629,'ref statu'!A:B,2,0)</f>
        <v>Fixed</v>
      </c>
      <c r="AT629" s="8" t="e">
        <f>VLOOKUP(A629,chk!A:B,2,0)</f>
        <v>#N/A</v>
      </c>
      <c r="AU629" s="29" t="e">
        <f>VLOOKUP(A629,checker!A:B,2,0)</f>
        <v>#N/A</v>
      </c>
      <c r="AV629" s="29" t="e">
        <f>VLOOKUP(A629,checker!B:C,2,0)</f>
        <v>#N/A</v>
      </c>
    </row>
    <row r="630" spans="1:48" x14ac:dyDescent="0.3">
      <c r="A630" s="29" t="str">
        <f t="shared" si="9"/>
        <v>96.692.66.699/80/apache-httpd-cve-2017-3167</v>
      </c>
      <c r="B630" s="41" t="s">
        <v>3018</v>
      </c>
      <c r="C630" s="41" t="s">
        <v>2817</v>
      </c>
      <c r="E630" s="39" t="s">
        <v>95</v>
      </c>
      <c r="H630" s="43" t="s">
        <v>256</v>
      </c>
      <c r="I630" s="39" t="s">
        <v>2574</v>
      </c>
      <c r="J630" s="39">
        <v>80</v>
      </c>
      <c r="K630" s="41" t="s">
        <v>275</v>
      </c>
      <c r="L630" s="41" t="s">
        <v>2578</v>
      </c>
      <c r="M630" s="9">
        <v>8</v>
      </c>
      <c r="N630" s="10" t="s">
        <v>2540</v>
      </c>
      <c r="O630" s="41" t="s">
        <v>2597</v>
      </c>
      <c r="P630" s="43" t="s">
        <v>2696</v>
      </c>
      <c r="Q630" s="43" t="s">
        <v>2697</v>
      </c>
      <c r="R630" s="43" t="s">
        <v>2645</v>
      </c>
      <c r="S630" s="43" t="s">
        <v>2629</v>
      </c>
      <c r="T630" s="43" t="s">
        <v>2633</v>
      </c>
      <c r="U630" s="43" t="s">
        <v>2698</v>
      </c>
      <c r="V630" s="43" t="s">
        <v>2796</v>
      </c>
      <c r="AB630" s="39">
        <v>10</v>
      </c>
      <c r="AE630" s="103" t="s">
        <v>2925</v>
      </c>
      <c r="AI630" s="72" t="s">
        <v>2818</v>
      </c>
      <c r="AJ630" s="42" t="s">
        <v>27</v>
      </c>
      <c r="AK630" s="8" t="e">
        <f>VLOOKUP(A630,'[1]Externe MAJ Nov'!$A:$H,8,0)</f>
        <v>#N/A</v>
      </c>
      <c r="AL630" s="29" t="e">
        <f>VLOOKUP(A630,'[1]Externe MAJ Nov'!$A:$G,7,0)</f>
        <v>#N/A</v>
      </c>
      <c r="AM630" s="29"/>
      <c r="AN630" s="39" t="s">
        <v>27</v>
      </c>
      <c r="AO630" s="58" t="s">
        <v>2859</v>
      </c>
      <c r="AP630" s="29" t="e">
        <f>VLOOKUP(A630,'[2]External Scan 02_21'!$B:$J,9,0)</f>
        <v>#N/A</v>
      </c>
      <c r="AR630" s="75" t="s">
        <v>487</v>
      </c>
      <c r="AS630" s="21" t="str">
        <f>VLOOKUP(AE630,'ref statu'!A:B,2,0)</f>
        <v>DTP intervention de l'éditeur nécessaire</v>
      </c>
      <c r="AT630" s="8" t="e">
        <f>VLOOKUP(A630,chk!A:B,2,0)</f>
        <v>#N/A</v>
      </c>
      <c r="AU630" s="29" t="e">
        <f>VLOOKUP(A630,checker!A:B,2,0)</f>
        <v>#N/A</v>
      </c>
      <c r="AV630" s="29" t="e">
        <f>VLOOKUP(A630,checker!B:C,2,0)</f>
        <v>#N/A</v>
      </c>
    </row>
    <row r="631" spans="1:48" x14ac:dyDescent="0.3">
      <c r="A631" s="29" t="str">
        <f t="shared" si="9"/>
        <v>96.692.66.699/443/apache-httpd-cve-2017-3167</v>
      </c>
      <c r="B631" s="41" t="s">
        <v>3018</v>
      </c>
      <c r="C631" s="41" t="s">
        <v>2817</v>
      </c>
      <c r="E631" s="39" t="s">
        <v>95</v>
      </c>
      <c r="H631" s="43" t="s">
        <v>256</v>
      </c>
      <c r="I631" s="39" t="s">
        <v>2574</v>
      </c>
      <c r="J631" s="39">
        <v>443</v>
      </c>
      <c r="K631" s="41" t="s">
        <v>290</v>
      </c>
      <c r="L631" s="41" t="s">
        <v>2578</v>
      </c>
      <c r="M631" s="9">
        <v>8</v>
      </c>
      <c r="N631" s="10" t="s">
        <v>2540</v>
      </c>
      <c r="O631" s="41" t="s">
        <v>2597</v>
      </c>
      <c r="P631" s="43" t="s">
        <v>2696</v>
      </c>
      <c r="Q631" s="43" t="s">
        <v>2697</v>
      </c>
      <c r="R631" s="43" t="s">
        <v>2645</v>
      </c>
      <c r="S631" s="43" t="s">
        <v>2626</v>
      </c>
      <c r="T631" s="43" t="s">
        <v>2633</v>
      </c>
      <c r="U631" s="43" t="s">
        <v>2698</v>
      </c>
      <c r="V631" s="43" t="s">
        <v>2796</v>
      </c>
      <c r="AB631" s="39">
        <v>10</v>
      </c>
      <c r="AE631" s="103" t="s">
        <v>2925</v>
      </c>
      <c r="AI631" s="72" t="s">
        <v>2818</v>
      </c>
      <c r="AJ631" s="42" t="s">
        <v>27</v>
      </c>
      <c r="AK631" s="8" t="e">
        <f>VLOOKUP(A631,'[1]Externe MAJ Nov'!$A:$H,8,0)</f>
        <v>#N/A</v>
      </c>
      <c r="AL631" s="29" t="e">
        <f>VLOOKUP(A631,'[1]Externe MAJ Nov'!$A:$G,7,0)</f>
        <v>#N/A</v>
      </c>
      <c r="AM631" s="29"/>
      <c r="AN631" s="39" t="s">
        <v>27</v>
      </c>
      <c r="AO631" s="58" t="s">
        <v>2860</v>
      </c>
      <c r="AP631" s="29" t="e">
        <f>VLOOKUP(A631,'[2]External Scan 02_21'!$B:$J,9,0)</f>
        <v>#N/A</v>
      </c>
      <c r="AR631" s="75" t="s">
        <v>487</v>
      </c>
      <c r="AS631" s="21" t="str">
        <f>VLOOKUP(AE631,'ref statu'!A:B,2,0)</f>
        <v>DTP intervention de l'éditeur nécessaire</v>
      </c>
      <c r="AT631" s="8" t="e">
        <f>VLOOKUP(A631,chk!A:B,2,0)</f>
        <v>#N/A</v>
      </c>
      <c r="AU631" s="29" t="e">
        <f>VLOOKUP(A631,checker!A:B,2,0)</f>
        <v>#N/A</v>
      </c>
      <c r="AV631" s="29" t="e">
        <f>VLOOKUP(A631,checker!B:C,2,0)</f>
        <v>#N/A</v>
      </c>
    </row>
    <row r="632" spans="1:48" x14ac:dyDescent="0.3">
      <c r="A632" s="29" t="str">
        <f t="shared" si="9"/>
        <v>96.692.66.699/444/tls-dh-primes</v>
      </c>
      <c r="B632" s="41" t="s">
        <v>3018</v>
      </c>
      <c r="C632" s="41" t="s">
        <v>2817</v>
      </c>
      <c r="E632" s="39" t="s">
        <v>95</v>
      </c>
      <c r="H632" s="43" t="s">
        <v>256</v>
      </c>
      <c r="I632" s="39" t="s">
        <v>2574</v>
      </c>
      <c r="J632" s="39">
        <v>444</v>
      </c>
      <c r="K632" s="41" t="s">
        <v>2576</v>
      </c>
      <c r="L632" s="41" t="s">
        <v>31</v>
      </c>
      <c r="M632" s="9">
        <v>3</v>
      </c>
      <c r="N632" s="9" t="s">
        <v>42</v>
      </c>
      <c r="O632" s="41" t="s">
        <v>125</v>
      </c>
      <c r="P632" s="43" t="s">
        <v>126</v>
      </c>
      <c r="Q632" s="43" t="s">
        <v>127</v>
      </c>
      <c r="R632" s="43" t="s">
        <v>128</v>
      </c>
      <c r="S632" s="43" t="s">
        <v>172</v>
      </c>
      <c r="T632" s="43" t="s">
        <v>130</v>
      </c>
      <c r="U632" s="43" t="s">
        <v>31</v>
      </c>
      <c r="V632" s="43" t="s">
        <v>31</v>
      </c>
      <c r="AB632" s="39">
        <v>10</v>
      </c>
      <c r="AE632" s="103" t="s">
        <v>2925</v>
      </c>
      <c r="AI632" s="72" t="s">
        <v>2818</v>
      </c>
      <c r="AJ632" s="42" t="s">
        <v>27</v>
      </c>
      <c r="AK632" s="8" t="e">
        <f>VLOOKUP(A632,'[1]Externe MAJ Nov'!$A:$H,8,0)</f>
        <v>#N/A</v>
      </c>
      <c r="AL632" s="29" t="e">
        <f>VLOOKUP(A632,'[1]Externe MAJ Nov'!$A:$G,7,0)</f>
        <v>#N/A</v>
      </c>
      <c r="AM632" s="29"/>
      <c r="AN632" s="39" t="s">
        <v>27</v>
      </c>
      <c r="AO632" s="58" t="s">
        <v>2861</v>
      </c>
      <c r="AP632" s="29" t="e">
        <f>VLOOKUP(A632,'[2]External Scan 02_21'!$B:$J,9,0)</f>
        <v>#N/A</v>
      </c>
      <c r="AR632" s="75" t="s">
        <v>487</v>
      </c>
      <c r="AS632" s="21" t="str">
        <f>VLOOKUP(AE632,'ref statu'!A:B,2,0)</f>
        <v>DTP intervention de l'éditeur nécessaire</v>
      </c>
      <c r="AT632" s="8" t="e">
        <f>VLOOKUP(A632,chk!A:B,2,0)</f>
        <v>#N/A</v>
      </c>
      <c r="AU632" s="29" t="e">
        <f>VLOOKUP(A632,checker!A:B,2,0)</f>
        <v>#N/A</v>
      </c>
      <c r="AV632" s="29" t="e">
        <f>VLOOKUP(A632,checker!B:C,2,0)</f>
        <v>#N/A</v>
      </c>
    </row>
    <row r="633" spans="1:48" x14ac:dyDescent="0.3">
      <c r="A633" s="29" t="str">
        <f t="shared" si="9"/>
        <v>96.692.66.699/443/tls-dh-primes</v>
      </c>
      <c r="B633" s="41" t="s">
        <v>3018</v>
      </c>
      <c r="C633" s="41" t="s">
        <v>2817</v>
      </c>
      <c r="E633" s="39" t="s">
        <v>95</v>
      </c>
      <c r="H633" s="43" t="s">
        <v>256</v>
      </c>
      <c r="I633" s="39" t="s">
        <v>2574</v>
      </c>
      <c r="J633" s="39">
        <v>443</v>
      </c>
      <c r="K633" s="41" t="s">
        <v>290</v>
      </c>
      <c r="L633" s="41" t="s">
        <v>2578</v>
      </c>
      <c r="M633" s="9">
        <v>3</v>
      </c>
      <c r="N633" s="9" t="s">
        <v>42</v>
      </c>
      <c r="O633" s="41" t="s">
        <v>125</v>
      </c>
      <c r="P633" s="43" t="s">
        <v>126</v>
      </c>
      <c r="Q633" s="43" t="s">
        <v>127</v>
      </c>
      <c r="R633" s="43" t="s">
        <v>128</v>
      </c>
      <c r="S633" s="43" t="s">
        <v>172</v>
      </c>
      <c r="T633" s="43" t="s">
        <v>130</v>
      </c>
      <c r="U633" s="43" t="s">
        <v>31</v>
      </c>
      <c r="V633" s="43" t="s">
        <v>31</v>
      </c>
      <c r="AB633" s="39">
        <v>10</v>
      </c>
      <c r="AE633" s="103" t="s">
        <v>2925</v>
      </c>
      <c r="AI633" s="72" t="s">
        <v>2818</v>
      </c>
      <c r="AJ633" s="42" t="s">
        <v>27</v>
      </c>
      <c r="AK633" s="8" t="e">
        <f>VLOOKUP(A633,'[1]Externe MAJ Nov'!$A:$H,8,0)</f>
        <v>#N/A</v>
      </c>
      <c r="AL633" s="29" t="e">
        <f>VLOOKUP(A633,'[1]Externe MAJ Nov'!$A:$G,7,0)</f>
        <v>#N/A</v>
      </c>
      <c r="AM633" s="29"/>
      <c r="AN633" s="39" t="s">
        <v>27</v>
      </c>
      <c r="AO633" s="58" t="s">
        <v>2862</v>
      </c>
      <c r="AP633" s="29" t="e">
        <f>VLOOKUP(A633,'[2]External Scan 02_21'!$B:$J,9,0)</f>
        <v>#N/A</v>
      </c>
      <c r="AR633" s="75" t="s">
        <v>487</v>
      </c>
      <c r="AS633" s="21" t="str">
        <f>VLOOKUP(AE633,'ref statu'!A:B,2,0)</f>
        <v>DTP intervention de l'éditeur nécessaire</v>
      </c>
      <c r="AT633" s="8" t="e">
        <f>VLOOKUP(A633,chk!A:B,2,0)</f>
        <v>#N/A</v>
      </c>
      <c r="AU633" s="29" t="e">
        <f>VLOOKUP(A633,checker!A:B,2,0)</f>
        <v>#N/A</v>
      </c>
      <c r="AV633" s="29" t="e">
        <f>VLOOKUP(A633,checker!B:C,2,0)</f>
        <v>#N/A</v>
      </c>
    </row>
    <row r="634" spans="1:48" x14ac:dyDescent="0.3">
      <c r="A634" s="29" t="str">
        <f t="shared" si="9"/>
        <v>96.692.66.699/443/ssl-cve-2011-3389-beast</v>
      </c>
      <c r="B634" s="41" t="s">
        <v>3018</v>
      </c>
      <c r="C634" s="41" t="s">
        <v>2817</v>
      </c>
      <c r="E634" s="39" t="s">
        <v>95</v>
      </c>
      <c r="H634" s="43" t="s">
        <v>256</v>
      </c>
      <c r="I634" s="39" t="s">
        <v>2574</v>
      </c>
      <c r="J634" s="39">
        <v>443</v>
      </c>
      <c r="K634" s="41" t="s">
        <v>290</v>
      </c>
      <c r="L634" s="41" t="s">
        <v>2578</v>
      </c>
      <c r="M634" s="9">
        <v>4</v>
      </c>
      <c r="N634" s="9" t="s">
        <v>29</v>
      </c>
      <c r="O634" s="41" t="s">
        <v>105</v>
      </c>
      <c r="P634" s="43" t="s">
        <v>106</v>
      </c>
      <c r="Q634" s="43" t="s">
        <v>107</v>
      </c>
      <c r="R634" s="43" t="s">
        <v>108</v>
      </c>
      <c r="S634" s="43" t="s">
        <v>2699</v>
      </c>
      <c r="T634" s="43" t="s">
        <v>109</v>
      </c>
      <c r="U634" s="43" t="s">
        <v>110</v>
      </c>
      <c r="V634" s="43" t="s">
        <v>297</v>
      </c>
      <c r="AB634" s="39">
        <v>10</v>
      </c>
      <c r="AE634" s="103" t="s">
        <v>2925</v>
      </c>
      <c r="AI634" s="72" t="s">
        <v>2818</v>
      </c>
      <c r="AJ634" s="42" t="s">
        <v>27</v>
      </c>
      <c r="AK634" s="8" t="e">
        <f>VLOOKUP(A634,'[1]Externe MAJ Nov'!$A:$H,8,0)</f>
        <v>#N/A</v>
      </c>
      <c r="AL634" s="29" t="e">
        <f>VLOOKUP(A634,'[1]Externe MAJ Nov'!$A:$G,7,0)</f>
        <v>#N/A</v>
      </c>
      <c r="AM634" s="29"/>
      <c r="AN634" s="39" t="s">
        <v>27</v>
      </c>
      <c r="AO634" s="58" t="s">
        <v>2863</v>
      </c>
      <c r="AP634" s="29" t="e">
        <f>VLOOKUP(A634,'[2]External Scan 02_21'!$B:$J,9,0)</f>
        <v>#N/A</v>
      </c>
      <c r="AR634" s="75" t="s">
        <v>487</v>
      </c>
      <c r="AS634" s="21" t="str">
        <f>VLOOKUP(AE634,'ref statu'!A:B,2,0)</f>
        <v>DTP intervention de l'éditeur nécessaire</v>
      </c>
      <c r="AT634" s="8" t="e">
        <f>VLOOKUP(A634,chk!A:B,2,0)</f>
        <v>#N/A</v>
      </c>
      <c r="AU634" s="29" t="e">
        <f>VLOOKUP(A634,checker!A:B,2,0)</f>
        <v>#N/A</v>
      </c>
      <c r="AV634" s="29" t="e">
        <f>VLOOKUP(A634,checker!B:C,2,0)</f>
        <v>#N/A</v>
      </c>
    </row>
    <row r="635" spans="1:48" x14ac:dyDescent="0.3">
      <c r="A635" s="29" t="str">
        <f t="shared" si="9"/>
        <v>96.692.66.699/444/ssl-cve-2011-3389-beast</v>
      </c>
      <c r="B635" s="41" t="s">
        <v>3018</v>
      </c>
      <c r="C635" s="41" t="s">
        <v>2817</v>
      </c>
      <c r="E635" s="39" t="s">
        <v>95</v>
      </c>
      <c r="H635" s="43" t="s">
        <v>256</v>
      </c>
      <c r="I635" s="39" t="s">
        <v>2574</v>
      </c>
      <c r="J635" s="39">
        <v>444</v>
      </c>
      <c r="K635" s="41" t="s">
        <v>2576</v>
      </c>
      <c r="L635" s="41" t="s">
        <v>31</v>
      </c>
      <c r="M635" s="9">
        <v>4</v>
      </c>
      <c r="N635" s="9" t="s">
        <v>29</v>
      </c>
      <c r="O635" s="41" t="s">
        <v>105</v>
      </c>
      <c r="P635" s="43" t="s">
        <v>106</v>
      </c>
      <c r="Q635" s="43" t="s">
        <v>107</v>
      </c>
      <c r="R635" s="43" t="s">
        <v>108</v>
      </c>
      <c r="S635" s="43" t="s">
        <v>2699</v>
      </c>
      <c r="T635" s="43" t="s">
        <v>109</v>
      </c>
      <c r="U635" s="43" t="s">
        <v>110</v>
      </c>
      <c r="V635" s="43" t="s">
        <v>297</v>
      </c>
      <c r="AB635" s="39">
        <v>10</v>
      </c>
      <c r="AE635" s="103" t="s">
        <v>2925</v>
      </c>
      <c r="AI635" s="72" t="s">
        <v>2818</v>
      </c>
      <c r="AJ635" s="42" t="s">
        <v>27</v>
      </c>
      <c r="AK635" s="8" t="e">
        <f>VLOOKUP(A635,'[1]Externe MAJ Nov'!$A:$H,8,0)</f>
        <v>#N/A</v>
      </c>
      <c r="AL635" s="29" t="e">
        <f>VLOOKUP(A635,'[1]Externe MAJ Nov'!$A:$G,7,0)</f>
        <v>#N/A</v>
      </c>
      <c r="AM635" s="29"/>
      <c r="AN635" s="39" t="s">
        <v>27</v>
      </c>
      <c r="AO635" s="58" t="s">
        <v>2864</v>
      </c>
      <c r="AP635" s="29" t="e">
        <f>VLOOKUP(A635,'[2]External Scan 02_21'!$B:$J,9,0)</f>
        <v>#N/A</v>
      </c>
      <c r="AR635" s="75" t="s">
        <v>487</v>
      </c>
      <c r="AS635" s="21" t="str">
        <f>VLOOKUP(AE635,'ref statu'!A:B,2,0)</f>
        <v>DTP intervention de l'éditeur nécessaire</v>
      </c>
      <c r="AT635" s="8" t="e">
        <f>VLOOKUP(A635,chk!A:B,2,0)</f>
        <v>#N/A</v>
      </c>
      <c r="AU635" s="29" t="e">
        <f>VLOOKUP(A635,checker!A:B,2,0)</f>
        <v>#N/A</v>
      </c>
      <c r="AV635" s="29" t="e">
        <f>VLOOKUP(A635,checker!B:C,2,0)</f>
        <v>#N/A</v>
      </c>
    </row>
    <row r="636" spans="1:48" x14ac:dyDescent="0.3">
      <c r="A636" s="29" t="str">
        <f t="shared" si="9"/>
        <v>96.692.66.699/80/apache-httpd-cve-2010-1623</v>
      </c>
      <c r="B636" s="41" t="s">
        <v>3018</v>
      </c>
      <c r="C636" s="41" t="s">
        <v>2817</v>
      </c>
      <c r="E636" s="39" t="s">
        <v>95</v>
      </c>
      <c r="H636" s="43" t="s">
        <v>256</v>
      </c>
      <c r="I636" s="39" t="s">
        <v>2574</v>
      </c>
      <c r="J636" s="39">
        <v>80</v>
      </c>
      <c r="K636" s="41" t="s">
        <v>275</v>
      </c>
      <c r="L636" s="41" t="s">
        <v>2578</v>
      </c>
      <c r="M636" s="9">
        <v>5</v>
      </c>
      <c r="N636" s="9" t="s">
        <v>29</v>
      </c>
      <c r="O636" s="41" t="s">
        <v>2598</v>
      </c>
      <c r="P636" s="43" t="s">
        <v>2700</v>
      </c>
      <c r="Q636" s="43" t="s">
        <v>2701</v>
      </c>
      <c r="R636" s="43" t="s">
        <v>2684</v>
      </c>
      <c r="S636" s="43" t="s">
        <v>2629</v>
      </c>
      <c r="T636" s="43" t="s">
        <v>2627</v>
      </c>
      <c r="U636" s="43" t="s">
        <v>2702</v>
      </c>
      <c r="V636" s="43" t="s">
        <v>2797</v>
      </c>
      <c r="AB636" s="39">
        <v>10</v>
      </c>
      <c r="AE636" s="103" t="s">
        <v>2925</v>
      </c>
      <c r="AI636" s="72" t="s">
        <v>2818</v>
      </c>
      <c r="AJ636" s="42" t="s">
        <v>27</v>
      </c>
      <c r="AK636" s="8" t="e">
        <f>VLOOKUP(A636,'[1]Externe MAJ Nov'!$A:$H,8,0)</f>
        <v>#N/A</v>
      </c>
      <c r="AL636" s="29" t="e">
        <f>VLOOKUP(A636,'[1]Externe MAJ Nov'!$A:$G,7,0)</f>
        <v>#N/A</v>
      </c>
      <c r="AM636" s="29"/>
      <c r="AN636" s="39" t="s">
        <v>27</v>
      </c>
      <c r="AO636" s="58" t="s">
        <v>2865</v>
      </c>
      <c r="AP636" s="29" t="e">
        <f>VLOOKUP(A636,'[2]External Scan 02_21'!$B:$J,9,0)</f>
        <v>#N/A</v>
      </c>
      <c r="AR636" s="75" t="s">
        <v>487</v>
      </c>
      <c r="AS636" s="21" t="str">
        <f>VLOOKUP(AE636,'ref statu'!A:B,2,0)</f>
        <v>DTP intervention de l'éditeur nécessaire</v>
      </c>
      <c r="AT636" s="8" t="e">
        <f>VLOOKUP(A636,chk!A:B,2,0)</f>
        <v>#N/A</v>
      </c>
      <c r="AU636" s="29" t="e">
        <f>VLOOKUP(A636,checker!A:B,2,0)</f>
        <v>#N/A</v>
      </c>
      <c r="AV636" s="29" t="e">
        <f>VLOOKUP(A636,checker!B:C,2,0)</f>
        <v>#N/A</v>
      </c>
    </row>
    <row r="637" spans="1:48" x14ac:dyDescent="0.3">
      <c r="A637" s="29" t="str">
        <f t="shared" si="9"/>
        <v>96.692.66.699/443/apache-httpd-cve-2010-1623</v>
      </c>
      <c r="B637" s="41" t="s">
        <v>3018</v>
      </c>
      <c r="C637" s="41" t="s">
        <v>2817</v>
      </c>
      <c r="E637" s="39" t="s">
        <v>95</v>
      </c>
      <c r="H637" s="43" t="s">
        <v>256</v>
      </c>
      <c r="I637" s="39" t="s">
        <v>2574</v>
      </c>
      <c r="J637" s="39">
        <v>443</v>
      </c>
      <c r="K637" s="41" t="s">
        <v>290</v>
      </c>
      <c r="L637" s="41" t="s">
        <v>2578</v>
      </c>
      <c r="M637" s="9">
        <v>5</v>
      </c>
      <c r="N637" s="9" t="s">
        <v>29</v>
      </c>
      <c r="O637" s="41" t="s">
        <v>2598</v>
      </c>
      <c r="P637" s="43" t="s">
        <v>2700</v>
      </c>
      <c r="Q637" s="43" t="s">
        <v>2701</v>
      </c>
      <c r="R637" s="43" t="s">
        <v>2684</v>
      </c>
      <c r="S637" s="43" t="s">
        <v>2626</v>
      </c>
      <c r="T637" s="43" t="s">
        <v>2627</v>
      </c>
      <c r="U637" s="43" t="s">
        <v>2702</v>
      </c>
      <c r="V637" s="43" t="s">
        <v>2797</v>
      </c>
      <c r="AB637" s="39">
        <v>10</v>
      </c>
      <c r="AE637" s="103" t="s">
        <v>2925</v>
      </c>
      <c r="AI637" s="72" t="s">
        <v>2818</v>
      </c>
      <c r="AJ637" s="42" t="s">
        <v>27</v>
      </c>
      <c r="AK637" s="8" t="e">
        <f>VLOOKUP(A637,'[1]Externe MAJ Nov'!$A:$H,8,0)</f>
        <v>#N/A</v>
      </c>
      <c r="AL637" s="29" t="e">
        <f>VLOOKUP(A637,'[1]Externe MAJ Nov'!$A:$G,7,0)</f>
        <v>#N/A</v>
      </c>
      <c r="AM637" s="29"/>
      <c r="AN637" s="39" t="s">
        <v>27</v>
      </c>
      <c r="AO637" s="58" t="s">
        <v>2866</v>
      </c>
      <c r="AP637" s="29" t="e">
        <f>VLOOKUP(A637,'[2]External Scan 02_21'!$B:$J,9,0)</f>
        <v>#N/A</v>
      </c>
      <c r="AR637" s="75" t="s">
        <v>487</v>
      </c>
      <c r="AS637" s="21" t="str">
        <f>VLOOKUP(AE637,'ref statu'!A:B,2,0)</f>
        <v>DTP intervention de l'éditeur nécessaire</v>
      </c>
      <c r="AT637" s="8" t="e">
        <f>VLOOKUP(A637,chk!A:B,2,0)</f>
        <v>#N/A</v>
      </c>
      <c r="AU637" s="29" t="e">
        <f>VLOOKUP(A637,checker!A:B,2,0)</f>
        <v>#N/A</v>
      </c>
      <c r="AV637" s="29" t="e">
        <f>VLOOKUP(A637,checker!B:C,2,0)</f>
        <v>#N/A</v>
      </c>
    </row>
    <row r="638" spans="1:48" x14ac:dyDescent="0.3">
      <c r="A638" s="29" t="str">
        <f t="shared" si="9"/>
        <v>96.692.66.699/444/ssl-3des-ciphers</v>
      </c>
      <c r="B638" s="41" t="s">
        <v>3018</v>
      </c>
      <c r="C638" s="41" t="s">
        <v>2817</v>
      </c>
      <c r="E638" s="39" t="s">
        <v>95</v>
      </c>
      <c r="H638" s="43" t="s">
        <v>256</v>
      </c>
      <c r="I638" s="39" t="s">
        <v>2574</v>
      </c>
      <c r="J638" s="39">
        <v>444</v>
      </c>
      <c r="K638" s="41" t="s">
        <v>2576</v>
      </c>
      <c r="L638" s="41" t="s">
        <v>31</v>
      </c>
      <c r="M638" s="9">
        <v>1</v>
      </c>
      <c r="N638" s="9" t="s">
        <v>42</v>
      </c>
      <c r="O638" s="41" t="s">
        <v>100</v>
      </c>
      <c r="P638" s="43" t="s">
        <v>101</v>
      </c>
      <c r="Q638" s="43" t="s">
        <v>102</v>
      </c>
      <c r="R638" s="43" t="s">
        <v>103</v>
      </c>
      <c r="S638" s="43" t="s">
        <v>145</v>
      </c>
      <c r="T638" s="43" t="s">
        <v>104</v>
      </c>
      <c r="U638" s="43" t="s">
        <v>31</v>
      </c>
      <c r="V638" s="43" t="s">
        <v>31</v>
      </c>
      <c r="AB638" s="39">
        <v>10</v>
      </c>
      <c r="AE638" s="103" t="s">
        <v>2925</v>
      </c>
      <c r="AI638" s="72" t="s">
        <v>2818</v>
      </c>
      <c r="AJ638" s="42" t="s">
        <v>27</v>
      </c>
      <c r="AK638" s="8" t="e">
        <f>VLOOKUP(A638,'[1]Externe MAJ Nov'!$A:$H,8,0)</f>
        <v>#N/A</v>
      </c>
      <c r="AL638" s="29" t="e">
        <f>VLOOKUP(A638,'[1]Externe MAJ Nov'!$A:$G,7,0)</f>
        <v>#N/A</v>
      </c>
      <c r="AM638" s="29"/>
      <c r="AN638" s="39" t="s">
        <v>27</v>
      </c>
      <c r="AO638" s="58" t="s">
        <v>2867</v>
      </c>
      <c r="AP638" s="29" t="e">
        <f>VLOOKUP(A638,'[2]External Scan 02_21'!$B:$J,9,0)</f>
        <v>#N/A</v>
      </c>
      <c r="AR638" s="75" t="s">
        <v>487</v>
      </c>
      <c r="AS638" s="21" t="str">
        <f>VLOOKUP(AE638,'ref statu'!A:B,2,0)</f>
        <v>DTP intervention de l'éditeur nécessaire</v>
      </c>
      <c r="AT638" s="8" t="e">
        <f>VLOOKUP(A638,chk!A:B,2,0)</f>
        <v>#N/A</v>
      </c>
      <c r="AU638" s="29" t="e">
        <f>VLOOKUP(A638,checker!A:B,2,0)</f>
        <v>#N/A</v>
      </c>
      <c r="AV638" s="29" t="e">
        <f>VLOOKUP(A638,checker!B:C,2,0)</f>
        <v>#N/A</v>
      </c>
    </row>
    <row r="639" spans="1:48" x14ac:dyDescent="0.3">
      <c r="A639" s="29" t="str">
        <f t="shared" si="9"/>
        <v>96.692.66.699/443/ssl-3des-ciphers</v>
      </c>
      <c r="B639" s="41" t="s">
        <v>3018</v>
      </c>
      <c r="C639" s="41" t="s">
        <v>2817</v>
      </c>
      <c r="E639" s="39" t="s">
        <v>95</v>
      </c>
      <c r="H639" s="43" t="s">
        <v>256</v>
      </c>
      <c r="I639" s="39" t="s">
        <v>2574</v>
      </c>
      <c r="J639" s="39">
        <v>443</v>
      </c>
      <c r="K639" s="41" t="s">
        <v>290</v>
      </c>
      <c r="L639" s="41" t="s">
        <v>2578</v>
      </c>
      <c r="M639" s="9">
        <v>1</v>
      </c>
      <c r="N639" s="9" t="s">
        <v>42</v>
      </c>
      <c r="O639" s="41" t="s">
        <v>100</v>
      </c>
      <c r="P639" s="43" t="s">
        <v>101</v>
      </c>
      <c r="Q639" s="43" t="s">
        <v>102</v>
      </c>
      <c r="R639" s="43" t="s">
        <v>103</v>
      </c>
      <c r="S639" s="43" t="s">
        <v>145</v>
      </c>
      <c r="T639" s="43" t="s">
        <v>104</v>
      </c>
      <c r="U639" s="43" t="s">
        <v>31</v>
      </c>
      <c r="V639" s="43" t="s">
        <v>31</v>
      </c>
      <c r="AB639" s="39">
        <v>10</v>
      </c>
      <c r="AE639" s="103" t="s">
        <v>2925</v>
      </c>
      <c r="AI639" s="72" t="s">
        <v>2818</v>
      </c>
      <c r="AJ639" s="42" t="s">
        <v>27</v>
      </c>
      <c r="AK639" s="8" t="e">
        <f>VLOOKUP(A639,'[1]Externe MAJ Nov'!$A:$H,8,0)</f>
        <v>#N/A</v>
      </c>
      <c r="AL639" s="29" t="e">
        <f>VLOOKUP(A639,'[1]Externe MAJ Nov'!$A:$G,7,0)</f>
        <v>#N/A</v>
      </c>
      <c r="AM639" s="29"/>
      <c r="AN639" s="39" t="s">
        <v>27</v>
      </c>
      <c r="AO639" s="58" t="s">
        <v>2868</v>
      </c>
      <c r="AP639" s="29" t="e">
        <f>VLOOKUP(A639,'[2]External Scan 02_21'!$B:$J,9,0)</f>
        <v>#N/A</v>
      </c>
      <c r="AR639" s="75" t="s">
        <v>487</v>
      </c>
      <c r="AS639" s="21" t="str">
        <f>VLOOKUP(AE639,'ref statu'!A:B,2,0)</f>
        <v>DTP intervention de l'éditeur nécessaire</v>
      </c>
      <c r="AT639" s="8" t="e">
        <f>VLOOKUP(A639,chk!A:B,2,0)</f>
        <v>#N/A</v>
      </c>
      <c r="AU639" s="29" t="e">
        <f>VLOOKUP(A639,checker!A:B,2,0)</f>
        <v>#N/A</v>
      </c>
      <c r="AV639" s="29" t="e">
        <f>VLOOKUP(A639,checker!B:C,2,0)</f>
        <v>#N/A</v>
      </c>
    </row>
    <row r="640" spans="1:48" x14ac:dyDescent="0.3">
      <c r="A640" s="29" t="str">
        <f t="shared" si="9"/>
        <v>96.692.66.699/22/ssh-3des-ciphers</v>
      </c>
      <c r="B640" s="41" t="s">
        <v>3018</v>
      </c>
      <c r="C640" s="41" t="s">
        <v>2817</v>
      </c>
      <c r="E640" s="39" t="s">
        <v>95</v>
      </c>
      <c r="H640" s="43" t="s">
        <v>256</v>
      </c>
      <c r="I640" s="39" t="s">
        <v>2574</v>
      </c>
      <c r="J640" s="39">
        <v>22</v>
      </c>
      <c r="K640" s="41" t="s">
        <v>268</v>
      </c>
      <c r="L640" s="41" t="s">
        <v>269</v>
      </c>
      <c r="M640" s="9">
        <v>1</v>
      </c>
      <c r="N640" s="9" t="s">
        <v>42</v>
      </c>
      <c r="O640" s="41" t="s">
        <v>49</v>
      </c>
      <c r="P640" s="43" t="s">
        <v>50</v>
      </c>
      <c r="Q640" s="43" t="s">
        <v>51</v>
      </c>
      <c r="R640" s="43" t="s">
        <v>52</v>
      </c>
      <c r="S640" s="43" t="s">
        <v>53</v>
      </c>
      <c r="T640" s="43" t="s">
        <v>54</v>
      </c>
      <c r="U640" s="43" t="s">
        <v>31</v>
      </c>
      <c r="V640" s="43" t="s">
        <v>31</v>
      </c>
      <c r="AB640" s="39">
        <v>10</v>
      </c>
      <c r="AE640" s="103" t="s">
        <v>28</v>
      </c>
      <c r="AG640" s="65" t="s">
        <v>2924</v>
      </c>
      <c r="AI640" s="72" t="s">
        <v>2818</v>
      </c>
      <c r="AJ640" s="42" t="s">
        <v>27</v>
      </c>
      <c r="AK640" s="8" t="e">
        <f>VLOOKUP(A640,'[1]Externe MAJ Nov'!$A:$H,8,0)</f>
        <v>#N/A</v>
      </c>
      <c r="AL640" s="29" t="e">
        <f>VLOOKUP(A640,'[1]Externe MAJ Nov'!$A:$G,7,0)</f>
        <v>#N/A</v>
      </c>
      <c r="AM640" s="29"/>
      <c r="AN640" s="39" t="s">
        <v>27</v>
      </c>
      <c r="AO640" s="58" t="s">
        <v>2869</v>
      </c>
      <c r="AP640" s="29" t="e">
        <f>VLOOKUP(A640,'[2]External Scan 02_21'!$B:$J,9,0)</f>
        <v>#N/A</v>
      </c>
      <c r="AR640" s="75" t="s">
        <v>487</v>
      </c>
      <c r="AS640" s="21" t="str">
        <f>VLOOKUP(AE640,'ref statu'!A:B,2,0)</f>
        <v>Fixed</v>
      </c>
      <c r="AT640" s="8" t="e">
        <f>VLOOKUP(A640,chk!A:B,2,0)</f>
        <v>#N/A</v>
      </c>
      <c r="AU640" s="29" t="e">
        <f>VLOOKUP(A640,checker!A:B,2,0)</f>
        <v>#N/A</v>
      </c>
      <c r="AV640" s="29" t="e">
        <f>VLOOKUP(A640,checker!B:C,2,0)</f>
        <v>#N/A</v>
      </c>
    </row>
    <row r="641" spans="1:48" x14ac:dyDescent="0.3">
      <c r="A641" s="29" t="str">
        <f t="shared" si="9"/>
        <v>96.692.66.699/443/tlsv1_1-enabled</v>
      </c>
      <c r="B641" s="41" t="s">
        <v>3018</v>
      </c>
      <c r="C641" s="41" t="s">
        <v>2817</v>
      </c>
      <c r="E641" s="39" t="s">
        <v>95</v>
      </c>
      <c r="H641" s="43" t="s">
        <v>256</v>
      </c>
      <c r="I641" s="39" t="s">
        <v>2574</v>
      </c>
      <c r="J641" s="39">
        <v>443</v>
      </c>
      <c r="K641" s="41" t="s">
        <v>290</v>
      </c>
      <c r="L641" s="41" t="s">
        <v>2578</v>
      </c>
      <c r="M641" s="9">
        <v>3</v>
      </c>
      <c r="N641" s="9" t="s">
        <v>42</v>
      </c>
      <c r="O641" s="41" t="s">
        <v>142</v>
      </c>
      <c r="P641" s="43" t="s">
        <v>143</v>
      </c>
      <c r="Q641" s="43" t="s">
        <v>138</v>
      </c>
      <c r="R641" s="43" t="s">
        <v>139</v>
      </c>
      <c r="S641" s="43" t="s">
        <v>144</v>
      </c>
      <c r="T641" s="43" t="s">
        <v>141</v>
      </c>
      <c r="U641" s="43" t="s">
        <v>31</v>
      </c>
      <c r="V641" s="43" t="s">
        <v>31</v>
      </c>
      <c r="AB641" s="39">
        <v>10</v>
      </c>
      <c r="AE641" s="103" t="s">
        <v>2925</v>
      </c>
      <c r="AI641" s="72" t="s">
        <v>2818</v>
      </c>
      <c r="AJ641" s="42" t="s">
        <v>27</v>
      </c>
      <c r="AK641" s="8" t="e">
        <f>VLOOKUP(A641,'[1]Externe MAJ Nov'!$A:$H,8,0)</f>
        <v>#N/A</v>
      </c>
      <c r="AL641" s="29" t="e">
        <f>VLOOKUP(A641,'[1]Externe MAJ Nov'!$A:$G,7,0)</f>
        <v>#N/A</v>
      </c>
      <c r="AM641" s="29"/>
      <c r="AN641" s="39" t="s">
        <v>27</v>
      </c>
      <c r="AO641" s="58" t="s">
        <v>2870</v>
      </c>
      <c r="AP641" s="29" t="e">
        <f>VLOOKUP(A641,'[2]External Scan 02_21'!$B:$J,9,0)</f>
        <v>#N/A</v>
      </c>
      <c r="AR641" s="75" t="s">
        <v>487</v>
      </c>
      <c r="AS641" s="21" t="str">
        <f>VLOOKUP(AE641,'ref statu'!A:B,2,0)</f>
        <v>DTP intervention de l'éditeur nécessaire</v>
      </c>
      <c r="AT641" s="8" t="e">
        <f>VLOOKUP(A641,chk!A:B,2,0)</f>
        <v>#N/A</v>
      </c>
      <c r="AU641" s="29" t="e">
        <f>VLOOKUP(A641,checker!A:B,2,0)</f>
        <v>#N/A</v>
      </c>
      <c r="AV641" s="29" t="e">
        <f>VLOOKUP(A641,checker!B:C,2,0)</f>
        <v>#N/A</v>
      </c>
    </row>
    <row r="642" spans="1:48" x14ac:dyDescent="0.3">
      <c r="A642" s="29" t="str">
        <f t="shared" ref="A642:A693" si="11">B642&amp;"/"&amp;J642&amp;"/"&amp;O642</f>
        <v>96.692.66.699/444/tlsv1_1-enabled</v>
      </c>
      <c r="B642" s="41" t="s">
        <v>3018</v>
      </c>
      <c r="C642" s="41" t="s">
        <v>2817</v>
      </c>
      <c r="E642" s="39" t="s">
        <v>95</v>
      </c>
      <c r="H642" s="43" t="s">
        <v>256</v>
      </c>
      <c r="I642" s="39" t="s">
        <v>2574</v>
      </c>
      <c r="J642" s="39">
        <v>444</v>
      </c>
      <c r="K642" s="41" t="s">
        <v>2576</v>
      </c>
      <c r="L642" s="41" t="s">
        <v>31</v>
      </c>
      <c r="M642" s="9">
        <v>3</v>
      </c>
      <c r="N642" s="9" t="s">
        <v>42</v>
      </c>
      <c r="O642" s="41" t="s">
        <v>142</v>
      </c>
      <c r="P642" s="43" t="s">
        <v>143</v>
      </c>
      <c r="Q642" s="43" t="s">
        <v>138</v>
      </c>
      <c r="R642" s="43" t="s">
        <v>139</v>
      </c>
      <c r="S642" s="43" t="s">
        <v>144</v>
      </c>
      <c r="T642" s="43" t="s">
        <v>141</v>
      </c>
      <c r="U642" s="43" t="s">
        <v>31</v>
      </c>
      <c r="V642" s="43" t="s">
        <v>31</v>
      </c>
      <c r="AB642" s="39">
        <v>10</v>
      </c>
      <c r="AE642" s="103" t="s">
        <v>2925</v>
      </c>
      <c r="AI642" s="72" t="s">
        <v>2818</v>
      </c>
      <c r="AJ642" s="42" t="s">
        <v>27</v>
      </c>
      <c r="AK642" s="8" t="e">
        <f>VLOOKUP(A642,'[1]Externe MAJ Nov'!$A:$H,8,0)</f>
        <v>#N/A</v>
      </c>
      <c r="AL642" s="29" t="e">
        <f>VLOOKUP(A642,'[1]Externe MAJ Nov'!$A:$G,7,0)</f>
        <v>#N/A</v>
      </c>
      <c r="AM642" s="29"/>
      <c r="AN642" s="39" t="s">
        <v>27</v>
      </c>
      <c r="AO642" s="58" t="s">
        <v>2871</v>
      </c>
      <c r="AP642" s="29" t="e">
        <f>VLOOKUP(A642,'[2]External Scan 02_21'!$B:$J,9,0)</f>
        <v>#N/A</v>
      </c>
      <c r="AR642" s="75" t="s">
        <v>487</v>
      </c>
      <c r="AS642" s="21" t="str">
        <f>VLOOKUP(AE642,'ref statu'!A:B,2,0)</f>
        <v>DTP intervention de l'éditeur nécessaire</v>
      </c>
      <c r="AT642" s="8" t="e">
        <f>VLOOKUP(A642,chk!A:B,2,0)</f>
        <v>#N/A</v>
      </c>
      <c r="AU642" s="29" t="e">
        <f>VLOOKUP(A642,checker!A:B,2,0)</f>
        <v>#N/A</v>
      </c>
      <c r="AV642" s="29" t="e">
        <f>VLOOKUP(A642,checker!B:C,2,0)</f>
        <v>#N/A</v>
      </c>
    </row>
    <row r="643" spans="1:48" x14ac:dyDescent="0.3">
      <c r="A643" s="29" t="str">
        <f t="shared" si="11"/>
        <v>96.692.66.699/444/ssl-static-key-ciphers</v>
      </c>
      <c r="B643" s="41" t="s">
        <v>3018</v>
      </c>
      <c r="C643" s="41" t="s">
        <v>2817</v>
      </c>
      <c r="E643" s="39" t="s">
        <v>95</v>
      </c>
      <c r="H643" s="43" t="s">
        <v>256</v>
      </c>
      <c r="I643" s="39" t="s">
        <v>2574</v>
      </c>
      <c r="J643" s="39">
        <v>444</v>
      </c>
      <c r="K643" s="41" t="s">
        <v>2576</v>
      </c>
      <c r="L643" s="41" t="s">
        <v>31</v>
      </c>
      <c r="M643" s="9">
        <v>3</v>
      </c>
      <c r="N643" s="9" t="s">
        <v>42</v>
      </c>
      <c r="O643" s="41" t="s">
        <v>120</v>
      </c>
      <c r="P643" s="43" t="s">
        <v>121</v>
      </c>
      <c r="Q643" s="43" t="s">
        <v>122</v>
      </c>
      <c r="R643" s="43" t="s">
        <v>123</v>
      </c>
      <c r="S643" s="43" t="s">
        <v>146</v>
      </c>
      <c r="T643" s="43" t="s">
        <v>124</v>
      </c>
      <c r="U643" s="43" t="s">
        <v>31</v>
      </c>
      <c r="V643" s="43" t="s">
        <v>31</v>
      </c>
      <c r="AB643" s="39">
        <v>10</v>
      </c>
      <c r="AE643" s="103" t="s">
        <v>2925</v>
      </c>
      <c r="AI643" s="72" t="s">
        <v>2818</v>
      </c>
      <c r="AJ643" s="42" t="s">
        <v>27</v>
      </c>
      <c r="AK643" s="8" t="e">
        <f>VLOOKUP(A643,'[1]Externe MAJ Nov'!$A:$H,8,0)</f>
        <v>#N/A</v>
      </c>
      <c r="AL643" s="29" t="e">
        <f>VLOOKUP(A643,'[1]Externe MAJ Nov'!$A:$G,7,0)</f>
        <v>#N/A</v>
      </c>
      <c r="AM643" s="29"/>
      <c r="AN643" s="39" t="s">
        <v>27</v>
      </c>
      <c r="AO643" s="58" t="s">
        <v>2872</v>
      </c>
      <c r="AP643" s="29" t="e">
        <f>VLOOKUP(A643,'[2]External Scan 02_21'!$B:$J,9,0)</f>
        <v>#N/A</v>
      </c>
      <c r="AR643" s="75" t="s">
        <v>487</v>
      </c>
      <c r="AS643" s="21" t="str">
        <f>VLOOKUP(AE643,'ref statu'!A:B,2,0)</f>
        <v>DTP intervention de l'éditeur nécessaire</v>
      </c>
      <c r="AT643" s="8" t="e">
        <f>VLOOKUP(A643,chk!A:B,2,0)</f>
        <v>#N/A</v>
      </c>
      <c r="AU643" s="29" t="e">
        <f>VLOOKUP(A643,checker!A:B,2,0)</f>
        <v>#N/A</v>
      </c>
      <c r="AV643" s="29" t="e">
        <f>VLOOKUP(A643,checker!B:C,2,0)</f>
        <v>#N/A</v>
      </c>
    </row>
    <row r="644" spans="1:48" x14ac:dyDescent="0.3">
      <c r="A644" s="29" t="str">
        <f t="shared" si="11"/>
        <v>96.692.66.699/443/ssl-static-key-ciphers</v>
      </c>
      <c r="B644" s="41" t="s">
        <v>3018</v>
      </c>
      <c r="C644" s="41" t="s">
        <v>2817</v>
      </c>
      <c r="E644" s="39" t="s">
        <v>95</v>
      </c>
      <c r="H644" s="43" t="s">
        <v>256</v>
      </c>
      <c r="I644" s="39" t="s">
        <v>2574</v>
      </c>
      <c r="J644" s="39">
        <v>443</v>
      </c>
      <c r="K644" s="41" t="s">
        <v>290</v>
      </c>
      <c r="L644" s="41" t="s">
        <v>2578</v>
      </c>
      <c r="M644" s="9">
        <v>3</v>
      </c>
      <c r="N644" s="9" t="s">
        <v>42</v>
      </c>
      <c r="O644" s="41" t="s">
        <v>120</v>
      </c>
      <c r="P644" s="43" t="s">
        <v>121</v>
      </c>
      <c r="Q644" s="43" t="s">
        <v>122</v>
      </c>
      <c r="R644" s="43" t="s">
        <v>123</v>
      </c>
      <c r="S644" s="43" t="s">
        <v>146</v>
      </c>
      <c r="T644" s="43" t="s">
        <v>124</v>
      </c>
      <c r="U644" s="43" t="s">
        <v>31</v>
      </c>
      <c r="V644" s="43" t="s">
        <v>31</v>
      </c>
      <c r="AB644" s="39">
        <v>10</v>
      </c>
      <c r="AE644" s="103" t="s">
        <v>2925</v>
      </c>
      <c r="AI644" s="72" t="s">
        <v>2818</v>
      </c>
      <c r="AJ644" s="42" t="s">
        <v>27</v>
      </c>
      <c r="AK644" s="8" t="e">
        <f>VLOOKUP(A644,'[1]Externe MAJ Nov'!$A:$H,8,0)</f>
        <v>#N/A</v>
      </c>
      <c r="AL644" s="29" t="e">
        <f>VLOOKUP(A644,'[1]Externe MAJ Nov'!$A:$G,7,0)</f>
        <v>#N/A</v>
      </c>
      <c r="AM644" s="29"/>
      <c r="AN644" s="39" t="s">
        <v>27</v>
      </c>
      <c r="AO644" s="58" t="s">
        <v>2873</v>
      </c>
      <c r="AP644" s="29" t="e">
        <f>VLOOKUP(A644,'[2]External Scan 02_21'!$B:$J,9,0)</f>
        <v>#N/A</v>
      </c>
      <c r="AR644" s="75" t="s">
        <v>487</v>
      </c>
      <c r="AS644" s="21" t="str">
        <f>VLOOKUP(AE644,'ref statu'!A:B,2,0)</f>
        <v>DTP intervention de l'éditeur nécessaire</v>
      </c>
      <c r="AT644" s="8" t="e">
        <f>VLOOKUP(A644,chk!A:B,2,0)</f>
        <v>#N/A</v>
      </c>
      <c r="AU644" s="29" t="e">
        <f>VLOOKUP(A644,checker!A:B,2,0)</f>
        <v>#N/A</v>
      </c>
      <c r="AV644" s="29" t="e">
        <f>VLOOKUP(A644,checker!B:C,2,0)</f>
        <v>#N/A</v>
      </c>
    </row>
    <row r="645" spans="1:48" x14ac:dyDescent="0.3">
      <c r="A645" s="29" t="str">
        <f t="shared" si="11"/>
        <v>96.692.66.699/443/http-trace-method-enabled</v>
      </c>
      <c r="B645" s="41" t="s">
        <v>3018</v>
      </c>
      <c r="C645" s="41" t="s">
        <v>2817</v>
      </c>
      <c r="E645" s="39" t="s">
        <v>95</v>
      </c>
      <c r="H645" s="43" t="s">
        <v>256</v>
      </c>
      <c r="I645" s="39" t="s">
        <v>2574</v>
      </c>
      <c r="J645" s="39">
        <v>443</v>
      </c>
      <c r="K645" s="41" t="s">
        <v>290</v>
      </c>
      <c r="L645" s="41" t="s">
        <v>2578</v>
      </c>
      <c r="M645" s="9">
        <v>6</v>
      </c>
      <c r="N645" s="9" t="s">
        <v>29</v>
      </c>
      <c r="O645" s="41" t="s">
        <v>187</v>
      </c>
      <c r="P645" s="43" t="s">
        <v>188</v>
      </c>
      <c r="Q645" s="43" t="s">
        <v>189</v>
      </c>
      <c r="R645" s="43" t="s">
        <v>2462</v>
      </c>
      <c r="S645" s="43" t="s">
        <v>2703</v>
      </c>
      <c r="T645" s="43" t="s">
        <v>190</v>
      </c>
      <c r="U645" s="43" t="s">
        <v>191</v>
      </c>
      <c r="V645" s="43" t="s">
        <v>284</v>
      </c>
      <c r="AB645" s="39">
        <v>10</v>
      </c>
      <c r="AE645" s="103" t="s">
        <v>2925</v>
      </c>
      <c r="AI645" s="72" t="s">
        <v>2818</v>
      </c>
      <c r="AJ645" s="42" t="s">
        <v>27</v>
      </c>
      <c r="AK645" s="8" t="e">
        <f>VLOOKUP(A645,'[1]Externe MAJ Nov'!$A:$H,8,0)</f>
        <v>#N/A</v>
      </c>
      <c r="AL645" s="29" t="e">
        <f>VLOOKUP(A645,'[1]Externe MAJ Nov'!$A:$G,7,0)</f>
        <v>#N/A</v>
      </c>
      <c r="AM645" s="29"/>
      <c r="AN645" s="39" t="s">
        <v>27</v>
      </c>
      <c r="AO645" s="58" t="s">
        <v>2874</v>
      </c>
      <c r="AP645" s="29" t="e">
        <f>VLOOKUP(A645,'[2]External Scan 02_21'!$B:$J,9,0)</f>
        <v>#N/A</v>
      </c>
      <c r="AR645" s="75" t="s">
        <v>487</v>
      </c>
      <c r="AS645" s="21" t="str">
        <f>VLOOKUP(AE645,'ref statu'!A:B,2,0)</f>
        <v>DTP intervention de l'éditeur nécessaire</v>
      </c>
      <c r="AT645" s="8" t="e">
        <f>VLOOKUP(A645,chk!A:B,2,0)</f>
        <v>#N/A</v>
      </c>
      <c r="AU645" s="29" t="e">
        <f>VLOOKUP(A645,checker!A:B,2,0)</f>
        <v>#N/A</v>
      </c>
      <c r="AV645" s="29" t="e">
        <f>VLOOKUP(A645,checker!B:C,2,0)</f>
        <v>#N/A</v>
      </c>
    </row>
    <row r="646" spans="1:48" x14ac:dyDescent="0.3">
      <c r="A646" s="29" t="str">
        <f t="shared" si="11"/>
        <v>96.692.66.699/443/apache-httpd-cve-2011-3639</v>
      </c>
      <c r="B646" s="41" t="s">
        <v>3018</v>
      </c>
      <c r="C646" s="41" t="s">
        <v>2817</v>
      </c>
      <c r="E646" s="39" t="s">
        <v>95</v>
      </c>
      <c r="H646" s="43" t="s">
        <v>256</v>
      </c>
      <c r="I646" s="39" t="s">
        <v>2574</v>
      </c>
      <c r="J646" s="39">
        <v>443</v>
      </c>
      <c r="K646" s="41" t="s">
        <v>290</v>
      </c>
      <c r="L646" s="41" t="s">
        <v>2578</v>
      </c>
      <c r="M646" s="9">
        <v>4</v>
      </c>
      <c r="N646" s="9" t="s">
        <v>29</v>
      </c>
      <c r="O646" s="41" t="s">
        <v>2599</v>
      </c>
      <c r="P646" s="43" t="s">
        <v>2704</v>
      </c>
      <c r="Q646" s="43" t="s">
        <v>2705</v>
      </c>
      <c r="R646" s="43" t="s">
        <v>2706</v>
      </c>
      <c r="S646" s="43" t="s">
        <v>2626</v>
      </c>
      <c r="T646" s="43" t="s">
        <v>31</v>
      </c>
      <c r="U646" s="43" t="s">
        <v>2707</v>
      </c>
      <c r="V646" s="43" t="s">
        <v>2798</v>
      </c>
      <c r="AB646" s="39">
        <v>10</v>
      </c>
      <c r="AE646" s="103" t="s">
        <v>2925</v>
      </c>
      <c r="AI646" s="72" t="s">
        <v>2818</v>
      </c>
      <c r="AJ646" s="42" t="s">
        <v>27</v>
      </c>
      <c r="AK646" s="8" t="e">
        <f>VLOOKUP(A646,'[1]Externe MAJ Nov'!$A:$H,8,0)</f>
        <v>#N/A</v>
      </c>
      <c r="AL646" s="29" t="e">
        <f>VLOOKUP(A646,'[1]Externe MAJ Nov'!$A:$G,7,0)</f>
        <v>#N/A</v>
      </c>
      <c r="AM646" s="29"/>
      <c r="AN646" s="39" t="s">
        <v>27</v>
      </c>
      <c r="AO646" s="58" t="s">
        <v>2875</v>
      </c>
      <c r="AP646" s="29" t="e">
        <f>VLOOKUP(A646,'[2]External Scan 02_21'!$B:$J,9,0)</f>
        <v>#N/A</v>
      </c>
      <c r="AR646" s="75" t="s">
        <v>487</v>
      </c>
      <c r="AS646" s="21" t="str">
        <f>VLOOKUP(AE646,'ref statu'!A:B,2,0)</f>
        <v>DTP intervention de l'éditeur nécessaire</v>
      </c>
      <c r="AT646" s="8" t="e">
        <f>VLOOKUP(A646,chk!A:B,2,0)</f>
        <v>#N/A</v>
      </c>
      <c r="AU646" s="29" t="e">
        <f>VLOOKUP(A646,checker!A:B,2,0)</f>
        <v>#N/A</v>
      </c>
      <c r="AV646" s="29" t="e">
        <f>VLOOKUP(A646,checker!B:C,2,0)</f>
        <v>#N/A</v>
      </c>
    </row>
    <row r="647" spans="1:48" x14ac:dyDescent="0.3">
      <c r="A647" s="29" t="str">
        <f t="shared" si="11"/>
        <v>96.692.66.699/80/apache-httpd-cve-2011-3639</v>
      </c>
      <c r="B647" s="41" t="s">
        <v>3018</v>
      </c>
      <c r="C647" s="41" t="s">
        <v>2817</v>
      </c>
      <c r="E647" s="39" t="s">
        <v>95</v>
      </c>
      <c r="H647" s="43" t="s">
        <v>256</v>
      </c>
      <c r="I647" s="39" t="s">
        <v>2574</v>
      </c>
      <c r="J647" s="39">
        <v>80</v>
      </c>
      <c r="K647" s="41" t="s">
        <v>275</v>
      </c>
      <c r="L647" s="41" t="s">
        <v>2578</v>
      </c>
      <c r="M647" s="9">
        <v>4</v>
      </c>
      <c r="N647" s="9" t="s">
        <v>29</v>
      </c>
      <c r="O647" s="41" t="s">
        <v>2599</v>
      </c>
      <c r="P647" s="43" t="s">
        <v>2704</v>
      </c>
      <c r="Q647" s="43" t="s">
        <v>2705</v>
      </c>
      <c r="R647" s="43" t="s">
        <v>2706</v>
      </c>
      <c r="S647" s="43" t="s">
        <v>2629</v>
      </c>
      <c r="T647" s="43" t="s">
        <v>31</v>
      </c>
      <c r="U647" s="43" t="s">
        <v>2707</v>
      </c>
      <c r="V647" s="43" t="s">
        <v>2798</v>
      </c>
      <c r="AB647" s="39">
        <v>10</v>
      </c>
      <c r="AE647" s="103" t="s">
        <v>2925</v>
      </c>
      <c r="AI647" s="72" t="s">
        <v>2818</v>
      </c>
      <c r="AJ647" s="42" t="s">
        <v>27</v>
      </c>
      <c r="AK647" s="8" t="e">
        <f>VLOOKUP(A647,'[1]Externe MAJ Nov'!$A:$H,8,0)</f>
        <v>#N/A</v>
      </c>
      <c r="AL647" s="29" t="e">
        <f>VLOOKUP(A647,'[1]Externe MAJ Nov'!$A:$G,7,0)</f>
        <v>#N/A</v>
      </c>
      <c r="AM647" s="29"/>
      <c r="AN647" s="39" t="s">
        <v>27</v>
      </c>
      <c r="AO647" s="58" t="s">
        <v>2876</v>
      </c>
      <c r="AP647" s="29" t="e">
        <f>VLOOKUP(A647,'[2]External Scan 02_21'!$B:$J,9,0)</f>
        <v>#N/A</v>
      </c>
      <c r="AR647" s="75" t="s">
        <v>487</v>
      </c>
      <c r="AS647" s="21" t="str">
        <f>VLOOKUP(AE647,'ref statu'!A:B,2,0)</f>
        <v>DTP intervention de l'éditeur nécessaire</v>
      </c>
      <c r="AT647" s="8" t="e">
        <f>VLOOKUP(A647,chk!A:B,2,0)</f>
        <v>#N/A</v>
      </c>
      <c r="AU647" s="29" t="e">
        <f>VLOOKUP(A647,checker!A:B,2,0)</f>
        <v>#N/A</v>
      </c>
      <c r="AV647" s="29" t="e">
        <f>VLOOKUP(A647,checker!B:C,2,0)</f>
        <v>#N/A</v>
      </c>
    </row>
    <row r="648" spans="1:48" x14ac:dyDescent="0.3">
      <c r="A648" s="29" t="str">
        <f t="shared" si="11"/>
        <v>96.692.66.699/80/apache-httpd-cve-2011-3607</v>
      </c>
      <c r="B648" s="41" t="s">
        <v>3018</v>
      </c>
      <c r="C648" s="41" t="s">
        <v>2817</v>
      </c>
      <c r="E648" s="39" t="s">
        <v>95</v>
      </c>
      <c r="H648" s="43" t="s">
        <v>256</v>
      </c>
      <c r="I648" s="39" t="s">
        <v>2574</v>
      </c>
      <c r="J648" s="39">
        <v>80</v>
      </c>
      <c r="K648" s="41" t="s">
        <v>275</v>
      </c>
      <c r="L648" s="41" t="s">
        <v>2578</v>
      </c>
      <c r="M648" s="9">
        <v>4</v>
      </c>
      <c r="N648" s="9" t="s">
        <v>29</v>
      </c>
      <c r="O648" s="41" t="s">
        <v>2600</v>
      </c>
      <c r="P648" s="43" t="s">
        <v>2708</v>
      </c>
      <c r="Q648" s="43" t="s">
        <v>2709</v>
      </c>
      <c r="R648" s="43" t="s">
        <v>2625</v>
      </c>
      <c r="S648" s="43" t="s">
        <v>2629</v>
      </c>
      <c r="T648" s="43" t="s">
        <v>2627</v>
      </c>
      <c r="U648" s="43" t="s">
        <v>2710</v>
      </c>
      <c r="V648" s="43" t="s">
        <v>2799</v>
      </c>
      <c r="AB648" s="39">
        <v>10</v>
      </c>
      <c r="AE648" s="103" t="s">
        <v>2925</v>
      </c>
      <c r="AI648" s="72" t="s">
        <v>2818</v>
      </c>
      <c r="AJ648" s="42" t="s">
        <v>27</v>
      </c>
      <c r="AK648" s="8" t="e">
        <f>VLOOKUP(A648,'[1]Externe MAJ Nov'!$A:$H,8,0)</f>
        <v>#N/A</v>
      </c>
      <c r="AL648" s="29" t="e">
        <f>VLOOKUP(A648,'[1]Externe MAJ Nov'!$A:$G,7,0)</f>
        <v>#N/A</v>
      </c>
      <c r="AM648" s="29"/>
      <c r="AN648" s="39" t="s">
        <v>27</v>
      </c>
      <c r="AO648" s="58" t="s">
        <v>2877</v>
      </c>
      <c r="AP648" s="29" t="e">
        <f>VLOOKUP(A648,'[2]External Scan 02_21'!$B:$J,9,0)</f>
        <v>#N/A</v>
      </c>
      <c r="AR648" s="75" t="s">
        <v>487</v>
      </c>
      <c r="AS648" s="21" t="str">
        <f>VLOOKUP(AE648,'ref statu'!A:B,2,0)</f>
        <v>DTP intervention de l'éditeur nécessaire</v>
      </c>
      <c r="AT648" s="8" t="e">
        <f>VLOOKUP(A648,chk!A:B,2,0)</f>
        <v>#N/A</v>
      </c>
      <c r="AU648" s="29" t="e">
        <f>VLOOKUP(A648,checker!A:B,2,0)</f>
        <v>#N/A</v>
      </c>
      <c r="AV648" s="29" t="e">
        <f>VLOOKUP(A648,checker!B:C,2,0)</f>
        <v>#N/A</v>
      </c>
    </row>
    <row r="649" spans="1:48" x14ac:dyDescent="0.3">
      <c r="A649" s="29" t="str">
        <f t="shared" si="11"/>
        <v>96.692.66.699/443/apache-httpd-cve-2011-3607</v>
      </c>
      <c r="B649" s="41" t="s">
        <v>3018</v>
      </c>
      <c r="C649" s="41" t="s">
        <v>2817</v>
      </c>
      <c r="E649" s="39" t="s">
        <v>95</v>
      </c>
      <c r="H649" s="43" t="s">
        <v>256</v>
      </c>
      <c r="I649" s="39" t="s">
        <v>2574</v>
      </c>
      <c r="J649" s="39">
        <v>443</v>
      </c>
      <c r="K649" s="41" t="s">
        <v>290</v>
      </c>
      <c r="L649" s="41" t="s">
        <v>2578</v>
      </c>
      <c r="M649" s="9">
        <v>4</v>
      </c>
      <c r="N649" s="9" t="s">
        <v>29</v>
      </c>
      <c r="O649" s="41" t="s">
        <v>2600</v>
      </c>
      <c r="P649" s="43" t="s">
        <v>2708</v>
      </c>
      <c r="Q649" s="43" t="s">
        <v>2709</v>
      </c>
      <c r="R649" s="43" t="s">
        <v>2625</v>
      </c>
      <c r="S649" s="43" t="s">
        <v>2626</v>
      </c>
      <c r="T649" s="43" t="s">
        <v>2627</v>
      </c>
      <c r="U649" s="43" t="s">
        <v>2710</v>
      </c>
      <c r="V649" s="43" t="s">
        <v>2799</v>
      </c>
      <c r="AB649" s="39">
        <v>10</v>
      </c>
      <c r="AE649" s="103" t="s">
        <v>2925</v>
      </c>
      <c r="AI649" s="72" t="s">
        <v>2818</v>
      </c>
      <c r="AJ649" s="42" t="s">
        <v>27</v>
      </c>
      <c r="AK649" s="8" t="e">
        <f>VLOOKUP(A649,'[1]Externe MAJ Nov'!$A:$H,8,0)</f>
        <v>#N/A</v>
      </c>
      <c r="AL649" s="29" t="e">
        <f>VLOOKUP(A649,'[1]Externe MAJ Nov'!$A:$G,7,0)</f>
        <v>#N/A</v>
      </c>
      <c r="AM649" s="29"/>
      <c r="AN649" s="39" t="s">
        <v>27</v>
      </c>
      <c r="AO649" s="58" t="s">
        <v>2878</v>
      </c>
      <c r="AP649" s="29" t="e">
        <f>VLOOKUP(A649,'[2]External Scan 02_21'!$B:$J,9,0)</f>
        <v>#N/A</v>
      </c>
      <c r="AR649" s="75" t="s">
        <v>487</v>
      </c>
      <c r="AS649" s="21" t="str">
        <f>VLOOKUP(AE649,'ref statu'!A:B,2,0)</f>
        <v>DTP intervention de l'éditeur nécessaire</v>
      </c>
      <c r="AT649" s="8" t="e">
        <f>VLOOKUP(A649,chk!A:B,2,0)</f>
        <v>#N/A</v>
      </c>
      <c r="AU649" s="29" t="e">
        <f>VLOOKUP(A649,checker!A:B,2,0)</f>
        <v>#N/A</v>
      </c>
      <c r="AV649" s="29" t="e">
        <f>VLOOKUP(A649,checker!B:C,2,0)</f>
        <v>#N/A</v>
      </c>
    </row>
    <row r="650" spans="1:48" x14ac:dyDescent="0.3">
      <c r="A650" s="29" t="str">
        <f t="shared" si="11"/>
        <v>96.692.66.699/443/apache-httpd-cve-2011-4317</v>
      </c>
      <c r="B650" s="41" t="s">
        <v>3018</v>
      </c>
      <c r="C650" s="41" t="s">
        <v>2817</v>
      </c>
      <c r="E650" s="39" t="s">
        <v>95</v>
      </c>
      <c r="H650" s="43" t="s">
        <v>256</v>
      </c>
      <c r="I650" s="39" t="s">
        <v>2574</v>
      </c>
      <c r="J650" s="39">
        <v>443</v>
      </c>
      <c r="K650" s="41" t="s">
        <v>290</v>
      </c>
      <c r="L650" s="41" t="s">
        <v>2578</v>
      </c>
      <c r="M650" s="9">
        <v>4</v>
      </c>
      <c r="N650" s="9" t="s">
        <v>29</v>
      </c>
      <c r="O650" s="41" t="s">
        <v>2601</v>
      </c>
      <c r="P650" s="43" t="s">
        <v>2711</v>
      </c>
      <c r="Q650" s="43" t="s">
        <v>2712</v>
      </c>
      <c r="R650" s="43" t="s">
        <v>2713</v>
      </c>
      <c r="S650" s="43" t="s">
        <v>2626</v>
      </c>
      <c r="T650" s="43" t="s">
        <v>2680</v>
      </c>
      <c r="U650" s="43" t="s">
        <v>2714</v>
      </c>
      <c r="V650" s="43" t="s">
        <v>2800</v>
      </c>
      <c r="AB650" s="39">
        <v>10</v>
      </c>
      <c r="AE650" s="103" t="s">
        <v>2925</v>
      </c>
      <c r="AI650" s="72" t="s">
        <v>2818</v>
      </c>
      <c r="AJ650" s="42" t="s">
        <v>27</v>
      </c>
      <c r="AK650" s="8" t="e">
        <f>VLOOKUP(A650,'[1]Externe MAJ Nov'!$A:$H,8,0)</f>
        <v>#N/A</v>
      </c>
      <c r="AL650" s="29" t="e">
        <f>VLOOKUP(A650,'[1]Externe MAJ Nov'!$A:$G,7,0)</f>
        <v>#N/A</v>
      </c>
      <c r="AM650" s="29"/>
      <c r="AN650" s="39" t="s">
        <v>27</v>
      </c>
      <c r="AO650" s="58" t="s">
        <v>2879</v>
      </c>
      <c r="AP650" s="29" t="e">
        <f>VLOOKUP(A650,'[2]External Scan 02_21'!$B:$J,9,0)</f>
        <v>#N/A</v>
      </c>
      <c r="AR650" s="75" t="s">
        <v>487</v>
      </c>
      <c r="AS650" s="21" t="str">
        <f>VLOOKUP(AE650,'ref statu'!A:B,2,0)</f>
        <v>DTP intervention de l'éditeur nécessaire</v>
      </c>
      <c r="AT650" s="8" t="e">
        <f>VLOOKUP(A650,chk!A:B,2,0)</f>
        <v>#N/A</v>
      </c>
      <c r="AU650" s="29" t="e">
        <f>VLOOKUP(A650,checker!A:B,2,0)</f>
        <v>#N/A</v>
      </c>
      <c r="AV650" s="29" t="e">
        <f>VLOOKUP(A650,checker!B:C,2,0)</f>
        <v>#N/A</v>
      </c>
    </row>
    <row r="651" spans="1:48" x14ac:dyDescent="0.3">
      <c r="A651" s="29" t="str">
        <f t="shared" si="11"/>
        <v>96.692.66.699/80/apache-httpd-cve-2011-4317</v>
      </c>
      <c r="B651" s="41" t="s">
        <v>3018</v>
      </c>
      <c r="C651" s="41" t="s">
        <v>2817</v>
      </c>
      <c r="E651" s="39" t="s">
        <v>95</v>
      </c>
      <c r="H651" s="43" t="s">
        <v>256</v>
      </c>
      <c r="I651" s="39" t="s">
        <v>2574</v>
      </c>
      <c r="J651" s="39">
        <v>80</v>
      </c>
      <c r="K651" s="41" t="s">
        <v>275</v>
      </c>
      <c r="L651" s="41" t="s">
        <v>2578</v>
      </c>
      <c r="M651" s="9">
        <v>4</v>
      </c>
      <c r="N651" s="9" t="s">
        <v>29</v>
      </c>
      <c r="O651" s="41" t="s">
        <v>2601</v>
      </c>
      <c r="P651" s="43" t="s">
        <v>2711</v>
      </c>
      <c r="Q651" s="43" t="s">
        <v>2712</v>
      </c>
      <c r="R651" s="43" t="s">
        <v>2713</v>
      </c>
      <c r="S651" s="43" t="s">
        <v>2629</v>
      </c>
      <c r="T651" s="43" t="s">
        <v>2680</v>
      </c>
      <c r="U651" s="43" t="s">
        <v>2714</v>
      </c>
      <c r="V651" s="43" t="s">
        <v>2800</v>
      </c>
      <c r="AB651" s="39">
        <v>10</v>
      </c>
      <c r="AE651" s="103" t="s">
        <v>2925</v>
      </c>
      <c r="AI651" s="72" t="s">
        <v>2818</v>
      </c>
      <c r="AJ651" s="42" t="s">
        <v>27</v>
      </c>
      <c r="AK651" s="8" t="e">
        <f>VLOOKUP(A651,'[1]Externe MAJ Nov'!$A:$H,8,0)</f>
        <v>#N/A</v>
      </c>
      <c r="AL651" s="29" t="e">
        <f>VLOOKUP(A651,'[1]Externe MAJ Nov'!$A:$G,7,0)</f>
        <v>#N/A</v>
      </c>
      <c r="AM651" s="29"/>
      <c r="AN651" s="39" t="s">
        <v>27</v>
      </c>
      <c r="AO651" s="58" t="s">
        <v>2880</v>
      </c>
      <c r="AP651" s="29" t="e">
        <f>VLOOKUP(A651,'[2]External Scan 02_21'!$B:$J,9,0)</f>
        <v>#N/A</v>
      </c>
      <c r="AR651" s="75" t="s">
        <v>487</v>
      </c>
      <c r="AS651" s="21" t="str">
        <f>VLOOKUP(AE651,'ref statu'!A:B,2,0)</f>
        <v>DTP intervention de l'éditeur nécessaire</v>
      </c>
      <c r="AT651" s="8" t="e">
        <f>VLOOKUP(A651,chk!A:B,2,0)</f>
        <v>#N/A</v>
      </c>
      <c r="AU651" s="29" t="e">
        <f>VLOOKUP(A651,checker!A:B,2,0)</f>
        <v>#N/A</v>
      </c>
      <c r="AV651" s="29" t="e">
        <f>VLOOKUP(A651,checker!B:C,2,0)</f>
        <v>#N/A</v>
      </c>
    </row>
    <row r="652" spans="1:48" x14ac:dyDescent="0.3">
      <c r="A652" s="29" t="str">
        <f t="shared" si="11"/>
        <v>96.692.66.699/443/apache-httpd-cve-2012-2687</v>
      </c>
      <c r="B652" s="41" t="s">
        <v>3018</v>
      </c>
      <c r="C652" s="41" t="s">
        <v>2817</v>
      </c>
      <c r="E652" s="39" t="s">
        <v>95</v>
      </c>
      <c r="H652" s="43" t="s">
        <v>256</v>
      </c>
      <c r="I652" s="39" t="s">
        <v>2574</v>
      </c>
      <c r="J652" s="39">
        <v>443</v>
      </c>
      <c r="K652" s="41" t="s">
        <v>290</v>
      </c>
      <c r="L652" s="41" t="s">
        <v>2578</v>
      </c>
      <c r="M652" s="9">
        <v>3</v>
      </c>
      <c r="N652" s="9" t="s">
        <v>42</v>
      </c>
      <c r="O652" s="41" t="s">
        <v>2602</v>
      </c>
      <c r="P652" s="43" t="s">
        <v>2715</v>
      </c>
      <c r="Q652" s="43" t="s">
        <v>2716</v>
      </c>
      <c r="R652" s="43" t="s">
        <v>2717</v>
      </c>
      <c r="S652" s="43" t="s">
        <v>2626</v>
      </c>
      <c r="T652" s="43" t="s">
        <v>2633</v>
      </c>
      <c r="U652" s="43" t="s">
        <v>2718</v>
      </c>
      <c r="V652" s="43" t="s">
        <v>2801</v>
      </c>
      <c r="AB652" s="39">
        <v>10</v>
      </c>
      <c r="AE652" s="103" t="s">
        <v>2925</v>
      </c>
      <c r="AI652" s="72" t="s">
        <v>2818</v>
      </c>
      <c r="AJ652" s="42" t="s">
        <v>27</v>
      </c>
      <c r="AK652" s="8" t="e">
        <f>VLOOKUP(A652,'[1]Externe MAJ Nov'!$A:$H,8,0)</f>
        <v>#N/A</v>
      </c>
      <c r="AL652" s="29" t="e">
        <f>VLOOKUP(A652,'[1]Externe MAJ Nov'!$A:$G,7,0)</f>
        <v>#N/A</v>
      </c>
      <c r="AM652" s="29"/>
      <c r="AN652" s="39" t="s">
        <v>27</v>
      </c>
      <c r="AO652" s="58" t="s">
        <v>2881</v>
      </c>
      <c r="AP652" s="29" t="e">
        <f>VLOOKUP(A652,'[2]External Scan 02_21'!$B:$J,9,0)</f>
        <v>#N/A</v>
      </c>
      <c r="AR652" s="75" t="s">
        <v>487</v>
      </c>
      <c r="AS652" s="21" t="str">
        <f>VLOOKUP(AE652,'ref statu'!A:B,2,0)</f>
        <v>DTP intervention de l'éditeur nécessaire</v>
      </c>
      <c r="AT652" s="8" t="e">
        <f>VLOOKUP(A652,chk!A:B,2,0)</f>
        <v>#N/A</v>
      </c>
      <c r="AU652" s="29" t="e">
        <f>VLOOKUP(A652,checker!A:B,2,0)</f>
        <v>#N/A</v>
      </c>
      <c r="AV652" s="29" t="e">
        <f>VLOOKUP(A652,checker!B:C,2,0)</f>
        <v>#N/A</v>
      </c>
    </row>
    <row r="653" spans="1:48" x14ac:dyDescent="0.3">
      <c r="A653" s="29" t="str">
        <f t="shared" si="11"/>
        <v>96.692.66.699/80/apache-httpd-cve-2012-2687</v>
      </c>
      <c r="B653" s="41" t="s">
        <v>3018</v>
      </c>
      <c r="C653" s="41" t="s">
        <v>2817</v>
      </c>
      <c r="E653" s="39" t="s">
        <v>95</v>
      </c>
      <c r="H653" s="43" t="s">
        <v>256</v>
      </c>
      <c r="I653" s="39" t="s">
        <v>2574</v>
      </c>
      <c r="J653" s="39">
        <v>80</v>
      </c>
      <c r="K653" s="41" t="s">
        <v>275</v>
      </c>
      <c r="L653" s="41" t="s">
        <v>2578</v>
      </c>
      <c r="M653" s="9">
        <v>3</v>
      </c>
      <c r="N653" s="9" t="s">
        <v>42</v>
      </c>
      <c r="O653" s="41" t="s">
        <v>2602</v>
      </c>
      <c r="P653" s="43" t="s">
        <v>2715</v>
      </c>
      <c r="Q653" s="43" t="s">
        <v>2716</v>
      </c>
      <c r="R653" s="43" t="s">
        <v>2717</v>
      </c>
      <c r="S653" s="43" t="s">
        <v>2629</v>
      </c>
      <c r="T653" s="43" t="s">
        <v>2633</v>
      </c>
      <c r="U653" s="43" t="s">
        <v>2718</v>
      </c>
      <c r="V653" s="43" t="s">
        <v>2801</v>
      </c>
      <c r="AB653" s="39">
        <v>10</v>
      </c>
      <c r="AE653" s="103" t="s">
        <v>2925</v>
      </c>
      <c r="AI653" s="72" t="s">
        <v>2818</v>
      </c>
      <c r="AJ653" s="42" t="s">
        <v>27</v>
      </c>
      <c r="AK653" s="8" t="e">
        <f>VLOOKUP(A653,'[1]Externe MAJ Nov'!$A:$H,8,0)</f>
        <v>#N/A</v>
      </c>
      <c r="AL653" s="29" t="e">
        <f>VLOOKUP(A653,'[1]Externe MAJ Nov'!$A:$G,7,0)</f>
        <v>#N/A</v>
      </c>
      <c r="AM653" s="29"/>
      <c r="AN653" s="39" t="s">
        <v>27</v>
      </c>
      <c r="AO653" s="58" t="s">
        <v>2882</v>
      </c>
      <c r="AP653" s="29" t="e">
        <f>VLOOKUP(A653,'[2]External Scan 02_21'!$B:$J,9,0)</f>
        <v>#N/A</v>
      </c>
      <c r="AR653" s="75" t="s">
        <v>487</v>
      </c>
      <c r="AS653" s="21" t="str">
        <f>VLOOKUP(AE653,'ref statu'!A:B,2,0)</f>
        <v>DTP intervention de l'éditeur nécessaire</v>
      </c>
      <c r="AT653" s="8" t="e">
        <f>VLOOKUP(A653,chk!A:B,2,0)</f>
        <v>#N/A</v>
      </c>
      <c r="AU653" s="29" t="e">
        <f>VLOOKUP(A653,checker!A:B,2,0)</f>
        <v>#N/A</v>
      </c>
      <c r="AV653" s="29" t="e">
        <f>VLOOKUP(A653,checker!B:C,2,0)</f>
        <v>#N/A</v>
      </c>
    </row>
    <row r="654" spans="1:48" x14ac:dyDescent="0.3">
      <c r="A654" s="29" t="str">
        <f t="shared" si="11"/>
        <v>96.692.66.699/80/apache-httpd-cve-2009-3560</v>
      </c>
      <c r="B654" s="41" t="s">
        <v>3018</v>
      </c>
      <c r="C654" s="41" t="s">
        <v>2817</v>
      </c>
      <c r="E654" s="39" t="s">
        <v>95</v>
      </c>
      <c r="H654" s="43" t="s">
        <v>256</v>
      </c>
      <c r="I654" s="39" t="s">
        <v>2574</v>
      </c>
      <c r="J654" s="39">
        <v>80</v>
      </c>
      <c r="K654" s="41" t="s">
        <v>275</v>
      </c>
      <c r="L654" s="41" t="s">
        <v>2578</v>
      </c>
      <c r="M654" s="9">
        <v>5</v>
      </c>
      <c r="N654" s="9" t="s">
        <v>29</v>
      </c>
      <c r="O654" s="41" t="s">
        <v>2603</v>
      </c>
      <c r="P654" s="43" t="s">
        <v>2719</v>
      </c>
      <c r="Q654" s="43" t="s">
        <v>2683</v>
      </c>
      <c r="R654" s="43" t="s">
        <v>2684</v>
      </c>
      <c r="S654" s="43" t="s">
        <v>2629</v>
      </c>
      <c r="T654" s="43" t="s">
        <v>2627</v>
      </c>
      <c r="U654" s="43" t="s">
        <v>2720</v>
      </c>
      <c r="V654" s="43" t="s">
        <v>2802</v>
      </c>
      <c r="AB654" s="39">
        <v>10</v>
      </c>
      <c r="AE654" s="103" t="s">
        <v>2925</v>
      </c>
      <c r="AI654" s="72" t="s">
        <v>2818</v>
      </c>
      <c r="AJ654" s="42" t="s">
        <v>27</v>
      </c>
      <c r="AK654" s="8" t="e">
        <f>VLOOKUP(A654,'[1]Externe MAJ Nov'!$A:$H,8,0)</f>
        <v>#N/A</v>
      </c>
      <c r="AL654" s="29" t="e">
        <f>VLOOKUP(A654,'[1]Externe MAJ Nov'!$A:$G,7,0)</f>
        <v>#N/A</v>
      </c>
      <c r="AM654" s="29"/>
      <c r="AN654" s="39" t="s">
        <v>27</v>
      </c>
      <c r="AO654" s="58" t="s">
        <v>2883</v>
      </c>
      <c r="AP654" s="29" t="e">
        <f>VLOOKUP(A654,'[2]External Scan 02_21'!$B:$J,9,0)</f>
        <v>#N/A</v>
      </c>
      <c r="AR654" s="75" t="s">
        <v>487</v>
      </c>
      <c r="AS654" s="21" t="str">
        <f>VLOOKUP(AE654,'ref statu'!A:B,2,0)</f>
        <v>DTP intervention de l'éditeur nécessaire</v>
      </c>
      <c r="AT654" s="8" t="e">
        <f>VLOOKUP(A654,chk!A:B,2,0)</f>
        <v>#N/A</v>
      </c>
      <c r="AU654" s="29" t="e">
        <f>VLOOKUP(A654,checker!A:B,2,0)</f>
        <v>#N/A</v>
      </c>
      <c r="AV654" s="29" t="e">
        <f>VLOOKUP(A654,checker!B:C,2,0)</f>
        <v>#N/A</v>
      </c>
    </row>
    <row r="655" spans="1:48" x14ac:dyDescent="0.3">
      <c r="A655" s="29" t="str">
        <f t="shared" si="11"/>
        <v>96.692.66.699/443/apache-httpd-cve-2009-3560</v>
      </c>
      <c r="B655" s="41" t="s">
        <v>3018</v>
      </c>
      <c r="C655" s="41" t="s">
        <v>2817</v>
      </c>
      <c r="E655" s="39" t="s">
        <v>95</v>
      </c>
      <c r="H655" s="43" t="s">
        <v>256</v>
      </c>
      <c r="I655" s="39" t="s">
        <v>2574</v>
      </c>
      <c r="J655" s="39">
        <v>443</v>
      </c>
      <c r="K655" s="41" t="s">
        <v>290</v>
      </c>
      <c r="L655" s="41" t="s">
        <v>2578</v>
      </c>
      <c r="M655" s="9">
        <v>5</v>
      </c>
      <c r="N655" s="9" t="s">
        <v>29</v>
      </c>
      <c r="O655" s="41" t="s">
        <v>2603</v>
      </c>
      <c r="P655" s="43" t="s">
        <v>2719</v>
      </c>
      <c r="Q655" s="43" t="s">
        <v>2683</v>
      </c>
      <c r="R655" s="43" t="s">
        <v>2684</v>
      </c>
      <c r="S655" s="43" t="s">
        <v>2626</v>
      </c>
      <c r="T655" s="43" t="s">
        <v>2627</v>
      </c>
      <c r="U655" s="43" t="s">
        <v>2720</v>
      </c>
      <c r="V655" s="43" t="s">
        <v>2802</v>
      </c>
      <c r="AB655" s="39">
        <v>10</v>
      </c>
      <c r="AE655" s="103" t="s">
        <v>2925</v>
      </c>
      <c r="AI655" s="72" t="s">
        <v>2818</v>
      </c>
      <c r="AJ655" s="42" t="s">
        <v>27</v>
      </c>
      <c r="AK655" s="8" t="e">
        <f>VLOOKUP(A655,'[1]Externe MAJ Nov'!$A:$H,8,0)</f>
        <v>#N/A</v>
      </c>
      <c r="AL655" s="29" t="e">
        <f>VLOOKUP(A655,'[1]Externe MAJ Nov'!$A:$G,7,0)</f>
        <v>#N/A</v>
      </c>
      <c r="AM655" s="29"/>
      <c r="AN655" s="39" t="s">
        <v>27</v>
      </c>
      <c r="AO655" s="58" t="s">
        <v>2884</v>
      </c>
      <c r="AP655" s="29" t="e">
        <f>VLOOKUP(A655,'[2]External Scan 02_21'!$B:$J,9,0)</f>
        <v>#N/A</v>
      </c>
      <c r="AR655" s="75" t="s">
        <v>487</v>
      </c>
      <c r="AS655" s="21" t="str">
        <f>VLOOKUP(AE655,'ref statu'!A:B,2,0)</f>
        <v>DTP intervention de l'éditeur nécessaire</v>
      </c>
      <c r="AT655" s="8" t="e">
        <f>VLOOKUP(A655,chk!A:B,2,0)</f>
        <v>#N/A</v>
      </c>
      <c r="AU655" s="29" t="e">
        <f>VLOOKUP(A655,checker!A:B,2,0)</f>
        <v>#N/A</v>
      </c>
      <c r="AV655" s="29" t="e">
        <f>VLOOKUP(A655,checker!B:C,2,0)</f>
        <v>#N/A</v>
      </c>
    </row>
    <row r="656" spans="1:48" x14ac:dyDescent="0.3">
      <c r="A656" s="29" t="str">
        <f t="shared" si="11"/>
        <v>96.692.66.699/80/apache-httpd-cve-2013-1862</v>
      </c>
      <c r="B656" s="41" t="s">
        <v>3018</v>
      </c>
      <c r="C656" s="41" t="s">
        <v>2817</v>
      </c>
      <c r="E656" s="39" t="s">
        <v>95</v>
      </c>
      <c r="H656" s="43" t="s">
        <v>256</v>
      </c>
      <c r="I656" s="39" t="s">
        <v>2574</v>
      </c>
      <c r="J656" s="39">
        <v>80</v>
      </c>
      <c r="K656" s="41" t="s">
        <v>275</v>
      </c>
      <c r="L656" s="41" t="s">
        <v>2578</v>
      </c>
      <c r="M656" s="9">
        <v>5</v>
      </c>
      <c r="N656" s="9" t="s">
        <v>29</v>
      </c>
      <c r="O656" s="41" t="s">
        <v>2604</v>
      </c>
      <c r="P656" s="43" t="s">
        <v>2721</v>
      </c>
      <c r="Q656" s="43" t="s">
        <v>2722</v>
      </c>
      <c r="R656" s="43" t="s">
        <v>2723</v>
      </c>
      <c r="S656" s="43" t="s">
        <v>2629</v>
      </c>
      <c r="T656" s="43" t="s">
        <v>2627</v>
      </c>
      <c r="U656" s="43" t="s">
        <v>2724</v>
      </c>
      <c r="V656" s="43" t="s">
        <v>2803</v>
      </c>
      <c r="AB656" s="39">
        <v>10</v>
      </c>
      <c r="AE656" s="103" t="s">
        <v>2925</v>
      </c>
      <c r="AI656" s="72" t="s">
        <v>2818</v>
      </c>
      <c r="AJ656" s="42" t="s">
        <v>27</v>
      </c>
      <c r="AK656" s="8" t="e">
        <f>VLOOKUP(A656,'[1]Externe MAJ Nov'!$A:$H,8,0)</f>
        <v>#N/A</v>
      </c>
      <c r="AL656" s="29" t="e">
        <f>VLOOKUP(A656,'[1]Externe MAJ Nov'!$A:$G,7,0)</f>
        <v>#N/A</v>
      </c>
      <c r="AM656" s="29"/>
      <c r="AN656" s="39" t="s">
        <v>27</v>
      </c>
      <c r="AO656" s="58" t="s">
        <v>2885</v>
      </c>
      <c r="AP656" s="29" t="e">
        <f>VLOOKUP(A656,'[2]External Scan 02_21'!$B:$J,9,0)</f>
        <v>#N/A</v>
      </c>
      <c r="AR656" s="75" t="s">
        <v>487</v>
      </c>
      <c r="AS656" s="21" t="str">
        <f>VLOOKUP(AE656,'ref statu'!A:B,2,0)</f>
        <v>DTP intervention de l'éditeur nécessaire</v>
      </c>
      <c r="AT656" s="8" t="e">
        <f>VLOOKUP(A656,chk!A:B,2,0)</f>
        <v>#N/A</v>
      </c>
      <c r="AU656" s="29" t="e">
        <f>VLOOKUP(A656,checker!A:B,2,0)</f>
        <v>#N/A</v>
      </c>
      <c r="AV656" s="29" t="e">
        <f>VLOOKUP(A656,checker!B:C,2,0)</f>
        <v>#N/A</v>
      </c>
    </row>
    <row r="657" spans="1:48" x14ac:dyDescent="0.3">
      <c r="A657" s="29" t="str">
        <f t="shared" si="11"/>
        <v>96.692.66.699/443/apache-httpd-cve-2013-1862</v>
      </c>
      <c r="B657" s="41" t="s">
        <v>3018</v>
      </c>
      <c r="C657" s="41" t="s">
        <v>2817</v>
      </c>
      <c r="E657" s="39" t="s">
        <v>95</v>
      </c>
      <c r="H657" s="43" t="s">
        <v>256</v>
      </c>
      <c r="I657" s="39" t="s">
        <v>2574</v>
      </c>
      <c r="J657" s="39">
        <v>443</v>
      </c>
      <c r="K657" s="41" t="s">
        <v>290</v>
      </c>
      <c r="L657" s="41" t="s">
        <v>2578</v>
      </c>
      <c r="M657" s="9">
        <v>5</v>
      </c>
      <c r="N657" s="9" t="s">
        <v>29</v>
      </c>
      <c r="O657" s="41" t="s">
        <v>2604</v>
      </c>
      <c r="P657" s="43" t="s">
        <v>2721</v>
      </c>
      <c r="Q657" s="43" t="s">
        <v>2722</v>
      </c>
      <c r="R657" s="43" t="s">
        <v>2723</v>
      </c>
      <c r="S657" s="43" t="s">
        <v>2626</v>
      </c>
      <c r="T657" s="43" t="s">
        <v>2627</v>
      </c>
      <c r="U657" s="43" t="s">
        <v>2724</v>
      </c>
      <c r="V657" s="43" t="s">
        <v>2803</v>
      </c>
      <c r="AB657" s="39">
        <v>10</v>
      </c>
      <c r="AE657" s="103" t="s">
        <v>2925</v>
      </c>
      <c r="AI657" s="72" t="s">
        <v>2818</v>
      </c>
      <c r="AJ657" s="42" t="s">
        <v>27</v>
      </c>
      <c r="AK657" s="8" t="e">
        <f>VLOOKUP(A657,'[1]Externe MAJ Nov'!$A:$H,8,0)</f>
        <v>#N/A</v>
      </c>
      <c r="AL657" s="29" t="e">
        <f>VLOOKUP(A657,'[1]Externe MAJ Nov'!$A:$G,7,0)</f>
        <v>#N/A</v>
      </c>
      <c r="AM657" s="29"/>
      <c r="AN657" s="39" t="s">
        <v>27</v>
      </c>
      <c r="AO657" s="58" t="s">
        <v>2886</v>
      </c>
      <c r="AP657" s="29" t="e">
        <f>VLOOKUP(A657,'[2]External Scan 02_21'!$B:$J,9,0)</f>
        <v>#N/A</v>
      </c>
      <c r="AR657" s="75" t="s">
        <v>487</v>
      </c>
      <c r="AS657" s="21" t="str">
        <f>VLOOKUP(AE657,'ref statu'!A:B,2,0)</f>
        <v>DTP intervention de l'éditeur nécessaire</v>
      </c>
      <c r="AT657" s="8" t="e">
        <f>VLOOKUP(A657,chk!A:B,2,0)</f>
        <v>#N/A</v>
      </c>
      <c r="AU657" s="29" t="e">
        <f>VLOOKUP(A657,checker!A:B,2,0)</f>
        <v>#N/A</v>
      </c>
      <c r="AV657" s="29" t="e">
        <f>VLOOKUP(A657,checker!B:C,2,0)</f>
        <v>#N/A</v>
      </c>
    </row>
    <row r="658" spans="1:48" x14ac:dyDescent="0.3">
      <c r="A658" s="29" t="str">
        <f t="shared" si="11"/>
        <v>96.692.66.699/443/apache-httpd-cve-2014-0231</v>
      </c>
      <c r="B658" s="41" t="s">
        <v>3018</v>
      </c>
      <c r="C658" s="41" t="s">
        <v>2817</v>
      </c>
      <c r="E658" s="39" t="s">
        <v>95</v>
      </c>
      <c r="H658" s="43" t="s">
        <v>256</v>
      </c>
      <c r="I658" s="39" t="s">
        <v>2574</v>
      </c>
      <c r="J658" s="39">
        <v>443</v>
      </c>
      <c r="K658" s="41" t="s">
        <v>290</v>
      </c>
      <c r="L658" s="41" t="s">
        <v>2578</v>
      </c>
      <c r="M658" s="9">
        <v>5</v>
      </c>
      <c r="N658" s="9" t="s">
        <v>29</v>
      </c>
      <c r="O658" s="41" t="s">
        <v>2605</v>
      </c>
      <c r="P658" s="43" t="s">
        <v>2725</v>
      </c>
      <c r="Q658" s="43" t="s">
        <v>2726</v>
      </c>
      <c r="R658" s="43" t="s">
        <v>2649</v>
      </c>
      <c r="S658" s="43" t="s">
        <v>2626</v>
      </c>
      <c r="T658" s="43" t="s">
        <v>2633</v>
      </c>
      <c r="U658" s="43" t="s">
        <v>2727</v>
      </c>
      <c r="V658" s="43" t="s">
        <v>2804</v>
      </c>
      <c r="AB658" s="39">
        <v>10</v>
      </c>
      <c r="AE658" s="103" t="s">
        <v>2925</v>
      </c>
      <c r="AI658" s="72" t="s">
        <v>2818</v>
      </c>
      <c r="AJ658" s="42" t="s">
        <v>27</v>
      </c>
      <c r="AK658" s="8" t="e">
        <f>VLOOKUP(A658,'[1]Externe MAJ Nov'!$A:$H,8,0)</f>
        <v>#N/A</v>
      </c>
      <c r="AL658" s="29" t="e">
        <f>VLOOKUP(A658,'[1]Externe MAJ Nov'!$A:$G,7,0)</f>
        <v>#N/A</v>
      </c>
      <c r="AM658" s="29"/>
      <c r="AN658" s="39" t="s">
        <v>27</v>
      </c>
      <c r="AO658" s="58" t="s">
        <v>2887</v>
      </c>
      <c r="AP658" s="29" t="e">
        <f>VLOOKUP(A658,'[2]External Scan 02_21'!$B:$J,9,0)</f>
        <v>#N/A</v>
      </c>
      <c r="AR658" s="75" t="s">
        <v>487</v>
      </c>
      <c r="AS658" s="21" t="str">
        <f>VLOOKUP(AE658,'ref statu'!A:B,2,0)</f>
        <v>DTP intervention de l'éditeur nécessaire</v>
      </c>
      <c r="AT658" s="8" t="e">
        <f>VLOOKUP(A658,chk!A:B,2,0)</f>
        <v>#N/A</v>
      </c>
      <c r="AU658" s="29" t="e">
        <f>VLOOKUP(A658,checker!A:B,2,0)</f>
        <v>#N/A</v>
      </c>
      <c r="AV658" s="29" t="e">
        <f>VLOOKUP(A658,checker!B:C,2,0)</f>
        <v>#N/A</v>
      </c>
    </row>
    <row r="659" spans="1:48" x14ac:dyDescent="0.3">
      <c r="A659" s="29" t="str">
        <f t="shared" si="11"/>
        <v>96.692.66.699/80/apache-httpd-cve-2014-0231</v>
      </c>
      <c r="B659" s="41" t="s">
        <v>3018</v>
      </c>
      <c r="C659" s="41" t="s">
        <v>2817</v>
      </c>
      <c r="E659" s="39" t="s">
        <v>95</v>
      </c>
      <c r="H659" s="43" t="s">
        <v>256</v>
      </c>
      <c r="I659" s="39" t="s">
        <v>2574</v>
      </c>
      <c r="J659" s="39">
        <v>80</v>
      </c>
      <c r="K659" s="41" t="s">
        <v>275</v>
      </c>
      <c r="L659" s="41" t="s">
        <v>2578</v>
      </c>
      <c r="M659" s="9">
        <v>5</v>
      </c>
      <c r="N659" s="9" t="s">
        <v>29</v>
      </c>
      <c r="O659" s="41" t="s">
        <v>2605</v>
      </c>
      <c r="P659" s="43" t="s">
        <v>2725</v>
      </c>
      <c r="Q659" s="43" t="s">
        <v>2726</v>
      </c>
      <c r="R659" s="43" t="s">
        <v>2649</v>
      </c>
      <c r="S659" s="43" t="s">
        <v>2629</v>
      </c>
      <c r="T659" s="43" t="s">
        <v>2633</v>
      </c>
      <c r="U659" s="43" t="s">
        <v>2727</v>
      </c>
      <c r="V659" s="43" t="s">
        <v>2804</v>
      </c>
      <c r="AB659" s="39">
        <v>10</v>
      </c>
      <c r="AE659" s="103" t="s">
        <v>2925</v>
      </c>
      <c r="AI659" s="72" t="s">
        <v>2818</v>
      </c>
      <c r="AJ659" s="42" t="s">
        <v>27</v>
      </c>
      <c r="AK659" s="8" t="e">
        <f>VLOOKUP(A659,'[1]Externe MAJ Nov'!$A:$H,8,0)</f>
        <v>#N/A</v>
      </c>
      <c r="AL659" s="29" t="e">
        <f>VLOOKUP(A659,'[1]Externe MAJ Nov'!$A:$G,7,0)</f>
        <v>#N/A</v>
      </c>
      <c r="AM659" s="29"/>
      <c r="AN659" s="39" t="s">
        <v>27</v>
      </c>
      <c r="AO659" s="58" t="s">
        <v>2888</v>
      </c>
      <c r="AP659" s="29" t="e">
        <f>VLOOKUP(A659,'[2]External Scan 02_21'!$B:$J,9,0)</f>
        <v>#N/A</v>
      </c>
      <c r="AR659" s="75" t="s">
        <v>487</v>
      </c>
      <c r="AS659" s="21" t="str">
        <f>VLOOKUP(AE659,'ref statu'!A:B,2,0)</f>
        <v>DTP intervention de l'éditeur nécessaire</v>
      </c>
      <c r="AT659" s="8" t="e">
        <f>VLOOKUP(A659,chk!A:B,2,0)</f>
        <v>#N/A</v>
      </c>
      <c r="AU659" s="29" t="e">
        <f>VLOOKUP(A659,checker!A:B,2,0)</f>
        <v>#N/A</v>
      </c>
      <c r="AV659" s="29" t="e">
        <f>VLOOKUP(A659,checker!B:C,2,0)</f>
        <v>#N/A</v>
      </c>
    </row>
    <row r="660" spans="1:48" x14ac:dyDescent="0.3">
      <c r="A660" s="29" t="str">
        <f t="shared" si="11"/>
        <v>96.692.66.699/443/tls-untrusted-ca</v>
      </c>
      <c r="B660" s="41" t="s">
        <v>3018</v>
      </c>
      <c r="C660" s="41" t="s">
        <v>2817</v>
      </c>
      <c r="E660" s="39" t="s">
        <v>95</v>
      </c>
      <c r="H660" s="43" t="s">
        <v>256</v>
      </c>
      <c r="I660" s="39" t="s">
        <v>2574</v>
      </c>
      <c r="J660" s="39">
        <v>443</v>
      </c>
      <c r="K660" s="41" t="s">
        <v>290</v>
      </c>
      <c r="L660" s="41" t="s">
        <v>2578</v>
      </c>
      <c r="M660" s="9">
        <v>6</v>
      </c>
      <c r="N660" s="9" t="s">
        <v>29</v>
      </c>
      <c r="O660" s="41" t="s">
        <v>131</v>
      </c>
      <c r="P660" s="43" t="s">
        <v>132</v>
      </c>
      <c r="Q660" s="43" t="s">
        <v>133</v>
      </c>
      <c r="R660" s="43" t="s">
        <v>134</v>
      </c>
      <c r="S660" s="43" t="s">
        <v>2728</v>
      </c>
      <c r="T660" s="43" t="s">
        <v>135</v>
      </c>
      <c r="U660" s="43" t="s">
        <v>31</v>
      </c>
      <c r="V660" s="43" t="s">
        <v>31</v>
      </c>
      <c r="AB660" s="39">
        <v>10</v>
      </c>
      <c r="AE660" s="103" t="s">
        <v>2925</v>
      </c>
      <c r="AI660" s="72" t="s">
        <v>2818</v>
      </c>
      <c r="AJ660" s="42" t="s">
        <v>27</v>
      </c>
      <c r="AK660" s="8" t="e">
        <f>VLOOKUP(A660,'[1]Externe MAJ Nov'!$A:$H,8,0)</f>
        <v>#N/A</v>
      </c>
      <c r="AL660" s="29" t="e">
        <f>VLOOKUP(A660,'[1]Externe MAJ Nov'!$A:$G,7,0)</f>
        <v>#N/A</v>
      </c>
      <c r="AM660" s="29"/>
      <c r="AN660" s="39" t="s">
        <v>27</v>
      </c>
      <c r="AO660" s="58" t="s">
        <v>2889</v>
      </c>
      <c r="AP660" s="29" t="e">
        <f>VLOOKUP(A660,'[2]External Scan 02_21'!$B:$J,9,0)</f>
        <v>#N/A</v>
      </c>
      <c r="AR660" s="75" t="s">
        <v>487</v>
      </c>
      <c r="AS660" s="21" t="str">
        <f>VLOOKUP(AE660,'ref statu'!A:B,2,0)</f>
        <v>DTP intervention de l'éditeur nécessaire</v>
      </c>
      <c r="AT660" s="8" t="e">
        <f>VLOOKUP(A660,chk!A:B,2,0)</f>
        <v>#N/A</v>
      </c>
      <c r="AU660" s="29" t="e">
        <f>VLOOKUP(A660,checker!A:B,2,0)</f>
        <v>#N/A</v>
      </c>
      <c r="AV660" s="29" t="e">
        <f>VLOOKUP(A660,checker!B:C,2,0)</f>
        <v>#N/A</v>
      </c>
    </row>
    <row r="661" spans="1:48" x14ac:dyDescent="0.3">
      <c r="A661" s="29" t="str">
        <f t="shared" si="11"/>
        <v>96.692.66.699/443/http-options-method-enabled</v>
      </c>
      <c r="B661" s="41" t="s">
        <v>3018</v>
      </c>
      <c r="C661" s="41" t="s">
        <v>2817</v>
      </c>
      <c r="E661" s="39" t="s">
        <v>95</v>
      </c>
      <c r="H661" s="43" t="s">
        <v>256</v>
      </c>
      <c r="I661" s="39" t="s">
        <v>2574</v>
      </c>
      <c r="J661" s="39">
        <v>443</v>
      </c>
      <c r="K661" s="41" t="s">
        <v>290</v>
      </c>
      <c r="L661" s="41" t="s">
        <v>2578</v>
      </c>
      <c r="M661" s="9">
        <v>3</v>
      </c>
      <c r="N661" s="9" t="s">
        <v>42</v>
      </c>
      <c r="O661" s="41" t="s">
        <v>43</v>
      </c>
      <c r="P661" s="43" t="s">
        <v>44</v>
      </c>
      <c r="Q661" s="43" t="s">
        <v>45</v>
      </c>
      <c r="R661" s="43" t="s">
        <v>46</v>
      </c>
      <c r="S661" s="43" t="s">
        <v>47</v>
      </c>
      <c r="T661" s="43" t="s">
        <v>48</v>
      </c>
      <c r="U661" s="43" t="s">
        <v>31</v>
      </c>
      <c r="V661" s="43" t="s">
        <v>31</v>
      </c>
      <c r="AB661" s="39">
        <v>10</v>
      </c>
      <c r="AE661" s="103" t="s">
        <v>2925</v>
      </c>
      <c r="AI661" s="72" t="s">
        <v>2818</v>
      </c>
      <c r="AJ661" s="42" t="s">
        <v>27</v>
      </c>
      <c r="AK661" s="8" t="e">
        <f>VLOOKUP(A661,'[1]Externe MAJ Nov'!$A:$H,8,0)</f>
        <v>#N/A</v>
      </c>
      <c r="AL661" s="29" t="e">
        <f>VLOOKUP(A661,'[1]Externe MAJ Nov'!$A:$G,7,0)</f>
        <v>#N/A</v>
      </c>
      <c r="AM661" s="29"/>
      <c r="AN661" s="39" t="s">
        <v>27</v>
      </c>
      <c r="AO661" s="58" t="s">
        <v>2890</v>
      </c>
      <c r="AP661" s="29" t="e">
        <f>VLOOKUP(A661,'[2]External Scan 02_21'!$B:$J,9,0)</f>
        <v>#N/A</v>
      </c>
      <c r="AR661" s="75" t="s">
        <v>487</v>
      </c>
      <c r="AS661" s="21" t="str">
        <f>VLOOKUP(AE661,'ref statu'!A:B,2,0)</f>
        <v>DTP intervention de l'éditeur nécessaire</v>
      </c>
      <c r="AT661" s="8" t="e">
        <f>VLOOKUP(A661,chk!A:B,2,0)</f>
        <v>#N/A</v>
      </c>
      <c r="AU661" s="29" t="e">
        <f>VLOOKUP(A661,checker!A:B,2,0)</f>
        <v>#N/A</v>
      </c>
      <c r="AV661" s="29" t="e">
        <f>VLOOKUP(A661,checker!B:C,2,0)</f>
        <v>#N/A</v>
      </c>
    </row>
    <row r="662" spans="1:48" x14ac:dyDescent="0.3">
      <c r="A662" s="29" t="str">
        <f t="shared" si="11"/>
        <v>96.692.66.699/80/http-options-method-enabled</v>
      </c>
      <c r="B662" s="41" t="s">
        <v>3018</v>
      </c>
      <c r="C662" s="41" t="s">
        <v>2817</v>
      </c>
      <c r="E662" s="39" t="s">
        <v>95</v>
      </c>
      <c r="H662" s="43" t="s">
        <v>256</v>
      </c>
      <c r="I662" s="39" t="s">
        <v>2574</v>
      </c>
      <c r="J662" s="39">
        <v>80</v>
      </c>
      <c r="K662" s="41" t="s">
        <v>275</v>
      </c>
      <c r="L662" s="41" t="s">
        <v>2578</v>
      </c>
      <c r="M662" s="9">
        <v>3</v>
      </c>
      <c r="N662" s="9" t="s">
        <v>42</v>
      </c>
      <c r="O662" s="41" t="s">
        <v>43</v>
      </c>
      <c r="P662" s="43" t="s">
        <v>44</v>
      </c>
      <c r="Q662" s="43" t="s">
        <v>45</v>
      </c>
      <c r="R662" s="43" t="s">
        <v>46</v>
      </c>
      <c r="S662" s="43" t="s">
        <v>47</v>
      </c>
      <c r="T662" s="43" t="s">
        <v>48</v>
      </c>
      <c r="U662" s="43" t="s">
        <v>31</v>
      </c>
      <c r="V662" s="43" t="s">
        <v>31</v>
      </c>
      <c r="AB662" s="39">
        <v>10</v>
      </c>
      <c r="AE662" s="103" t="s">
        <v>2925</v>
      </c>
      <c r="AI662" s="72" t="s">
        <v>2818</v>
      </c>
      <c r="AJ662" s="42" t="s">
        <v>27</v>
      </c>
      <c r="AK662" s="8" t="e">
        <f>VLOOKUP(A662,'[1]Externe MAJ Nov'!$A:$H,8,0)</f>
        <v>#N/A</v>
      </c>
      <c r="AL662" s="29" t="e">
        <f>VLOOKUP(A662,'[1]Externe MAJ Nov'!$A:$G,7,0)</f>
        <v>#N/A</v>
      </c>
      <c r="AM662" s="29"/>
      <c r="AN662" s="39" t="s">
        <v>27</v>
      </c>
      <c r="AO662" s="58" t="s">
        <v>2891</v>
      </c>
      <c r="AP662" s="29" t="e">
        <f>VLOOKUP(A662,'[2]External Scan 02_21'!$B:$J,9,0)</f>
        <v>#N/A</v>
      </c>
      <c r="AR662" s="75" t="s">
        <v>487</v>
      </c>
      <c r="AS662" s="21" t="str">
        <f>VLOOKUP(AE662,'ref statu'!A:B,2,0)</f>
        <v>DTP intervention de l'éditeur nécessaire</v>
      </c>
      <c r="AT662" s="8" t="e">
        <f>VLOOKUP(A662,chk!A:B,2,0)</f>
        <v>#N/A</v>
      </c>
      <c r="AU662" s="29" t="e">
        <f>VLOOKUP(A662,checker!A:B,2,0)</f>
        <v>#N/A</v>
      </c>
      <c r="AV662" s="29" t="e">
        <f>VLOOKUP(A662,checker!B:C,2,0)</f>
        <v>#N/A</v>
      </c>
    </row>
    <row r="663" spans="1:48" x14ac:dyDescent="0.3">
      <c r="A663" s="29" t="str">
        <f t="shared" si="11"/>
        <v>96.692.66.699/443/http-generic-browsable-dir</v>
      </c>
      <c r="B663" s="41" t="s">
        <v>3018</v>
      </c>
      <c r="C663" s="41" t="s">
        <v>2817</v>
      </c>
      <c r="E663" s="39" t="s">
        <v>95</v>
      </c>
      <c r="H663" s="43" t="s">
        <v>256</v>
      </c>
      <c r="I663" s="39" t="s">
        <v>2574</v>
      </c>
      <c r="J663" s="39">
        <v>443</v>
      </c>
      <c r="K663" s="41" t="s">
        <v>290</v>
      </c>
      <c r="L663" s="41" t="s">
        <v>2578</v>
      </c>
      <c r="M663" s="9">
        <v>5</v>
      </c>
      <c r="N663" s="9" t="s">
        <v>29</v>
      </c>
      <c r="O663" s="41" t="s">
        <v>32</v>
      </c>
      <c r="P663" s="43" t="s">
        <v>33</v>
      </c>
      <c r="Q663" s="43" t="s">
        <v>34</v>
      </c>
      <c r="R663" s="43" t="s">
        <v>35</v>
      </c>
      <c r="S663" s="43" t="s">
        <v>2729</v>
      </c>
      <c r="T663" s="43" t="s">
        <v>31</v>
      </c>
      <c r="U663" s="43" t="s">
        <v>31</v>
      </c>
      <c r="V663" s="43" t="s">
        <v>31</v>
      </c>
      <c r="AB663" s="39">
        <v>10</v>
      </c>
      <c r="AE663" s="103" t="s">
        <v>2925</v>
      </c>
      <c r="AI663" s="72" t="s">
        <v>2818</v>
      </c>
      <c r="AJ663" s="42" t="s">
        <v>27</v>
      </c>
      <c r="AK663" s="8" t="e">
        <f>VLOOKUP(A663,'[1]Externe MAJ Nov'!$A:$H,8,0)</f>
        <v>#N/A</v>
      </c>
      <c r="AL663" s="29" t="e">
        <f>VLOOKUP(A663,'[1]Externe MAJ Nov'!$A:$G,7,0)</f>
        <v>#N/A</v>
      </c>
      <c r="AM663" s="29"/>
      <c r="AN663" s="39" t="s">
        <v>27</v>
      </c>
      <c r="AO663" s="58" t="s">
        <v>2892</v>
      </c>
      <c r="AP663" s="29" t="e">
        <f>VLOOKUP(A663,'[2]External Scan 02_21'!$B:$J,9,0)</f>
        <v>#N/A</v>
      </c>
      <c r="AR663" s="75" t="s">
        <v>487</v>
      </c>
      <c r="AS663" s="21" t="str">
        <f>VLOOKUP(AE663,'ref statu'!A:B,2,0)</f>
        <v>DTP intervention de l'éditeur nécessaire</v>
      </c>
      <c r="AT663" s="8" t="e">
        <f>VLOOKUP(A663,chk!A:B,2,0)</f>
        <v>#N/A</v>
      </c>
      <c r="AU663" s="29" t="e">
        <f>VLOOKUP(A663,checker!A:B,2,0)</f>
        <v>#N/A</v>
      </c>
      <c r="AV663" s="29" t="e">
        <f>VLOOKUP(A663,checker!B:C,2,0)</f>
        <v>#N/A</v>
      </c>
    </row>
    <row r="664" spans="1:48" x14ac:dyDescent="0.3">
      <c r="A664" s="29" t="str">
        <f t="shared" si="11"/>
        <v>96.692.66.699/80/http-generic-browsable-dir</v>
      </c>
      <c r="B664" s="41" t="s">
        <v>3018</v>
      </c>
      <c r="C664" s="41" t="s">
        <v>2817</v>
      </c>
      <c r="E664" s="39" t="s">
        <v>95</v>
      </c>
      <c r="H664" s="43" t="s">
        <v>256</v>
      </c>
      <c r="I664" s="39" t="s">
        <v>2574</v>
      </c>
      <c r="J664" s="39">
        <v>80</v>
      </c>
      <c r="K664" s="41" t="s">
        <v>275</v>
      </c>
      <c r="L664" s="41" t="s">
        <v>2578</v>
      </c>
      <c r="M664" s="9">
        <v>5</v>
      </c>
      <c r="N664" s="9" t="s">
        <v>29</v>
      </c>
      <c r="O664" s="41" t="s">
        <v>32</v>
      </c>
      <c r="P664" s="43" t="s">
        <v>33</v>
      </c>
      <c r="Q664" s="43" t="s">
        <v>34</v>
      </c>
      <c r="R664" s="43" t="s">
        <v>35</v>
      </c>
      <c r="S664" s="43" t="s">
        <v>2730</v>
      </c>
      <c r="T664" s="43" t="s">
        <v>31</v>
      </c>
      <c r="U664" s="43" t="s">
        <v>31</v>
      </c>
      <c r="V664" s="43" t="s">
        <v>31</v>
      </c>
      <c r="AB664" s="39">
        <v>10</v>
      </c>
      <c r="AE664" s="103" t="s">
        <v>2925</v>
      </c>
      <c r="AI664" s="72" t="s">
        <v>2818</v>
      </c>
      <c r="AJ664" s="42" t="s">
        <v>27</v>
      </c>
      <c r="AK664" s="8" t="e">
        <f>VLOOKUP(A664,'[1]Externe MAJ Nov'!$A:$H,8,0)</f>
        <v>#N/A</v>
      </c>
      <c r="AL664" s="29" t="e">
        <f>VLOOKUP(A664,'[1]Externe MAJ Nov'!$A:$G,7,0)</f>
        <v>#N/A</v>
      </c>
      <c r="AM664" s="29"/>
      <c r="AN664" s="39" t="s">
        <v>27</v>
      </c>
      <c r="AO664" s="58" t="s">
        <v>2893</v>
      </c>
      <c r="AP664" s="29" t="e">
        <f>VLOOKUP(A664,'[2]External Scan 02_21'!$B:$J,9,0)</f>
        <v>#N/A</v>
      </c>
      <c r="AR664" s="75" t="s">
        <v>487</v>
      </c>
      <c r="AS664" s="21" t="str">
        <f>VLOOKUP(AE664,'ref statu'!A:B,2,0)</f>
        <v>DTP intervention de l'éditeur nécessaire</v>
      </c>
      <c r="AT664" s="8" t="e">
        <f>VLOOKUP(A664,chk!A:B,2,0)</f>
        <v>#N/A</v>
      </c>
      <c r="AU664" s="29" t="e">
        <f>VLOOKUP(A664,checker!A:B,2,0)</f>
        <v>#N/A</v>
      </c>
      <c r="AV664" s="29" t="e">
        <f>VLOOKUP(A664,checker!B:C,2,0)</f>
        <v>#N/A</v>
      </c>
    </row>
    <row r="665" spans="1:48" x14ac:dyDescent="0.3">
      <c r="A665" s="29" t="str">
        <f t="shared" si="11"/>
        <v>96.692.66.699/443/http-generic-click-jacking</v>
      </c>
      <c r="B665" s="41" t="s">
        <v>3018</v>
      </c>
      <c r="C665" s="41" t="s">
        <v>2817</v>
      </c>
      <c r="E665" s="39" t="s">
        <v>95</v>
      </c>
      <c r="H665" s="43" t="s">
        <v>256</v>
      </c>
      <c r="I665" s="39" t="s">
        <v>2574</v>
      </c>
      <c r="J665" s="39">
        <v>443</v>
      </c>
      <c r="K665" s="41" t="s">
        <v>290</v>
      </c>
      <c r="L665" s="41" t="s">
        <v>2578</v>
      </c>
      <c r="M665" s="9">
        <v>4</v>
      </c>
      <c r="N665" s="9" t="s">
        <v>29</v>
      </c>
      <c r="O665" s="41" t="s">
        <v>37</v>
      </c>
      <c r="P665" s="43" t="s">
        <v>38</v>
      </c>
      <c r="Q665" s="43" t="s">
        <v>39</v>
      </c>
      <c r="R665" s="43" t="s">
        <v>40</v>
      </c>
      <c r="S665" s="43" t="s">
        <v>2731</v>
      </c>
      <c r="T665" s="43" t="s">
        <v>41</v>
      </c>
      <c r="U665" s="43" t="s">
        <v>31</v>
      </c>
      <c r="V665" s="43" t="s">
        <v>31</v>
      </c>
      <c r="AB665" s="39">
        <v>10</v>
      </c>
      <c r="AE665" s="103" t="s">
        <v>2925</v>
      </c>
      <c r="AI665" s="72" t="s">
        <v>2818</v>
      </c>
      <c r="AJ665" s="42" t="s">
        <v>27</v>
      </c>
      <c r="AK665" s="8" t="e">
        <f>VLOOKUP(A665,'[1]Externe MAJ Nov'!$A:$H,8,0)</f>
        <v>#N/A</v>
      </c>
      <c r="AL665" s="29" t="e">
        <f>VLOOKUP(A665,'[1]Externe MAJ Nov'!$A:$G,7,0)</f>
        <v>#N/A</v>
      </c>
      <c r="AM665" s="29"/>
      <c r="AN665" s="39" t="s">
        <v>27</v>
      </c>
      <c r="AO665" s="58" t="s">
        <v>2894</v>
      </c>
      <c r="AP665" s="29" t="e">
        <f>VLOOKUP(A665,'[2]External Scan 02_21'!$B:$J,9,0)</f>
        <v>#N/A</v>
      </c>
      <c r="AR665" s="75" t="s">
        <v>487</v>
      </c>
      <c r="AS665" s="21" t="str">
        <f>VLOOKUP(AE665,'ref statu'!A:B,2,0)</f>
        <v>DTP intervention de l'éditeur nécessaire</v>
      </c>
      <c r="AT665" s="8" t="e">
        <f>VLOOKUP(A665,chk!A:B,2,0)</f>
        <v>#N/A</v>
      </c>
      <c r="AU665" s="29" t="e">
        <f>VLOOKUP(A665,checker!A:B,2,0)</f>
        <v>#N/A</v>
      </c>
      <c r="AV665" s="29" t="e">
        <f>VLOOKUP(A665,checker!B:C,2,0)</f>
        <v>#N/A</v>
      </c>
    </row>
    <row r="666" spans="1:48" x14ac:dyDescent="0.3">
      <c r="A666" s="29" t="str">
        <f t="shared" si="11"/>
        <v>96.692.66.699/80/http-generic-click-jacking</v>
      </c>
      <c r="B666" s="41" t="s">
        <v>3018</v>
      </c>
      <c r="C666" s="41" t="s">
        <v>2817</v>
      </c>
      <c r="E666" s="39" t="s">
        <v>95</v>
      </c>
      <c r="H666" s="43" t="s">
        <v>256</v>
      </c>
      <c r="I666" s="39" t="s">
        <v>2574</v>
      </c>
      <c r="J666" s="39">
        <v>80</v>
      </c>
      <c r="K666" s="41" t="s">
        <v>275</v>
      </c>
      <c r="L666" s="41" t="s">
        <v>2578</v>
      </c>
      <c r="M666" s="9">
        <v>4</v>
      </c>
      <c r="N666" s="9" t="s">
        <v>29</v>
      </c>
      <c r="O666" s="41" t="s">
        <v>37</v>
      </c>
      <c r="P666" s="43" t="s">
        <v>38</v>
      </c>
      <c r="Q666" s="43" t="s">
        <v>39</v>
      </c>
      <c r="R666" s="43" t="s">
        <v>40</v>
      </c>
      <c r="S666" s="43" t="s">
        <v>2732</v>
      </c>
      <c r="T666" s="43" t="s">
        <v>41</v>
      </c>
      <c r="U666" s="43" t="s">
        <v>31</v>
      </c>
      <c r="V666" s="43" t="s">
        <v>31</v>
      </c>
      <c r="AB666" s="39">
        <v>10</v>
      </c>
      <c r="AE666" s="103" t="s">
        <v>2925</v>
      </c>
      <c r="AI666" s="72" t="s">
        <v>2818</v>
      </c>
      <c r="AJ666" s="42" t="s">
        <v>27</v>
      </c>
      <c r="AK666" s="8" t="e">
        <f>VLOOKUP(A666,'[1]Externe MAJ Nov'!$A:$H,8,0)</f>
        <v>#N/A</v>
      </c>
      <c r="AL666" s="29" t="e">
        <f>VLOOKUP(A666,'[1]Externe MAJ Nov'!$A:$G,7,0)</f>
        <v>#N/A</v>
      </c>
      <c r="AM666" s="29"/>
      <c r="AN666" s="39" t="s">
        <v>27</v>
      </c>
      <c r="AO666" s="58" t="s">
        <v>2895</v>
      </c>
      <c r="AP666" s="29" t="e">
        <f>VLOOKUP(A666,'[2]External Scan 02_21'!$B:$J,9,0)</f>
        <v>#N/A</v>
      </c>
      <c r="AR666" s="75" t="s">
        <v>487</v>
      </c>
      <c r="AS666" s="21" t="str">
        <f>VLOOKUP(AE666,'ref statu'!A:B,2,0)</f>
        <v>DTP intervention de l'éditeur nécessaire</v>
      </c>
      <c r="AT666" s="8" t="e">
        <f>VLOOKUP(A666,chk!A:B,2,0)</f>
        <v>#N/A</v>
      </c>
      <c r="AU666" s="29" t="e">
        <f>VLOOKUP(A666,checker!A:B,2,0)</f>
        <v>#N/A</v>
      </c>
      <c r="AV666" s="29" t="e">
        <f>VLOOKUP(A666,checker!B:C,2,0)</f>
        <v>#N/A</v>
      </c>
    </row>
    <row r="667" spans="1:48" x14ac:dyDescent="0.3">
      <c r="A667" s="29" t="str">
        <f t="shared" si="11"/>
        <v>96.692.66.699/443/apache-httpd-cve-2010-1452</v>
      </c>
      <c r="B667" s="41" t="s">
        <v>3018</v>
      </c>
      <c r="C667" s="41" t="s">
        <v>2817</v>
      </c>
      <c r="E667" s="39" t="s">
        <v>95</v>
      </c>
      <c r="H667" s="43" t="s">
        <v>256</v>
      </c>
      <c r="I667" s="39" t="s">
        <v>2574</v>
      </c>
      <c r="J667" s="39">
        <v>443</v>
      </c>
      <c r="K667" s="41" t="s">
        <v>290</v>
      </c>
      <c r="L667" s="41" t="s">
        <v>2578</v>
      </c>
      <c r="M667" s="9">
        <v>5</v>
      </c>
      <c r="N667" s="9" t="s">
        <v>29</v>
      </c>
      <c r="O667" s="41" t="s">
        <v>2606</v>
      </c>
      <c r="P667" s="43" t="s">
        <v>2733</v>
      </c>
      <c r="Q667" s="43" t="s">
        <v>2734</v>
      </c>
      <c r="R667" s="43" t="s">
        <v>2735</v>
      </c>
      <c r="S667" s="43" t="s">
        <v>2626</v>
      </c>
      <c r="T667" s="43" t="s">
        <v>2627</v>
      </c>
      <c r="U667" s="43" t="s">
        <v>2736</v>
      </c>
      <c r="V667" s="43" t="s">
        <v>2805</v>
      </c>
      <c r="AB667" s="39">
        <v>10</v>
      </c>
      <c r="AE667" s="103" t="s">
        <v>2925</v>
      </c>
      <c r="AI667" s="72" t="s">
        <v>2818</v>
      </c>
      <c r="AJ667" s="42" t="s">
        <v>27</v>
      </c>
      <c r="AK667" s="8" t="e">
        <f>VLOOKUP(A667,'[1]Externe MAJ Nov'!$A:$H,8,0)</f>
        <v>#N/A</v>
      </c>
      <c r="AL667" s="29" t="e">
        <f>VLOOKUP(A667,'[1]Externe MAJ Nov'!$A:$G,7,0)</f>
        <v>#N/A</v>
      </c>
      <c r="AM667" s="29"/>
      <c r="AN667" s="39" t="s">
        <v>27</v>
      </c>
      <c r="AO667" s="58" t="s">
        <v>2896</v>
      </c>
      <c r="AP667" s="29" t="e">
        <f>VLOOKUP(A667,'[2]External Scan 02_21'!$B:$J,9,0)</f>
        <v>#N/A</v>
      </c>
      <c r="AR667" s="75" t="s">
        <v>487</v>
      </c>
      <c r="AS667" s="21" t="str">
        <f>VLOOKUP(AE667,'ref statu'!A:B,2,0)</f>
        <v>DTP intervention de l'éditeur nécessaire</v>
      </c>
      <c r="AT667" s="8" t="e">
        <f>VLOOKUP(A667,chk!A:B,2,0)</f>
        <v>#N/A</v>
      </c>
      <c r="AU667" s="29" t="e">
        <f>VLOOKUP(A667,checker!A:B,2,0)</f>
        <v>#N/A</v>
      </c>
      <c r="AV667" s="29" t="e">
        <f>VLOOKUP(A667,checker!B:C,2,0)</f>
        <v>#N/A</v>
      </c>
    </row>
    <row r="668" spans="1:48" x14ac:dyDescent="0.3">
      <c r="A668" s="29" t="str">
        <f t="shared" si="11"/>
        <v>96.692.66.699/80/apache-httpd-cve-2010-1452</v>
      </c>
      <c r="B668" s="41" t="s">
        <v>3018</v>
      </c>
      <c r="C668" s="41" t="s">
        <v>2817</v>
      </c>
      <c r="E668" s="39" t="s">
        <v>95</v>
      </c>
      <c r="H668" s="43" t="s">
        <v>256</v>
      </c>
      <c r="I668" s="39" t="s">
        <v>2574</v>
      </c>
      <c r="J668" s="39">
        <v>80</v>
      </c>
      <c r="K668" s="41" t="s">
        <v>275</v>
      </c>
      <c r="L668" s="41" t="s">
        <v>2578</v>
      </c>
      <c r="M668" s="9">
        <v>5</v>
      </c>
      <c r="N668" s="9" t="s">
        <v>29</v>
      </c>
      <c r="O668" s="41" t="s">
        <v>2606</v>
      </c>
      <c r="P668" s="43" t="s">
        <v>2733</v>
      </c>
      <c r="Q668" s="43" t="s">
        <v>2734</v>
      </c>
      <c r="R668" s="43" t="s">
        <v>2735</v>
      </c>
      <c r="S668" s="43" t="s">
        <v>2629</v>
      </c>
      <c r="T668" s="43" t="s">
        <v>2627</v>
      </c>
      <c r="U668" s="43" t="s">
        <v>2736</v>
      </c>
      <c r="V668" s="43" t="s">
        <v>2805</v>
      </c>
      <c r="AB668" s="39">
        <v>10</v>
      </c>
      <c r="AE668" s="103" t="s">
        <v>2925</v>
      </c>
      <c r="AI668" s="72" t="s">
        <v>2818</v>
      </c>
      <c r="AJ668" s="42" t="s">
        <v>27</v>
      </c>
      <c r="AK668" s="8" t="e">
        <f>VLOOKUP(A668,'[1]Externe MAJ Nov'!$A:$H,8,0)</f>
        <v>#N/A</v>
      </c>
      <c r="AL668" s="29" t="e">
        <f>VLOOKUP(A668,'[1]Externe MAJ Nov'!$A:$G,7,0)</f>
        <v>#N/A</v>
      </c>
      <c r="AM668" s="29"/>
      <c r="AN668" s="39" t="s">
        <v>27</v>
      </c>
      <c r="AO668" s="58" t="s">
        <v>2897</v>
      </c>
      <c r="AP668" s="29" t="e">
        <f>VLOOKUP(A668,'[2]External Scan 02_21'!$B:$J,9,0)</f>
        <v>#N/A</v>
      </c>
      <c r="AR668" s="75" t="s">
        <v>487</v>
      </c>
      <c r="AS668" s="21" t="str">
        <f>VLOOKUP(AE668,'ref statu'!A:B,2,0)</f>
        <v>DTP intervention de l'éditeur nécessaire</v>
      </c>
      <c r="AT668" s="8" t="e">
        <f>VLOOKUP(A668,chk!A:B,2,0)</f>
        <v>#N/A</v>
      </c>
      <c r="AU668" s="29" t="e">
        <f>VLOOKUP(A668,checker!A:B,2,0)</f>
        <v>#N/A</v>
      </c>
      <c r="AV668" s="29" t="e">
        <f>VLOOKUP(A668,checker!B:C,2,0)</f>
        <v>#N/A</v>
      </c>
    </row>
    <row r="669" spans="1:48" x14ac:dyDescent="0.3">
      <c r="A669" s="29" t="str">
        <f t="shared" si="11"/>
        <v>96.692.66.699/443/ssl-cve-2016-2183-sweet32</v>
      </c>
      <c r="B669" s="41" t="s">
        <v>3018</v>
      </c>
      <c r="C669" s="41" t="s">
        <v>2817</v>
      </c>
      <c r="E669" s="39" t="s">
        <v>95</v>
      </c>
      <c r="H669" s="43" t="s">
        <v>256</v>
      </c>
      <c r="I669" s="39" t="s">
        <v>2574</v>
      </c>
      <c r="J669" s="39">
        <v>443</v>
      </c>
      <c r="K669" s="41" t="s">
        <v>290</v>
      </c>
      <c r="L669" s="41" t="s">
        <v>2578</v>
      </c>
      <c r="M669" s="9">
        <v>5</v>
      </c>
      <c r="N669" s="9" t="s">
        <v>29</v>
      </c>
      <c r="O669" s="41" t="s">
        <v>111</v>
      </c>
      <c r="P669" s="43" t="s">
        <v>112</v>
      </c>
      <c r="Q669" s="43" t="s">
        <v>113</v>
      </c>
      <c r="R669" s="43" t="s">
        <v>103</v>
      </c>
      <c r="S669" s="43" t="s">
        <v>145</v>
      </c>
      <c r="T669" s="43" t="s">
        <v>114</v>
      </c>
      <c r="U669" s="43" t="s">
        <v>71</v>
      </c>
      <c r="V669" s="43" t="s">
        <v>278</v>
      </c>
      <c r="AB669" s="39">
        <v>10</v>
      </c>
      <c r="AE669" s="103" t="s">
        <v>2925</v>
      </c>
      <c r="AI669" s="72" t="s">
        <v>2818</v>
      </c>
      <c r="AJ669" s="42" t="s">
        <v>27</v>
      </c>
      <c r="AK669" s="8" t="e">
        <f>VLOOKUP(A669,'[1]Externe MAJ Nov'!$A:$H,8,0)</f>
        <v>#N/A</v>
      </c>
      <c r="AL669" s="29" t="e">
        <f>VLOOKUP(A669,'[1]Externe MAJ Nov'!$A:$G,7,0)</f>
        <v>#N/A</v>
      </c>
      <c r="AM669" s="29"/>
      <c r="AN669" s="39" t="s">
        <v>27</v>
      </c>
      <c r="AO669" s="58" t="s">
        <v>2898</v>
      </c>
      <c r="AP669" s="29" t="e">
        <f>VLOOKUP(A669,'[2]External Scan 02_21'!$B:$J,9,0)</f>
        <v>#N/A</v>
      </c>
      <c r="AR669" s="75" t="s">
        <v>487</v>
      </c>
      <c r="AS669" s="21" t="str">
        <f>VLOOKUP(AE669,'ref statu'!A:B,2,0)</f>
        <v>DTP intervention de l'éditeur nécessaire</v>
      </c>
      <c r="AT669" s="8" t="e">
        <f>VLOOKUP(A669,chk!A:B,2,0)</f>
        <v>#N/A</v>
      </c>
      <c r="AU669" s="29" t="e">
        <f>VLOOKUP(A669,checker!A:B,2,0)</f>
        <v>#N/A</v>
      </c>
      <c r="AV669" s="29" t="e">
        <f>VLOOKUP(A669,checker!B:C,2,0)</f>
        <v>#N/A</v>
      </c>
    </row>
    <row r="670" spans="1:48" x14ac:dyDescent="0.3">
      <c r="A670" s="29" t="str">
        <f t="shared" si="11"/>
        <v>96.692.66.699/444/ssl-cve-2016-2183-sweet32</v>
      </c>
      <c r="B670" s="41" t="s">
        <v>3018</v>
      </c>
      <c r="C670" s="41" t="s">
        <v>2817</v>
      </c>
      <c r="E670" s="39" t="s">
        <v>95</v>
      </c>
      <c r="H670" s="43" t="s">
        <v>256</v>
      </c>
      <c r="I670" s="39" t="s">
        <v>2574</v>
      </c>
      <c r="J670" s="39">
        <v>444</v>
      </c>
      <c r="K670" s="41" t="s">
        <v>2576</v>
      </c>
      <c r="L670" s="41" t="s">
        <v>31</v>
      </c>
      <c r="M670" s="9">
        <v>5</v>
      </c>
      <c r="N670" s="9" t="s">
        <v>29</v>
      </c>
      <c r="O670" s="41" t="s">
        <v>111</v>
      </c>
      <c r="P670" s="43" t="s">
        <v>112</v>
      </c>
      <c r="Q670" s="43" t="s">
        <v>113</v>
      </c>
      <c r="R670" s="43" t="s">
        <v>103</v>
      </c>
      <c r="S670" s="43" t="s">
        <v>145</v>
      </c>
      <c r="T670" s="43" t="s">
        <v>114</v>
      </c>
      <c r="U670" s="43" t="s">
        <v>71</v>
      </c>
      <c r="V670" s="43" t="s">
        <v>278</v>
      </c>
      <c r="AB670" s="39">
        <v>10</v>
      </c>
      <c r="AE670" s="103" t="s">
        <v>2925</v>
      </c>
      <c r="AI670" s="72" t="s">
        <v>2818</v>
      </c>
      <c r="AJ670" s="42" t="s">
        <v>27</v>
      </c>
      <c r="AK670" s="8" t="e">
        <f>VLOOKUP(A670,'[1]Externe MAJ Nov'!$A:$H,8,0)</f>
        <v>#N/A</v>
      </c>
      <c r="AL670" s="29" t="e">
        <f>VLOOKUP(A670,'[1]Externe MAJ Nov'!$A:$G,7,0)</f>
        <v>#N/A</v>
      </c>
      <c r="AM670" s="29"/>
      <c r="AN670" s="39" t="s">
        <v>27</v>
      </c>
      <c r="AO670" s="58" t="s">
        <v>2899</v>
      </c>
      <c r="AP670" s="29" t="e">
        <f>VLOOKUP(A670,'[2]External Scan 02_21'!$B:$J,9,0)</f>
        <v>#N/A</v>
      </c>
      <c r="AR670" s="75" t="s">
        <v>487</v>
      </c>
      <c r="AS670" s="21" t="str">
        <f>VLOOKUP(AE670,'ref statu'!A:B,2,0)</f>
        <v>DTP intervention de l'éditeur nécessaire</v>
      </c>
      <c r="AT670" s="8" t="e">
        <f>VLOOKUP(A670,chk!A:B,2,0)</f>
        <v>#N/A</v>
      </c>
      <c r="AU670" s="29" t="e">
        <f>VLOOKUP(A670,checker!A:B,2,0)</f>
        <v>#N/A</v>
      </c>
      <c r="AV670" s="29" t="e">
        <f>VLOOKUP(A670,checker!B:C,2,0)</f>
        <v>#N/A</v>
      </c>
    </row>
    <row r="671" spans="1:48" x14ac:dyDescent="0.3">
      <c r="A671" s="29" t="str">
        <f t="shared" si="11"/>
        <v>96.692.66.699/443/apache-httpd-cve-2012-0031</v>
      </c>
      <c r="B671" s="41" t="s">
        <v>3018</v>
      </c>
      <c r="C671" s="41" t="s">
        <v>2817</v>
      </c>
      <c r="E671" s="39" t="s">
        <v>95</v>
      </c>
      <c r="H671" s="43" t="s">
        <v>256</v>
      </c>
      <c r="I671" s="39" t="s">
        <v>2574</v>
      </c>
      <c r="J671" s="39">
        <v>443</v>
      </c>
      <c r="K671" s="41" t="s">
        <v>290</v>
      </c>
      <c r="L671" s="41" t="s">
        <v>2578</v>
      </c>
      <c r="M671" s="9">
        <v>5</v>
      </c>
      <c r="N671" s="9" t="s">
        <v>29</v>
      </c>
      <c r="O671" s="41" t="s">
        <v>2607</v>
      </c>
      <c r="P671" s="43" t="s">
        <v>2737</v>
      </c>
      <c r="Q671" s="43" t="s">
        <v>2738</v>
      </c>
      <c r="R671" s="43" t="s">
        <v>2625</v>
      </c>
      <c r="S671" s="43" t="s">
        <v>2626</v>
      </c>
      <c r="T671" s="43" t="s">
        <v>2627</v>
      </c>
      <c r="U671" s="43" t="s">
        <v>2739</v>
      </c>
      <c r="V671" s="43" t="s">
        <v>2806</v>
      </c>
      <c r="AB671" s="39">
        <v>10</v>
      </c>
      <c r="AE671" s="103" t="s">
        <v>2925</v>
      </c>
      <c r="AI671" s="72" t="s">
        <v>2818</v>
      </c>
      <c r="AJ671" s="42" t="s">
        <v>27</v>
      </c>
      <c r="AK671" s="8" t="e">
        <f>VLOOKUP(A671,'[1]Externe MAJ Nov'!$A:$H,8,0)</f>
        <v>#N/A</v>
      </c>
      <c r="AL671" s="29" t="e">
        <f>VLOOKUP(A671,'[1]Externe MAJ Nov'!$A:$G,7,0)</f>
        <v>#N/A</v>
      </c>
      <c r="AM671" s="29"/>
      <c r="AN671" s="39" t="s">
        <v>27</v>
      </c>
      <c r="AO671" s="58" t="s">
        <v>2900</v>
      </c>
      <c r="AP671" s="29" t="e">
        <f>VLOOKUP(A671,'[2]External Scan 02_21'!$B:$J,9,0)</f>
        <v>#N/A</v>
      </c>
      <c r="AR671" s="75" t="s">
        <v>487</v>
      </c>
      <c r="AS671" s="21" t="str">
        <f>VLOOKUP(AE671,'ref statu'!A:B,2,0)</f>
        <v>DTP intervention de l'éditeur nécessaire</v>
      </c>
      <c r="AT671" s="8" t="e">
        <f>VLOOKUP(A671,chk!A:B,2,0)</f>
        <v>#N/A</v>
      </c>
      <c r="AU671" s="29" t="e">
        <f>VLOOKUP(A671,checker!A:B,2,0)</f>
        <v>#N/A</v>
      </c>
      <c r="AV671" s="29" t="e">
        <f>VLOOKUP(A671,checker!B:C,2,0)</f>
        <v>#N/A</v>
      </c>
    </row>
    <row r="672" spans="1:48" x14ac:dyDescent="0.3">
      <c r="A672" s="29" t="str">
        <f t="shared" si="11"/>
        <v>96.692.66.699/80/apache-httpd-cve-2012-0031</v>
      </c>
      <c r="B672" s="41" t="s">
        <v>3018</v>
      </c>
      <c r="C672" s="41" t="s">
        <v>2817</v>
      </c>
      <c r="E672" s="39" t="s">
        <v>95</v>
      </c>
      <c r="H672" s="43" t="s">
        <v>256</v>
      </c>
      <c r="I672" s="39" t="s">
        <v>2574</v>
      </c>
      <c r="J672" s="39">
        <v>80</v>
      </c>
      <c r="K672" s="41" t="s">
        <v>275</v>
      </c>
      <c r="L672" s="41" t="s">
        <v>2578</v>
      </c>
      <c r="M672" s="9">
        <v>5</v>
      </c>
      <c r="N672" s="9" t="s">
        <v>29</v>
      </c>
      <c r="O672" s="41" t="s">
        <v>2607</v>
      </c>
      <c r="P672" s="43" t="s">
        <v>2737</v>
      </c>
      <c r="Q672" s="43" t="s">
        <v>2738</v>
      </c>
      <c r="R672" s="43" t="s">
        <v>2625</v>
      </c>
      <c r="S672" s="43" t="s">
        <v>2629</v>
      </c>
      <c r="T672" s="43" t="s">
        <v>2627</v>
      </c>
      <c r="U672" s="43" t="s">
        <v>2739</v>
      </c>
      <c r="V672" s="43" t="s">
        <v>2806</v>
      </c>
      <c r="AB672" s="39">
        <v>10</v>
      </c>
      <c r="AE672" s="103" t="s">
        <v>2925</v>
      </c>
      <c r="AI672" s="72" t="s">
        <v>2818</v>
      </c>
      <c r="AJ672" s="42" t="s">
        <v>27</v>
      </c>
      <c r="AK672" s="8" t="e">
        <f>VLOOKUP(A672,'[1]Externe MAJ Nov'!$A:$H,8,0)</f>
        <v>#N/A</v>
      </c>
      <c r="AL672" s="29" t="e">
        <f>VLOOKUP(A672,'[1]Externe MAJ Nov'!$A:$G,7,0)</f>
        <v>#N/A</v>
      </c>
      <c r="AM672" s="29"/>
      <c r="AN672" s="39" t="s">
        <v>27</v>
      </c>
      <c r="AO672" s="58" t="s">
        <v>2901</v>
      </c>
      <c r="AP672" s="29" t="e">
        <f>VLOOKUP(A672,'[2]External Scan 02_21'!$B:$J,9,0)</f>
        <v>#N/A</v>
      </c>
      <c r="AR672" s="75" t="s">
        <v>487</v>
      </c>
      <c r="AS672" s="21" t="str">
        <f>VLOOKUP(AE672,'ref statu'!A:B,2,0)</f>
        <v>DTP intervention de l'éditeur nécessaire</v>
      </c>
      <c r="AT672" s="8" t="e">
        <f>VLOOKUP(A672,chk!A:B,2,0)</f>
        <v>#N/A</v>
      </c>
      <c r="AU672" s="29" t="e">
        <f>VLOOKUP(A672,checker!A:B,2,0)</f>
        <v>#N/A</v>
      </c>
      <c r="AV672" s="29" t="e">
        <f>VLOOKUP(A672,checker!B:C,2,0)</f>
        <v>#N/A</v>
      </c>
    </row>
    <row r="673" spans="1:48" x14ac:dyDescent="0.3">
      <c r="A673" s="29" t="str">
        <f t="shared" si="11"/>
        <v>96.692.66.699/80/apache-httpd-cve-2012-0883</v>
      </c>
      <c r="B673" s="41" t="s">
        <v>3018</v>
      </c>
      <c r="C673" s="41" t="s">
        <v>2817</v>
      </c>
      <c r="E673" s="39" t="s">
        <v>95</v>
      </c>
      <c r="H673" s="43" t="s">
        <v>256</v>
      </c>
      <c r="I673" s="39" t="s">
        <v>2574</v>
      </c>
      <c r="J673" s="39">
        <v>80</v>
      </c>
      <c r="K673" s="41" t="s">
        <v>275</v>
      </c>
      <c r="L673" s="41" t="s">
        <v>2578</v>
      </c>
      <c r="M673" s="9">
        <v>7</v>
      </c>
      <c r="N673" s="10" t="s">
        <v>2540</v>
      </c>
      <c r="O673" s="41" t="s">
        <v>2608</v>
      </c>
      <c r="P673" s="43" t="s">
        <v>2740</v>
      </c>
      <c r="Q673" s="43" t="s">
        <v>2741</v>
      </c>
      <c r="R673" s="43" t="s">
        <v>2742</v>
      </c>
      <c r="S673" s="43" t="s">
        <v>2629</v>
      </c>
      <c r="T673" s="43" t="s">
        <v>2633</v>
      </c>
      <c r="U673" s="43" t="s">
        <v>2743</v>
      </c>
      <c r="V673" s="43" t="s">
        <v>2807</v>
      </c>
      <c r="AB673" s="39">
        <v>10</v>
      </c>
      <c r="AE673" s="103" t="s">
        <v>2925</v>
      </c>
      <c r="AI673" s="72" t="s">
        <v>2818</v>
      </c>
      <c r="AJ673" s="42" t="s">
        <v>27</v>
      </c>
      <c r="AK673" s="8" t="e">
        <f>VLOOKUP(A673,'[1]Externe MAJ Nov'!$A:$H,8,0)</f>
        <v>#N/A</v>
      </c>
      <c r="AL673" s="29" t="e">
        <f>VLOOKUP(A673,'[1]Externe MAJ Nov'!$A:$G,7,0)</f>
        <v>#N/A</v>
      </c>
      <c r="AM673" s="29"/>
      <c r="AN673" s="39" t="s">
        <v>27</v>
      </c>
      <c r="AO673" s="58" t="s">
        <v>2902</v>
      </c>
      <c r="AP673" s="29" t="e">
        <f>VLOOKUP(A673,'[2]External Scan 02_21'!$B:$J,9,0)</f>
        <v>#N/A</v>
      </c>
      <c r="AR673" s="75" t="s">
        <v>487</v>
      </c>
      <c r="AS673" s="21" t="str">
        <f>VLOOKUP(AE673,'ref statu'!A:B,2,0)</f>
        <v>DTP intervention de l'éditeur nécessaire</v>
      </c>
      <c r="AT673" s="8" t="e">
        <f>VLOOKUP(A673,chk!A:B,2,0)</f>
        <v>#N/A</v>
      </c>
      <c r="AU673" s="29" t="e">
        <f>VLOOKUP(A673,checker!A:B,2,0)</f>
        <v>#N/A</v>
      </c>
      <c r="AV673" s="29" t="e">
        <f>VLOOKUP(A673,checker!B:C,2,0)</f>
        <v>#N/A</v>
      </c>
    </row>
    <row r="674" spans="1:48" x14ac:dyDescent="0.3">
      <c r="A674" s="29" t="str">
        <f t="shared" si="11"/>
        <v>96.692.66.699/443/apache-httpd-cve-2012-0883</v>
      </c>
      <c r="B674" s="41" t="s">
        <v>3018</v>
      </c>
      <c r="C674" s="41" t="s">
        <v>2817</v>
      </c>
      <c r="E674" s="39" t="s">
        <v>95</v>
      </c>
      <c r="H674" s="43" t="s">
        <v>256</v>
      </c>
      <c r="I674" s="39" t="s">
        <v>2574</v>
      </c>
      <c r="J674" s="39">
        <v>443</v>
      </c>
      <c r="K674" s="41" t="s">
        <v>290</v>
      </c>
      <c r="L674" s="41" t="s">
        <v>2578</v>
      </c>
      <c r="M674" s="9">
        <v>7</v>
      </c>
      <c r="N674" s="10" t="s">
        <v>2540</v>
      </c>
      <c r="O674" s="41" t="s">
        <v>2608</v>
      </c>
      <c r="P674" s="43" t="s">
        <v>2740</v>
      </c>
      <c r="Q674" s="43" t="s">
        <v>2741</v>
      </c>
      <c r="R674" s="43" t="s">
        <v>2742</v>
      </c>
      <c r="S674" s="43" t="s">
        <v>2626</v>
      </c>
      <c r="T674" s="43" t="s">
        <v>2633</v>
      </c>
      <c r="U674" s="43" t="s">
        <v>2743</v>
      </c>
      <c r="V674" s="43" t="s">
        <v>2807</v>
      </c>
      <c r="AB674" s="39">
        <v>10</v>
      </c>
      <c r="AE674" s="103" t="s">
        <v>2925</v>
      </c>
      <c r="AI674" s="72" t="s">
        <v>2818</v>
      </c>
      <c r="AJ674" s="42" t="s">
        <v>27</v>
      </c>
      <c r="AK674" s="8" t="e">
        <f>VLOOKUP(A674,'[1]Externe MAJ Nov'!$A:$H,8,0)</f>
        <v>#N/A</v>
      </c>
      <c r="AL674" s="29" t="e">
        <f>VLOOKUP(A674,'[1]Externe MAJ Nov'!$A:$G,7,0)</f>
        <v>#N/A</v>
      </c>
      <c r="AM674" s="29"/>
      <c r="AN674" s="39" t="s">
        <v>27</v>
      </c>
      <c r="AO674" s="58" t="s">
        <v>2903</v>
      </c>
      <c r="AP674" s="29" t="e">
        <f>VLOOKUP(A674,'[2]External Scan 02_21'!$B:$J,9,0)</f>
        <v>#N/A</v>
      </c>
      <c r="AR674" s="75" t="s">
        <v>487</v>
      </c>
      <c r="AS674" s="21" t="str">
        <f>VLOOKUP(AE674,'ref statu'!A:B,2,0)</f>
        <v>DTP intervention de l'éditeur nécessaire</v>
      </c>
      <c r="AT674" s="8" t="e">
        <f>VLOOKUP(A674,chk!A:B,2,0)</f>
        <v>#N/A</v>
      </c>
      <c r="AU674" s="29" t="e">
        <f>VLOOKUP(A674,checker!A:B,2,0)</f>
        <v>#N/A</v>
      </c>
      <c r="AV674" s="29" t="e">
        <f>VLOOKUP(A674,checker!B:C,2,0)</f>
        <v>#N/A</v>
      </c>
    </row>
    <row r="675" spans="1:48" x14ac:dyDescent="0.3">
      <c r="A675" s="29" t="str">
        <f t="shared" si="11"/>
        <v>96.692.66.699/443/apache-httpd-cve-2011-3368</v>
      </c>
      <c r="B675" s="41" t="s">
        <v>3018</v>
      </c>
      <c r="C675" s="41" t="s">
        <v>2817</v>
      </c>
      <c r="E675" s="39" t="s">
        <v>95</v>
      </c>
      <c r="H675" s="43" t="s">
        <v>256</v>
      </c>
      <c r="I675" s="39" t="s">
        <v>2574</v>
      </c>
      <c r="J675" s="39">
        <v>443</v>
      </c>
      <c r="K675" s="41" t="s">
        <v>290</v>
      </c>
      <c r="L675" s="41" t="s">
        <v>2578</v>
      </c>
      <c r="M675" s="9">
        <v>5</v>
      </c>
      <c r="N675" s="9" t="s">
        <v>29</v>
      </c>
      <c r="O675" s="41" t="s">
        <v>2609</v>
      </c>
      <c r="P675" s="43" t="s">
        <v>2744</v>
      </c>
      <c r="Q675" s="43" t="s">
        <v>2745</v>
      </c>
      <c r="R675" s="43" t="s">
        <v>2746</v>
      </c>
      <c r="S675" s="43" t="s">
        <v>2626</v>
      </c>
      <c r="T675" s="43" t="s">
        <v>2747</v>
      </c>
      <c r="U675" s="43" t="s">
        <v>2748</v>
      </c>
      <c r="V675" s="43" t="s">
        <v>2808</v>
      </c>
      <c r="AB675" s="39">
        <v>10</v>
      </c>
      <c r="AE675" s="103" t="s">
        <v>2925</v>
      </c>
      <c r="AI675" s="72" t="s">
        <v>2818</v>
      </c>
      <c r="AJ675" s="42" t="s">
        <v>27</v>
      </c>
      <c r="AK675" s="8" t="e">
        <f>VLOOKUP(A675,'[1]Externe MAJ Nov'!$A:$H,8,0)</f>
        <v>#N/A</v>
      </c>
      <c r="AL675" s="29" t="e">
        <f>VLOOKUP(A675,'[1]Externe MAJ Nov'!$A:$G,7,0)</f>
        <v>#N/A</v>
      </c>
      <c r="AM675" s="29"/>
      <c r="AN675" s="39" t="s">
        <v>27</v>
      </c>
      <c r="AO675" s="58" t="s">
        <v>2904</v>
      </c>
      <c r="AP675" s="29" t="e">
        <f>VLOOKUP(A675,'[2]External Scan 02_21'!$B:$J,9,0)</f>
        <v>#N/A</v>
      </c>
      <c r="AR675" s="75" t="s">
        <v>487</v>
      </c>
      <c r="AS675" s="21" t="str">
        <f>VLOOKUP(AE675,'ref statu'!A:B,2,0)</f>
        <v>DTP intervention de l'éditeur nécessaire</v>
      </c>
      <c r="AT675" s="8" t="e">
        <f>VLOOKUP(A675,chk!A:B,2,0)</f>
        <v>#N/A</v>
      </c>
      <c r="AU675" s="29" t="e">
        <f>VLOOKUP(A675,checker!A:B,2,0)</f>
        <v>#N/A</v>
      </c>
      <c r="AV675" s="29" t="e">
        <f>VLOOKUP(A675,checker!B:C,2,0)</f>
        <v>#N/A</v>
      </c>
    </row>
    <row r="676" spans="1:48" x14ac:dyDescent="0.3">
      <c r="A676" s="29" t="str">
        <f t="shared" si="11"/>
        <v>96.692.66.699/80/apache-httpd-cve-2011-3368</v>
      </c>
      <c r="B676" s="41" t="s">
        <v>3018</v>
      </c>
      <c r="C676" s="41" t="s">
        <v>2817</v>
      </c>
      <c r="E676" s="39" t="s">
        <v>95</v>
      </c>
      <c r="H676" s="43" t="s">
        <v>256</v>
      </c>
      <c r="I676" s="39" t="s">
        <v>2574</v>
      </c>
      <c r="J676" s="39">
        <v>80</v>
      </c>
      <c r="K676" s="41" t="s">
        <v>275</v>
      </c>
      <c r="L676" s="41" t="s">
        <v>2578</v>
      </c>
      <c r="M676" s="9">
        <v>5</v>
      </c>
      <c r="N676" s="9" t="s">
        <v>29</v>
      </c>
      <c r="O676" s="41" t="s">
        <v>2609</v>
      </c>
      <c r="P676" s="43" t="s">
        <v>2744</v>
      </c>
      <c r="Q676" s="43" t="s">
        <v>2745</v>
      </c>
      <c r="R676" s="43" t="s">
        <v>2746</v>
      </c>
      <c r="S676" s="43" t="s">
        <v>2629</v>
      </c>
      <c r="T676" s="43" t="s">
        <v>2747</v>
      </c>
      <c r="U676" s="43" t="s">
        <v>2748</v>
      </c>
      <c r="V676" s="43" t="s">
        <v>2808</v>
      </c>
      <c r="AB676" s="39">
        <v>10</v>
      </c>
      <c r="AE676" s="103" t="s">
        <v>2925</v>
      </c>
      <c r="AI676" s="72" t="s">
        <v>2818</v>
      </c>
      <c r="AJ676" s="42" t="s">
        <v>27</v>
      </c>
      <c r="AK676" s="8" t="e">
        <f>VLOOKUP(A676,'[1]Externe MAJ Nov'!$A:$H,8,0)</f>
        <v>#N/A</v>
      </c>
      <c r="AL676" s="29" t="e">
        <f>VLOOKUP(A676,'[1]Externe MAJ Nov'!$A:$G,7,0)</f>
        <v>#N/A</v>
      </c>
      <c r="AM676" s="29"/>
      <c r="AN676" s="39" t="s">
        <v>27</v>
      </c>
      <c r="AO676" s="58" t="s">
        <v>2905</v>
      </c>
      <c r="AP676" s="29" t="e">
        <f>VLOOKUP(A676,'[2]External Scan 02_21'!$B:$J,9,0)</f>
        <v>#N/A</v>
      </c>
      <c r="AR676" s="75" t="s">
        <v>487</v>
      </c>
      <c r="AS676" s="21" t="str">
        <f>VLOOKUP(AE676,'ref statu'!A:B,2,0)</f>
        <v>DTP intervention de l'éditeur nécessaire</v>
      </c>
      <c r="AT676" s="8" t="e">
        <f>VLOOKUP(A676,chk!A:B,2,0)</f>
        <v>#N/A</v>
      </c>
      <c r="AU676" s="29" t="e">
        <f>VLOOKUP(A676,checker!A:B,2,0)</f>
        <v>#N/A</v>
      </c>
      <c r="AV676" s="29" t="e">
        <f>VLOOKUP(A676,checker!B:C,2,0)</f>
        <v>#N/A</v>
      </c>
    </row>
    <row r="677" spans="1:48" x14ac:dyDescent="0.3">
      <c r="A677" s="29" t="str">
        <f t="shared" si="11"/>
        <v>96.692.66.699/123/ntp-monlist-dos-cve-2013-5211</v>
      </c>
      <c r="B677" s="41" t="s">
        <v>3018</v>
      </c>
      <c r="C677" s="41" t="s">
        <v>2817</v>
      </c>
      <c r="E677" s="39" t="s">
        <v>95</v>
      </c>
      <c r="H677" s="43" t="s">
        <v>256</v>
      </c>
      <c r="I677" s="39" t="s">
        <v>2574</v>
      </c>
      <c r="J677" s="39">
        <v>123</v>
      </c>
      <c r="K677" s="41" t="s">
        <v>2575</v>
      </c>
      <c r="L677" s="41" t="s">
        <v>2577</v>
      </c>
      <c r="M677" s="9">
        <v>5</v>
      </c>
      <c r="N677" s="9" t="s">
        <v>29</v>
      </c>
      <c r="O677" s="41" t="s">
        <v>2610</v>
      </c>
      <c r="P677" s="43" t="s">
        <v>2749</v>
      </c>
      <c r="Q677" s="43" t="s">
        <v>2750</v>
      </c>
      <c r="R677" s="43" t="s">
        <v>2751</v>
      </c>
      <c r="S677" s="43" t="s">
        <v>2752</v>
      </c>
      <c r="T677" s="43" t="s">
        <v>31</v>
      </c>
      <c r="U677" s="43" t="s">
        <v>2753</v>
      </c>
      <c r="V677" s="43" t="s">
        <v>2809</v>
      </c>
      <c r="AB677" s="39">
        <v>10</v>
      </c>
      <c r="AE677" s="103" t="s">
        <v>2925</v>
      </c>
      <c r="AI677" s="72" t="s">
        <v>2818</v>
      </c>
      <c r="AJ677" s="42" t="s">
        <v>27</v>
      </c>
      <c r="AK677" s="8" t="e">
        <f>VLOOKUP(A677,'[1]Externe MAJ Nov'!$A:$H,8,0)</f>
        <v>#N/A</v>
      </c>
      <c r="AL677" s="29" t="e">
        <f>VLOOKUP(A677,'[1]Externe MAJ Nov'!$A:$G,7,0)</f>
        <v>#N/A</v>
      </c>
      <c r="AM677" s="29"/>
      <c r="AN677" s="39" t="s">
        <v>27</v>
      </c>
      <c r="AO677" s="58" t="s">
        <v>2906</v>
      </c>
      <c r="AP677" s="29" t="e">
        <f>VLOOKUP(A677,'[2]External Scan 02_21'!$B:$J,9,0)</f>
        <v>#N/A</v>
      </c>
      <c r="AR677" s="75" t="s">
        <v>487</v>
      </c>
      <c r="AS677" s="21" t="str">
        <f>VLOOKUP(AE677,'ref statu'!A:B,2,0)</f>
        <v>DTP intervention de l'éditeur nécessaire</v>
      </c>
      <c r="AT677" s="8" t="e">
        <f>VLOOKUP(A677,chk!A:B,2,0)</f>
        <v>#N/A</v>
      </c>
      <c r="AU677" s="29" t="e">
        <f>VLOOKUP(A677,checker!A:B,2,0)</f>
        <v>#N/A</v>
      </c>
      <c r="AV677" s="29" t="e">
        <f>VLOOKUP(A677,checker!B:C,2,0)</f>
        <v>#N/A</v>
      </c>
    </row>
    <row r="678" spans="1:48" x14ac:dyDescent="0.3">
      <c r="A678" s="29" t="str">
        <f t="shared" si="11"/>
        <v>96.692.66.699/80/apache-httpd-cve-2013-1896</v>
      </c>
      <c r="B678" s="41" t="s">
        <v>3018</v>
      </c>
      <c r="C678" s="41" t="s">
        <v>2817</v>
      </c>
      <c r="E678" s="39" t="s">
        <v>95</v>
      </c>
      <c r="H678" s="43" t="s">
        <v>256</v>
      </c>
      <c r="I678" s="39" t="s">
        <v>2574</v>
      </c>
      <c r="J678" s="39">
        <v>80</v>
      </c>
      <c r="K678" s="41" t="s">
        <v>275</v>
      </c>
      <c r="L678" s="41" t="s">
        <v>2578</v>
      </c>
      <c r="M678" s="9">
        <v>4</v>
      </c>
      <c r="N678" s="9" t="s">
        <v>29</v>
      </c>
      <c r="O678" s="41" t="s">
        <v>2611</v>
      </c>
      <c r="P678" s="43" t="s">
        <v>2754</v>
      </c>
      <c r="Q678" s="43" t="s">
        <v>2755</v>
      </c>
      <c r="R678" s="43" t="s">
        <v>2756</v>
      </c>
      <c r="S678" s="43" t="s">
        <v>2629</v>
      </c>
      <c r="T678" s="43" t="s">
        <v>2633</v>
      </c>
      <c r="U678" s="43" t="s">
        <v>2757</v>
      </c>
      <c r="V678" s="43" t="s">
        <v>2810</v>
      </c>
      <c r="AB678" s="39">
        <v>10</v>
      </c>
      <c r="AE678" s="103" t="s">
        <v>2925</v>
      </c>
      <c r="AI678" s="72" t="s">
        <v>2818</v>
      </c>
      <c r="AJ678" s="42" t="s">
        <v>27</v>
      </c>
      <c r="AK678" s="8" t="e">
        <f>VLOOKUP(A678,'[1]Externe MAJ Nov'!$A:$H,8,0)</f>
        <v>#N/A</v>
      </c>
      <c r="AL678" s="29" t="e">
        <f>VLOOKUP(A678,'[1]Externe MAJ Nov'!$A:$G,7,0)</f>
        <v>#N/A</v>
      </c>
      <c r="AM678" s="29"/>
      <c r="AN678" s="39" t="s">
        <v>27</v>
      </c>
      <c r="AO678" s="58" t="s">
        <v>2907</v>
      </c>
      <c r="AP678" s="29" t="e">
        <f>VLOOKUP(A678,'[2]External Scan 02_21'!$B:$J,9,0)</f>
        <v>#N/A</v>
      </c>
      <c r="AR678" s="75" t="s">
        <v>487</v>
      </c>
      <c r="AS678" s="21" t="str">
        <f>VLOOKUP(AE678,'ref statu'!A:B,2,0)</f>
        <v>DTP intervention de l'éditeur nécessaire</v>
      </c>
      <c r="AT678" s="8" t="e">
        <f>VLOOKUP(A678,chk!A:B,2,0)</f>
        <v>#N/A</v>
      </c>
      <c r="AU678" s="29" t="e">
        <f>VLOOKUP(A678,checker!A:B,2,0)</f>
        <v>#N/A</v>
      </c>
      <c r="AV678" s="29" t="e">
        <f>VLOOKUP(A678,checker!B:C,2,0)</f>
        <v>#N/A</v>
      </c>
    </row>
    <row r="679" spans="1:48" x14ac:dyDescent="0.3">
      <c r="A679" s="29" t="str">
        <f t="shared" si="11"/>
        <v>96.692.66.699/443/apache-httpd-cve-2013-1896</v>
      </c>
      <c r="B679" s="41" t="s">
        <v>3018</v>
      </c>
      <c r="C679" s="41" t="s">
        <v>2817</v>
      </c>
      <c r="E679" s="39" t="s">
        <v>95</v>
      </c>
      <c r="H679" s="43" t="s">
        <v>256</v>
      </c>
      <c r="I679" s="39" t="s">
        <v>2574</v>
      </c>
      <c r="J679" s="39">
        <v>443</v>
      </c>
      <c r="K679" s="41" t="s">
        <v>290</v>
      </c>
      <c r="L679" s="41" t="s">
        <v>2578</v>
      </c>
      <c r="M679" s="9">
        <v>4</v>
      </c>
      <c r="N679" s="9" t="s">
        <v>29</v>
      </c>
      <c r="O679" s="41" t="s">
        <v>2611</v>
      </c>
      <c r="P679" s="43" t="s">
        <v>2754</v>
      </c>
      <c r="Q679" s="43" t="s">
        <v>2755</v>
      </c>
      <c r="R679" s="43" t="s">
        <v>2756</v>
      </c>
      <c r="S679" s="43" t="s">
        <v>2626</v>
      </c>
      <c r="T679" s="43" t="s">
        <v>2633</v>
      </c>
      <c r="U679" s="43" t="s">
        <v>2757</v>
      </c>
      <c r="V679" s="43" t="s">
        <v>2810</v>
      </c>
      <c r="AB679" s="39">
        <v>10</v>
      </c>
      <c r="AE679" s="103" t="s">
        <v>2925</v>
      </c>
      <c r="AI679" s="72" t="s">
        <v>2818</v>
      </c>
      <c r="AJ679" s="42" t="s">
        <v>27</v>
      </c>
      <c r="AK679" s="8" t="e">
        <f>VLOOKUP(A679,'[1]Externe MAJ Nov'!$A:$H,8,0)</f>
        <v>#N/A</v>
      </c>
      <c r="AL679" s="29" t="e">
        <f>VLOOKUP(A679,'[1]Externe MAJ Nov'!$A:$G,7,0)</f>
        <v>#N/A</v>
      </c>
      <c r="AM679" s="29"/>
      <c r="AN679" s="39" t="s">
        <v>27</v>
      </c>
      <c r="AO679" s="58" t="s">
        <v>2908</v>
      </c>
      <c r="AP679" s="29" t="e">
        <f>VLOOKUP(A679,'[2]External Scan 02_21'!$B:$J,9,0)</f>
        <v>#N/A</v>
      </c>
      <c r="AR679" s="75" t="s">
        <v>487</v>
      </c>
      <c r="AS679" s="21" t="str">
        <f>VLOOKUP(AE679,'ref statu'!A:B,2,0)</f>
        <v>DTP intervention de l'éditeur nécessaire</v>
      </c>
      <c r="AT679" s="8" t="e">
        <f>VLOOKUP(A679,chk!A:B,2,0)</f>
        <v>#N/A</v>
      </c>
      <c r="AU679" s="29" t="e">
        <f>VLOOKUP(A679,checker!A:B,2,0)</f>
        <v>#N/A</v>
      </c>
      <c r="AV679" s="29" t="e">
        <f>VLOOKUP(A679,checker!B:C,2,0)</f>
        <v>#N/A</v>
      </c>
    </row>
    <row r="680" spans="1:48" x14ac:dyDescent="0.3">
      <c r="A680" s="29" t="str">
        <f t="shared" si="11"/>
        <v>96.692.66.699/443/apache-httpd-cve-2016-4975</v>
      </c>
      <c r="B680" s="41" t="s">
        <v>3018</v>
      </c>
      <c r="C680" s="41" t="s">
        <v>2817</v>
      </c>
      <c r="E680" s="39" t="s">
        <v>95</v>
      </c>
      <c r="H680" s="43" t="s">
        <v>256</v>
      </c>
      <c r="I680" s="39" t="s">
        <v>2574</v>
      </c>
      <c r="J680" s="39">
        <v>443</v>
      </c>
      <c r="K680" s="41" t="s">
        <v>290</v>
      </c>
      <c r="L680" s="41" t="s">
        <v>2578</v>
      </c>
      <c r="M680" s="9">
        <v>4</v>
      </c>
      <c r="N680" s="9" t="s">
        <v>29</v>
      </c>
      <c r="O680" s="41" t="s">
        <v>2612</v>
      </c>
      <c r="P680" s="43" t="s">
        <v>2758</v>
      </c>
      <c r="Q680" s="43" t="s">
        <v>2759</v>
      </c>
      <c r="R680" s="43" t="s">
        <v>2653</v>
      </c>
      <c r="S680" s="43" t="s">
        <v>2626</v>
      </c>
      <c r="T680" s="43" t="s">
        <v>2633</v>
      </c>
      <c r="U680" s="43" t="s">
        <v>2760</v>
      </c>
      <c r="V680" s="43" t="s">
        <v>2811</v>
      </c>
      <c r="AB680" s="39">
        <v>10</v>
      </c>
      <c r="AE680" s="103" t="s">
        <v>2925</v>
      </c>
      <c r="AI680" s="72" t="s">
        <v>2818</v>
      </c>
      <c r="AJ680" s="42" t="s">
        <v>27</v>
      </c>
      <c r="AK680" s="8" t="e">
        <f>VLOOKUP(A680,'[1]Externe MAJ Nov'!$A:$H,8,0)</f>
        <v>#N/A</v>
      </c>
      <c r="AL680" s="29" t="e">
        <f>VLOOKUP(A680,'[1]Externe MAJ Nov'!$A:$G,7,0)</f>
        <v>#N/A</v>
      </c>
      <c r="AM680" s="29"/>
      <c r="AN680" s="39" t="s">
        <v>27</v>
      </c>
      <c r="AO680" s="58" t="s">
        <v>2909</v>
      </c>
      <c r="AP680" s="29" t="e">
        <f>VLOOKUP(A680,'[2]External Scan 02_21'!$B:$J,9,0)</f>
        <v>#N/A</v>
      </c>
      <c r="AR680" s="75" t="s">
        <v>487</v>
      </c>
      <c r="AS680" s="21" t="str">
        <f>VLOOKUP(AE680,'ref statu'!A:B,2,0)</f>
        <v>DTP intervention de l'éditeur nécessaire</v>
      </c>
      <c r="AT680" s="8" t="e">
        <f>VLOOKUP(A680,chk!A:B,2,0)</f>
        <v>#N/A</v>
      </c>
      <c r="AU680" s="29" t="e">
        <f>VLOOKUP(A680,checker!A:B,2,0)</f>
        <v>#N/A</v>
      </c>
      <c r="AV680" s="29" t="e">
        <f>VLOOKUP(A680,checker!B:C,2,0)</f>
        <v>#N/A</v>
      </c>
    </row>
    <row r="681" spans="1:48" x14ac:dyDescent="0.3">
      <c r="A681" s="29" t="str">
        <f t="shared" si="11"/>
        <v>96.692.66.699/80/apache-httpd-cve-2016-4975</v>
      </c>
      <c r="B681" s="41" t="s">
        <v>3018</v>
      </c>
      <c r="C681" s="41" t="s">
        <v>2817</v>
      </c>
      <c r="E681" s="39" t="s">
        <v>95</v>
      </c>
      <c r="H681" s="43" t="s">
        <v>256</v>
      </c>
      <c r="I681" s="39" t="s">
        <v>2574</v>
      </c>
      <c r="J681" s="39">
        <v>80</v>
      </c>
      <c r="K681" s="41" t="s">
        <v>275</v>
      </c>
      <c r="L681" s="41" t="s">
        <v>2578</v>
      </c>
      <c r="M681" s="9">
        <v>4</v>
      </c>
      <c r="N681" s="9" t="s">
        <v>29</v>
      </c>
      <c r="O681" s="41" t="s">
        <v>2612</v>
      </c>
      <c r="P681" s="43" t="s">
        <v>2758</v>
      </c>
      <c r="Q681" s="43" t="s">
        <v>2759</v>
      </c>
      <c r="R681" s="43" t="s">
        <v>2653</v>
      </c>
      <c r="S681" s="43" t="s">
        <v>2629</v>
      </c>
      <c r="T681" s="43" t="s">
        <v>2633</v>
      </c>
      <c r="U681" s="43" t="s">
        <v>2760</v>
      </c>
      <c r="V681" s="43" t="s">
        <v>2811</v>
      </c>
      <c r="AB681" s="39">
        <v>10</v>
      </c>
      <c r="AE681" s="103" t="s">
        <v>2925</v>
      </c>
      <c r="AI681" s="72" t="s">
        <v>2818</v>
      </c>
      <c r="AJ681" s="42" t="s">
        <v>27</v>
      </c>
      <c r="AK681" s="8" t="e">
        <f>VLOOKUP(A681,'[1]Externe MAJ Nov'!$A:$H,8,0)</f>
        <v>#N/A</v>
      </c>
      <c r="AL681" s="29" t="e">
        <f>VLOOKUP(A681,'[1]Externe MAJ Nov'!$A:$G,7,0)</f>
        <v>#N/A</v>
      </c>
      <c r="AM681" s="29"/>
      <c r="AN681" s="39" t="s">
        <v>27</v>
      </c>
      <c r="AO681" s="58" t="s">
        <v>2910</v>
      </c>
      <c r="AP681" s="29" t="e">
        <f>VLOOKUP(A681,'[2]External Scan 02_21'!$B:$J,9,0)</f>
        <v>#N/A</v>
      </c>
      <c r="AR681" s="75" t="s">
        <v>487</v>
      </c>
      <c r="AS681" s="21" t="str">
        <f>VLOOKUP(AE681,'ref statu'!A:B,2,0)</f>
        <v>DTP intervention de l'éditeur nécessaire</v>
      </c>
      <c r="AT681" s="8" t="e">
        <f>VLOOKUP(A681,chk!A:B,2,0)</f>
        <v>#N/A</v>
      </c>
      <c r="AU681" s="29" t="e">
        <f>VLOOKUP(A681,checker!A:B,2,0)</f>
        <v>#N/A</v>
      </c>
      <c r="AV681" s="29" t="e">
        <f>VLOOKUP(A681,checker!B:C,2,0)</f>
        <v>#N/A</v>
      </c>
    </row>
    <row r="682" spans="1:48" x14ac:dyDescent="0.3">
      <c r="A682" s="29" t="str">
        <f t="shared" si="11"/>
        <v>96.692.66.699/22/ssh-cve-2016-2183-sweet32</v>
      </c>
      <c r="B682" s="41" t="s">
        <v>3018</v>
      </c>
      <c r="C682" s="41" t="s">
        <v>2817</v>
      </c>
      <c r="E682" s="39" t="s">
        <v>95</v>
      </c>
      <c r="H682" s="43" t="s">
        <v>256</v>
      </c>
      <c r="I682" s="39" t="s">
        <v>2574</v>
      </c>
      <c r="J682" s="39">
        <v>22</v>
      </c>
      <c r="K682" s="41" t="s">
        <v>268</v>
      </c>
      <c r="L682" s="41" t="s">
        <v>269</v>
      </c>
      <c r="M682" s="9">
        <v>5</v>
      </c>
      <c r="N682" s="9" t="s">
        <v>29</v>
      </c>
      <c r="O682" s="41" t="s">
        <v>67</v>
      </c>
      <c r="P682" s="43" t="s">
        <v>68</v>
      </c>
      <c r="Q682" s="43" t="s">
        <v>69</v>
      </c>
      <c r="R682" s="43" t="s">
        <v>52</v>
      </c>
      <c r="S682" s="43" t="s">
        <v>53</v>
      </c>
      <c r="T682" s="43" t="s">
        <v>70</v>
      </c>
      <c r="U682" s="43" t="s">
        <v>71</v>
      </c>
      <c r="V682" s="43" t="s">
        <v>278</v>
      </c>
      <c r="AB682" s="39">
        <v>10</v>
      </c>
      <c r="AE682" s="103" t="s">
        <v>28</v>
      </c>
      <c r="AG682" s="65" t="s">
        <v>2924</v>
      </c>
      <c r="AI682" s="72" t="s">
        <v>2818</v>
      </c>
      <c r="AJ682" s="42" t="s">
        <v>27</v>
      </c>
      <c r="AK682" s="8" t="e">
        <f>VLOOKUP(A682,'[1]Externe MAJ Nov'!$A:$H,8,0)</f>
        <v>#N/A</v>
      </c>
      <c r="AL682" s="29" t="e">
        <f>VLOOKUP(A682,'[1]Externe MAJ Nov'!$A:$G,7,0)</f>
        <v>#N/A</v>
      </c>
      <c r="AM682" s="29"/>
      <c r="AN682" s="39" t="s">
        <v>27</v>
      </c>
      <c r="AO682" s="58" t="s">
        <v>2911</v>
      </c>
      <c r="AP682" s="29" t="e">
        <f>VLOOKUP(A682,'[2]External Scan 02_21'!$B:$J,9,0)</f>
        <v>#N/A</v>
      </c>
      <c r="AR682" s="75" t="s">
        <v>487</v>
      </c>
      <c r="AS682" s="21" t="str">
        <f>VLOOKUP(AE682,'ref statu'!A:B,2,0)</f>
        <v>Fixed</v>
      </c>
      <c r="AT682" s="8" t="e">
        <f>VLOOKUP(A682,chk!A:B,2,0)</f>
        <v>#N/A</v>
      </c>
      <c r="AU682" s="29" t="e">
        <f>VLOOKUP(A682,checker!A:B,2,0)</f>
        <v>#N/A</v>
      </c>
      <c r="AV682" s="29" t="e">
        <f>VLOOKUP(A682,checker!B:C,2,0)</f>
        <v>#N/A</v>
      </c>
    </row>
    <row r="683" spans="1:48" x14ac:dyDescent="0.3">
      <c r="A683" s="29" t="str">
        <f t="shared" si="11"/>
        <v>96.692.66.699/80/apache-httpd-cve-2012-4558</v>
      </c>
      <c r="B683" s="41" t="s">
        <v>3018</v>
      </c>
      <c r="C683" s="41" t="s">
        <v>2817</v>
      </c>
      <c r="E683" s="39" t="s">
        <v>95</v>
      </c>
      <c r="H683" s="43" t="s">
        <v>256</v>
      </c>
      <c r="I683" s="39" t="s">
        <v>2574</v>
      </c>
      <c r="J683" s="39">
        <v>80</v>
      </c>
      <c r="K683" s="41" t="s">
        <v>275</v>
      </c>
      <c r="L683" s="41" t="s">
        <v>2578</v>
      </c>
      <c r="M683" s="9">
        <v>4</v>
      </c>
      <c r="N683" s="9" t="s">
        <v>29</v>
      </c>
      <c r="O683" s="41" t="s">
        <v>2613</v>
      </c>
      <c r="P683" s="43" t="s">
        <v>2761</v>
      </c>
      <c r="Q683" s="43" t="s">
        <v>2762</v>
      </c>
      <c r="R683" s="43" t="s">
        <v>2688</v>
      </c>
      <c r="S683" s="43" t="s">
        <v>2629</v>
      </c>
      <c r="T683" s="43" t="s">
        <v>2633</v>
      </c>
      <c r="U683" s="43" t="s">
        <v>2763</v>
      </c>
      <c r="V683" s="43" t="s">
        <v>2812</v>
      </c>
      <c r="AB683" s="39">
        <v>10</v>
      </c>
      <c r="AE683" s="103" t="s">
        <v>2925</v>
      </c>
      <c r="AI683" s="72" t="s">
        <v>2818</v>
      </c>
      <c r="AJ683" s="42" t="s">
        <v>27</v>
      </c>
      <c r="AK683" s="8" t="e">
        <f>VLOOKUP(A683,'[1]Externe MAJ Nov'!$A:$H,8,0)</f>
        <v>#N/A</v>
      </c>
      <c r="AL683" s="29" t="e">
        <f>VLOOKUP(A683,'[1]Externe MAJ Nov'!$A:$G,7,0)</f>
        <v>#N/A</v>
      </c>
      <c r="AM683" s="29"/>
      <c r="AN683" s="39" t="s">
        <v>27</v>
      </c>
      <c r="AO683" s="58" t="s">
        <v>2912</v>
      </c>
      <c r="AP683" s="29" t="e">
        <f>VLOOKUP(A683,'[2]External Scan 02_21'!$B:$J,9,0)</f>
        <v>#N/A</v>
      </c>
      <c r="AR683" s="75" t="s">
        <v>487</v>
      </c>
      <c r="AS683" s="21" t="str">
        <f>VLOOKUP(AE683,'ref statu'!A:B,2,0)</f>
        <v>DTP intervention de l'éditeur nécessaire</v>
      </c>
      <c r="AT683" s="8" t="e">
        <f>VLOOKUP(A683,chk!A:B,2,0)</f>
        <v>#N/A</v>
      </c>
      <c r="AU683" s="29" t="e">
        <f>VLOOKUP(A683,checker!A:B,2,0)</f>
        <v>#N/A</v>
      </c>
      <c r="AV683" s="29" t="e">
        <f>VLOOKUP(A683,checker!B:C,2,0)</f>
        <v>#N/A</v>
      </c>
    </row>
    <row r="684" spans="1:48" x14ac:dyDescent="0.3">
      <c r="A684" s="29" t="str">
        <f t="shared" si="11"/>
        <v>96.692.66.699/443/apache-httpd-cve-2012-4558</v>
      </c>
      <c r="B684" s="41" t="s">
        <v>3018</v>
      </c>
      <c r="C684" s="41" t="s">
        <v>2817</v>
      </c>
      <c r="E684" s="39" t="s">
        <v>95</v>
      </c>
      <c r="H684" s="43" t="s">
        <v>256</v>
      </c>
      <c r="I684" s="39" t="s">
        <v>2574</v>
      </c>
      <c r="J684" s="39">
        <v>443</v>
      </c>
      <c r="K684" s="41" t="s">
        <v>290</v>
      </c>
      <c r="L684" s="41" t="s">
        <v>2578</v>
      </c>
      <c r="M684" s="9">
        <v>4</v>
      </c>
      <c r="N684" s="9" t="s">
        <v>29</v>
      </c>
      <c r="O684" s="41" t="s">
        <v>2613</v>
      </c>
      <c r="P684" s="43" t="s">
        <v>2761</v>
      </c>
      <c r="Q684" s="43" t="s">
        <v>2762</v>
      </c>
      <c r="R684" s="43" t="s">
        <v>2688</v>
      </c>
      <c r="S684" s="43" t="s">
        <v>2626</v>
      </c>
      <c r="T684" s="43" t="s">
        <v>2633</v>
      </c>
      <c r="U684" s="43" t="s">
        <v>2763</v>
      </c>
      <c r="V684" s="43" t="s">
        <v>2812</v>
      </c>
      <c r="AB684" s="39">
        <v>10</v>
      </c>
      <c r="AE684" s="103" t="s">
        <v>2925</v>
      </c>
      <c r="AI684" s="72" t="s">
        <v>2818</v>
      </c>
      <c r="AJ684" s="42" t="s">
        <v>27</v>
      </c>
      <c r="AK684" s="8" t="e">
        <f>VLOOKUP(A684,'[1]Externe MAJ Nov'!$A:$H,8,0)</f>
        <v>#N/A</v>
      </c>
      <c r="AL684" s="29" t="e">
        <f>VLOOKUP(A684,'[1]Externe MAJ Nov'!$A:$G,7,0)</f>
        <v>#N/A</v>
      </c>
      <c r="AM684" s="29"/>
      <c r="AN684" s="39" t="s">
        <v>27</v>
      </c>
      <c r="AO684" s="58" t="s">
        <v>2913</v>
      </c>
      <c r="AP684" s="29" t="e">
        <f>VLOOKUP(A684,'[2]External Scan 02_21'!$B:$J,9,0)</f>
        <v>#N/A</v>
      </c>
      <c r="AR684" s="75" t="s">
        <v>487</v>
      </c>
      <c r="AS684" s="21" t="str">
        <f>VLOOKUP(AE684,'ref statu'!A:B,2,0)</f>
        <v>DTP intervention de l'éditeur nécessaire</v>
      </c>
      <c r="AT684" s="8" t="e">
        <f>VLOOKUP(A684,chk!A:B,2,0)</f>
        <v>#N/A</v>
      </c>
      <c r="AU684" s="29" t="e">
        <f>VLOOKUP(A684,checker!A:B,2,0)</f>
        <v>#N/A</v>
      </c>
      <c r="AV684" s="29" t="e">
        <f>VLOOKUP(A684,checker!B:C,2,0)</f>
        <v>#N/A</v>
      </c>
    </row>
    <row r="685" spans="1:48" x14ac:dyDescent="0.3">
      <c r="A685" s="29" t="str">
        <f t="shared" si="11"/>
        <v>96.692.66.699/443/apache-httpd-cve-2012-4557</v>
      </c>
      <c r="B685" s="41" t="s">
        <v>3018</v>
      </c>
      <c r="C685" s="41" t="s">
        <v>2817</v>
      </c>
      <c r="E685" s="39" t="s">
        <v>95</v>
      </c>
      <c r="H685" s="43" t="s">
        <v>256</v>
      </c>
      <c r="I685" s="39" t="s">
        <v>2574</v>
      </c>
      <c r="J685" s="39">
        <v>443</v>
      </c>
      <c r="K685" s="41" t="s">
        <v>290</v>
      </c>
      <c r="L685" s="41" t="s">
        <v>2578</v>
      </c>
      <c r="M685" s="9">
        <v>5</v>
      </c>
      <c r="N685" s="9" t="s">
        <v>29</v>
      </c>
      <c r="O685" s="41" t="s">
        <v>2614</v>
      </c>
      <c r="P685" s="43" t="s">
        <v>2764</v>
      </c>
      <c r="Q685" s="43" t="s">
        <v>2765</v>
      </c>
      <c r="R685" s="43" t="s">
        <v>2713</v>
      </c>
      <c r="S685" s="43" t="s">
        <v>2626</v>
      </c>
      <c r="T685" s="43" t="s">
        <v>2680</v>
      </c>
      <c r="U685" s="43" t="s">
        <v>2766</v>
      </c>
      <c r="V685" s="43" t="s">
        <v>2813</v>
      </c>
      <c r="AB685" s="39">
        <v>10</v>
      </c>
      <c r="AE685" s="103" t="s">
        <v>2925</v>
      </c>
      <c r="AI685" s="72" t="s">
        <v>2818</v>
      </c>
      <c r="AJ685" s="42" t="s">
        <v>27</v>
      </c>
      <c r="AK685" s="8" t="e">
        <f>VLOOKUP(A685,'[1]Externe MAJ Nov'!$A:$H,8,0)</f>
        <v>#N/A</v>
      </c>
      <c r="AL685" s="29" t="e">
        <f>VLOOKUP(A685,'[1]Externe MAJ Nov'!$A:$G,7,0)</f>
        <v>#N/A</v>
      </c>
      <c r="AM685" s="29"/>
      <c r="AN685" s="39" t="s">
        <v>27</v>
      </c>
      <c r="AO685" s="58" t="s">
        <v>2914</v>
      </c>
      <c r="AP685" s="29" t="e">
        <f>VLOOKUP(A685,'[2]External Scan 02_21'!$B:$J,9,0)</f>
        <v>#N/A</v>
      </c>
      <c r="AR685" s="75" t="s">
        <v>487</v>
      </c>
      <c r="AS685" s="21" t="str">
        <f>VLOOKUP(AE685,'ref statu'!A:B,2,0)</f>
        <v>DTP intervention de l'éditeur nécessaire</v>
      </c>
      <c r="AT685" s="8" t="e">
        <f>VLOOKUP(A685,chk!A:B,2,0)</f>
        <v>#N/A</v>
      </c>
      <c r="AU685" s="29" t="e">
        <f>VLOOKUP(A685,checker!A:B,2,0)</f>
        <v>#N/A</v>
      </c>
      <c r="AV685" s="29" t="e">
        <f>VLOOKUP(A685,checker!B:C,2,0)</f>
        <v>#N/A</v>
      </c>
    </row>
    <row r="686" spans="1:48" x14ac:dyDescent="0.3">
      <c r="A686" s="29" t="str">
        <f t="shared" si="11"/>
        <v>96.692.66.699/80/apache-httpd-cve-2012-4557</v>
      </c>
      <c r="B686" s="41" t="s">
        <v>3018</v>
      </c>
      <c r="C686" s="41" t="s">
        <v>2817</v>
      </c>
      <c r="E686" s="39" t="s">
        <v>95</v>
      </c>
      <c r="H686" s="43" t="s">
        <v>256</v>
      </c>
      <c r="I686" s="39" t="s">
        <v>2574</v>
      </c>
      <c r="J686" s="39">
        <v>80</v>
      </c>
      <c r="K686" s="41" t="s">
        <v>275</v>
      </c>
      <c r="L686" s="41" t="s">
        <v>2578</v>
      </c>
      <c r="M686" s="9">
        <v>5</v>
      </c>
      <c r="N686" s="9" t="s">
        <v>29</v>
      </c>
      <c r="O686" s="41" t="s">
        <v>2614</v>
      </c>
      <c r="P686" s="43" t="s">
        <v>2764</v>
      </c>
      <c r="Q686" s="43" t="s">
        <v>2765</v>
      </c>
      <c r="R686" s="43" t="s">
        <v>2713</v>
      </c>
      <c r="S686" s="43" t="s">
        <v>2629</v>
      </c>
      <c r="T686" s="43" t="s">
        <v>2680</v>
      </c>
      <c r="U686" s="43" t="s">
        <v>2766</v>
      </c>
      <c r="V686" s="43" t="s">
        <v>2813</v>
      </c>
      <c r="AB686" s="39">
        <v>10</v>
      </c>
      <c r="AE686" s="103" t="s">
        <v>2925</v>
      </c>
      <c r="AI686" s="72" t="s">
        <v>2818</v>
      </c>
      <c r="AJ686" s="42" t="s">
        <v>27</v>
      </c>
      <c r="AK686" s="8" t="e">
        <f>VLOOKUP(A686,'[1]Externe MAJ Nov'!$A:$H,8,0)</f>
        <v>#N/A</v>
      </c>
      <c r="AL686" s="29" t="e">
        <f>VLOOKUP(A686,'[1]Externe MAJ Nov'!$A:$G,7,0)</f>
        <v>#N/A</v>
      </c>
      <c r="AM686" s="29"/>
      <c r="AN686" s="39" t="s">
        <v>27</v>
      </c>
      <c r="AO686" s="58" t="s">
        <v>2915</v>
      </c>
      <c r="AP686" s="29" t="e">
        <f>VLOOKUP(A686,'[2]External Scan 02_21'!$B:$J,9,0)</f>
        <v>#N/A</v>
      </c>
      <c r="AR686" s="75" t="s">
        <v>487</v>
      </c>
      <c r="AS686" s="21" t="str">
        <f>VLOOKUP(AE686,'ref statu'!A:B,2,0)</f>
        <v>DTP intervention de l'éditeur nécessaire</v>
      </c>
      <c r="AT686" s="8" t="e">
        <f>VLOOKUP(A686,chk!A:B,2,0)</f>
        <v>#N/A</v>
      </c>
      <c r="AU686" s="29" t="e">
        <f>VLOOKUP(A686,checker!A:B,2,0)</f>
        <v>#N/A</v>
      </c>
      <c r="AV686" s="29" t="e">
        <f>VLOOKUP(A686,checker!B:C,2,0)</f>
        <v>#N/A</v>
      </c>
    </row>
    <row r="687" spans="1:48" x14ac:dyDescent="0.3">
      <c r="A687" s="29" t="str">
        <f t="shared" si="11"/>
        <v>96.692.66.699/0/generic-tcp-timestamp</v>
      </c>
      <c r="B687" s="41" t="s">
        <v>3018</v>
      </c>
      <c r="C687" s="41" t="s">
        <v>2817</v>
      </c>
      <c r="E687" s="39" t="s">
        <v>95</v>
      </c>
      <c r="H687" s="43" t="s">
        <v>256</v>
      </c>
      <c r="I687" s="39" t="s">
        <v>2574</v>
      </c>
      <c r="J687" s="39">
        <v>0</v>
      </c>
      <c r="K687" s="41" t="s">
        <v>258</v>
      </c>
      <c r="L687" s="41" t="s">
        <v>31</v>
      </c>
      <c r="M687" s="9">
        <v>1</v>
      </c>
      <c r="N687" s="9" t="s">
        <v>42</v>
      </c>
      <c r="O687" s="41" t="s">
        <v>78</v>
      </c>
      <c r="P687" s="43" t="s">
        <v>79</v>
      </c>
      <c r="Q687" s="43" t="s">
        <v>80</v>
      </c>
      <c r="R687" s="43" t="s">
        <v>81</v>
      </c>
      <c r="S687" s="43" t="s">
        <v>82</v>
      </c>
      <c r="T687" s="43" t="s">
        <v>83</v>
      </c>
      <c r="U687" s="43" t="s">
        <v>31</v>
      </c>
      <c r="V687" s="43" t="s">
        <v>31</v>
      </c>
      <c r="AB687" s="39">
        <v>10</v>
      </c>
      <c r="AE687" s="103" t="s">
        <v>28</v>
      </c>
      <c r="AG687" s="65" t="s">
        <v>2924</v>
      </c>
      <c r="AI687" s="72" t="s">
        <v>2818</v>
      </c>
      <c r="AJ687" s="42" t="s">
        <v>27</v>
      </c>
      <c r="AK687" s="8" t="e">
        <f>VLOOKUP(A687,'[1]Externe MAJ Nov'!$A:$H,8,0)</f>
        <v>#N/A</v>
      </c>
      <c r="AL687" s="29" t="e">
        <f>VLOOKUP(A687,'[1]Externe MAJ Nov'!$A:$G,7,0)</f>
        <v>#N/A</v>
      </c>
      <c r="AM687" s="29"/>
      <c r="AN687" s="39" t="s">
        <v>27</v>
      </c>
      <c r="AO687" s="58" t="s">
        <v>2916</v>
      </c>
      <c r="AP687" s="29" t="e">
        <f>VLOOKUP(A687,'[2]External Scan 02_21'!$B:$J,9,0)</f>
        <v>#N/A</v>
      </c>
      <c r="AR687" s="75" t="s">
        <v>487</v>
      </c>
      <c r="AS687" s="21" t="str">
        <f>VLOOKUP(AE687,'ref statu'!A:B,2,0)</f>
        <v>Fixed</v>
      </c>
      <c r="AT687" s="8" t="e">
        <f>VLOOKUP(A687,chk!A:B,2,0)</f>
        <v>#N/A</v>
      </c>
      <c r="AU687" s="29" t="e">
        <f>VLOOKUP(A687,checker!A:B,2,0)</f>
        <v>#N/A</v>
      </c>
      <c r="AV687" s="29" t="e">
        <f>VLOOKUP(A687,checker!B:C,2,0)</f>
        <v>#N/A</v>
      </c>
    </row>
    <row r="688" spans="1:48" x14ac:dyDescent="0.3">
      <c r="A688" s="29" t="str">
        <f t="shared" si="11"/>
        <v>96.692.66.699/123/ntp-r7-2014-12-reslist-drdos</v>
      </c>
      <c r="B688" s="41" t="s">
        <v>3018</v>
      </c>
      <c r="C688" s="41" t="s">
        <v>2817</v>
      </c>
      <c r="E688" s="39" t="s">
        <v>95</v>
      </c>
      <c r="H688" s="43" t="s">
        <v>256</v>
      </c>
      <c r="I688" s="39" t="s">
        <v>2574</v>
      </c>
      <c r="J688" s="39">
        <v>123</v>
      </c>
      <c r="K688" s="41" t="s">
        <v>2575</v>
      </c>
      <c r="L688" s="41" t="s">
        <v>2577</v>
      </c>
      <c r="M688" s="9">
        <v>5</v>
      </c>
      <c r="N688" s="9" t="s">
        <v>29</v>
      </c>
      <c r="O688" s="41" t="s">
        <v>2615</v>
      </c>
      <c r="P688" s="43" t="s">
        <v>2767</v>
      </c>
      <c r="Q688" s="43" t="s">
        <v>2768</v>
      </c>
      <c r="R688" s="43" t="s">
        <v>2692</v>
      </c>
      <c r="S688" s="43" t="s">
        <v>2769</v>
      </c>
      <c r="T688" s="43" t="s">
        <v>2694</v>
      </c>
      <c r="U688" s="43" t="s">
        <v>31</v>
      </c>
      <c r="V688" s="43" t="s">
        <v>31</v>
      </c>
      <c r="AB688" s="39">
        <v>10</v>
      </c>
      <c r="AE688" s="103" t="s">
        <v>28</v>
      </c>
      <c r="AG688" s="65" t="s">
        <v>2924</v>
      </c>
      <c r="AI688" s="72" t="s">
        <v>2818</v>
      </c>
      <c r="AJ688" s="42" t="s">
        <v>27</v>
      </c>
      <c r="AK688" s="8" t="e">
        <f>VLOOKUP(A688,'[1]Externe MAJ Nov'!$A:$H,8,0)</f>
        <v>#N/A</v>
      </c>
      <c r="AL688" s="29" t="e">
        <f>VLOOKUP(A688,'[1]Externe MAJ Nov'!$A:$G,7,0)</f>
        <v>#N/A</v>
      </c>
      <c r="AM688" s="29"/>
      <c r="AN688" s="39" t="s">
        <v>27</v>
      </c>
      <c r="AO688" s="58" t="s">
        <v>2917</v>
      </c>
      <c r="AP688" s="29" t="e">
        <f>VLOOKUP(A688,'[2]External Scan 02_21'!$B:$J,9,0)</f>
        <v>#N/A</v>
      </c>
      <c r="AR688" s="75" t="s">
        <v>487</v>
      </c>
      <c r="AS688" s="21" t="str">
        <f>VLOOKUP(AE688,'ref statu'!A:B,2,0)</f>
        <v>Fixed</v>
      </c>
      <c r="AT688" s="8" t="e">
        <f>VLOOKUP(A688,chk!A:B,2,0)</f>
        <v>#N/A</v>
      </c>
      <c r="AU688" s="29" t="e">
        <f>VLOOKUP(A688,checker!A:B,2,0)</f>
        <v>#N/A</v>
      </c>
      <c r="AV688" s="29" t="e">
        <f>VLOOKUP(A688,checker!B:C,2,0)</f>
        <v>#N/A</v>
      </c>
    </row>
    <row r="689" spans="1:48" x14ac:dyDescent="0.3">
      <c r="A689" s="29" t="str">
        <f t="shared" si="11"/>
        <v>96.692.66.699/80/apache-httpd-cve-2016-8743</v>
      </c>
      <c r="B689" s="41" t="s">
        <v>3018</v>
      </c>
      <c r="C689" s="41" t="s">
        <v>2817</v>
      </c>
      <c r="E689" s="39" t="s">
        <v>95</v>
      </c>
      <c r="H689" s="43" t="s">
        <v>256</v>
      </c>
      <c r="I689" s="39" t="s">
        <v>2574</v>
      </c>
      <c r="J689" s="39">
        <v>80</v>
      </c>
      <c r="K689" s="41" t="s">
        <v>275</v>
      </c>
      <c r="L689" s="41" t="s">
        <v>2578</v>
      </c>
      <c r="M689" s="9">
        <v>5</v>
      </c>
      <c r="N689" s="9" t="s">
        <v>29</v>
      </c>
      <c r="O689" s="41" t="s">
        <v>2616</v>
      </c>
      <c r="P689" s="43" t="s">
        <v>2770</v>
      </c>
      <c r="Q689" s="43" t="s">
        <v>2771</v>
      </c>
      <c r="R689" s="43" t="s">
        <v>2653</v>
      </c>
      <c r="S689" s="43" t="s">
        <v>2629</v>
      </c>
      <c r="T689" s="43" t="s">
        <v>2633</v>
      </c>
      <c r="U689" s="43" t="s">
        <v>2772</v>
      </c>
      <c r="V689" s="43" t="s">
        <v>2814</v>
      </c>
      <c r="AB689" s="39">
        <v>10</v>
      </c>
      <c r="AE689" s="103" t="s">
        <v>2925</v>
      </c>
      <c r="AI689" s="72" t="s">
        <v>2818</v>
      </c>
      <c r="AJ689" s="42" t="s">
        <v>27</v>
      </c>
      <c r="AK689" s="8" t="e">
        <f>VLOOKUP(A689,'[1]Externe MAJ Nov'!$A:$H,8,0)</f>
        <v>#N/A</v>
      </c>
      <c r="AL689" s="29" t="e">
        <f>VLOOKUP(A689,'[1]Externe MAJ Nov'!$A:$G,7,0)</f>
        <v>#N/A</v>
      </c>
      <c r="AM689" s="29"/>
      <c r="AN689" s="39" t="s">
        <v>27</v>
      </c>
      <c r="AO689" s="58" t="s">
        <v>2918</v>
      </c>
      <c r="AP689" s="29" t="e">
        <f>VLOOKUP(A689,'[2]External Scan 02_21'!$B:$J,9,0)</f>
        <v>#N/A</v>
      </c>
      <c r="AR689" s="75" t="s">
        <v>487</v>
      </c>
      <c r="AS689" s="21" t="str">
        <f>VLOOKUP(AE689,'ref statu'!A:B,2,0)</f>
        <v>DTP intervention de l'éditeur nécessaire</v>
      </c>
      <c r="AT689" s="8" t="e">
        <f>VLOOKUP(A689,chk!A:B,2,0)</f>
        <v>#N/A</v>
      </c>
      <c r="AU689" s="29" t="e">
        <f>VLOOKUP(A689,checker!A:B,2,0)</f>
        <v>#N/A</v>
      </c>
      <c r="AV689" s="29" t="e">
        <f>VLOOKUP(A689,checker!B:C,2,0)</f>
        <v>#N/A</v>
      </c>
    </row>
    <row r="690" spans="1:48" x14ac:dyDescent="0.3">
      <c r="A690" s="29" t="str">
        <f t="shared" si="11"/>
        <v>96.692.66.699/443/apache-httpd-cve-2016-8743</v>
      </c>
      <c r="B690" s="41" t="s">
        <v>3018</v>
      </c>
      <c r="C690" s="41" t="s">
        <v>2817</v>
      </c>
      <c r="E690" s="39" t="s">
        <v>95</v>
      </c>
      <c r="H690" s="43" t="s">
        <v>256</v>
      </c>
      <c r="I690" s="39" t="s">
        <v>2574</v>
      </c>
      <c r="J690" s="39">
        <v>443</v>
      </c>
      <c r="K690" s="41" t="s">
        <v>290</v>
      </c>
      <c r="L690" s="41" t="s">
        <v>2578</v>
      </c>
      <c r="M690" s="9">
        <v>5</v>
      </c>
      <c r="N690" s="9" t="s">
        <v>29</v>
      </c>
      <c r="O690" s="41" t="s">
        <v>2616</v>
      </c>
      <c r="P690" s="43" t="s">
        <v>2770</v>
      </c>
      <c r="Q690" s="43" t="s">
        <v>2771</v>
      </c>
      <c r="R690" s="43" t="s">
        <v>2653</v>
      </c>
      <c r="S690" s="43" t="s">
        <v>2626</v>
      </c>
      <c r="T690" s="43" t="s">
        <v>2633</v>
      </c>
      <c r="U690" s="43" t="s">
        <v>2772</v>
      </c>
      <c r="V690" s="43" t="s">
        <v>2814</v>
      </c>
      <c r="AB690" s="39">
        <v>10</v>
      </c>
      <c r="AE690" s="103" t="s">
        <v>2925</v>
      </c>
      <c r="AI690" s="72" t="s">
        <v>2818</v>
      </c>
      <c r="AJ690" s="42" t="s">
        <v>27</v>
      </c>
      <c r="AK690" s="8" t="e">
        <f>VLOOKUP(A690,'[1]Externe MAJ Nov'!$A:$H,8,0)</f>
        <v>#N/A</v>
      </c>
      <c r="AL690" s="29" t="e">
        <f>VLOOKUP(A690,'[1]Externe MAJ Nov'!$A:$G,7,0)</f>
        <v>#N/A</v>
      </c>
      <c r="AM690" s="29"/>
      <c r="AN690" s="39" t="s">
        <v>27</v>
      </c>
      <c r="AO690" s="58" t="s">
        <v>2919</v>
      </c>
      <c r="AP690" s="29" t="e">
        <f>VLOOKUP(A690,'[2]External Scan 02_21'!$B:$J,9,0)</f>
        <v>#N/A</v>
      </c>
      <c r="AR690" s="75" t="s">
        <v>487</v>
      </c>
      <c r="AS690" s="21" t="str">
        <f>VLOOKUP(AE690,'ref statu'!A:B,2,0)</f>
        <v>DTP intervention de l'éditeur nécessaire</v>
      </c>
      <c r="AT690" s="8" t="e">
        <f>VLOOKUP(A690,chk!A:B,2,0)</f>
        <v>#N/A</v>
      </c>
      <c r="AU690" s="29" t="e">
        <f>VLOOKUP(A690,checker!A:B,2,0)</f>
        <v>#N/A</v>
      </c>
      <c r="AV690" s="29" t="e">
        <f>VLOOKUP(A690,checker!B:C,2,0)</f>
        <v>#N/A</v>
      </c>
    </row>
    <row r="691" spans="1:48" x14ac:dyDescent="0.3">
      <c r="A691" s="29" t="str">
        <f t="shared" si="11"/>
        <v>96.692.66.699/80/apache-httpd-cve-2011-0419</v>
      </c>
      <c r="B691" s="41" t="s">
        <v>3018</v>
      </c>
      <c r="C691" s="41" t="s">
        <v>2817</v>
      </c>
      <c r="E691" s="39" t="s">
        <v>95</v>
      </c>
      <c r="H691" s="43" t="s">
        <v>256</v>
      </c>
      <c r="I691" s="39" t="s">
        <v>2574</v>
      </c>
      <c r="J691" s="39">
        <v>80</v>
      </c>
      <c r="K691" s="41" t="s">
        <v>275</v>
      </c>
      <c r="L691" s="41" t="s">
        <v>2578</v>
      </c>
      <c r="M691" s="9">
        <v>4</v>
      </c>
      <c r="N691" s="9" t="s">
        <v>29</v>
      </c>
      <c r="O691" s="41" t="s">
        <v>2617</v>
      </c>
      <c r="P691" s="43" t="s">
        <v>2773</v>
      </c>
      <c r="Q691" s="43" t="s">
        <v>2774</v>
      </c>
      <c r="R691" s="43" t="s">
        <v>2775</v>
      </c>
      <c r="S691" s="43" t="s">
        <v>2629</v>
      </c>
      <c r="T691" s="43" t="s">
        <v>2627</v>
      </c>
      <c r="U691" s="43" t="s">
        <v>2776</v>
      </c>
      <c r="V691" s="43" t="s">
        <v>2815</v>
      </c>
      <c r="AB691" s="39">
        <v>10</v>
      </c>
      <c r="AE691" s="103" t="s">
        <v>2925</v>
      </c>
      <c r="AI691" s="72" t="s">
        <v>2818</v>
      </c>
      <c r="AJ691" s="42" t="s">
        <v>27</v>
      </c>
      <c r="AK691" s="8" t="e">
        <f>VLOOKUP(A691,'[1]Externe MAJ Nov'!$A:$H,8,0)</f>
        <v>#N/A</v>
      </c>
      <c r="AL691" s="29" t="e">
        <f>VLOOKUP(A691,'[1]Externe MAJ Nov'!$A:$G,7,0)</f>
        <v>#N/A</v>
      </c>
      <c r="AM691" s="29"/>
      <c r="AN691" s="39" t="s">
        <v>27</v>
      </c>
      <c r="AO691" s="58" t="s">
        <v>2920</v>
      </c>
      <c r="AP691" s="29" t="e">
        <f>VLOOKUP(A691,'[2]External Scan 02_21'!$B:$J,9,0)</f>
        <v>#N/A</v>
      </c>
      <c r="AR691" s="75" t="s">
        <v>487</v>
      </c>
      <c r="AS691" s="21" t="str">
        <f>VLOOKUP(AE691,'ref statu'!A:B,2,0)</f>
        <v>DTP intervention de l'éditeur nécessaire</v>
      </c>
      <c r="AT691" s="8" t="e">
        <f>VLOOKUP(A691,chk!A:B,2,0)</f>
        <v>#N/A</v>
      </c>
      <c r="AU691" s="29" t="e">
        <f>VLOOKUP(A691,checker!A:B,2,0)</f>
        <v>#N/A</v>
      </c>
      <c r="AV691" s="29" t="e">
        <f>VLOOKUP(A691,checker!B:C,2,0)</f>
        <v>#N/A</v>
      </c>
    </row>
    <row r="692" spans="1:48" x14ac:dyDescent="0.3">
      <c r="A692" s="29" t="str">
        <f t="shared" si="11"/>
        <v>96.692.66.699/443/apache-httpd-cve-2011-0419</v>
      </c>
      <c r="B692" s="41" t="s">
        <v>3018</v>
      </c>
      <c r="C692" s="41" t="s">
        <v>2817</v>
      </c>
      <c r="E692" s="39" t="s">
        <v>95</v>
      </c>
      <c r="H692" s="43" t="s">
        <v>256</v>
      </c>
      <c r="I692" s="39" t="s">
        <v>2574</v>
      </c>
      <c r="J692" s="39">
        <v>443</v>
      </c>
      <c r="K692" s="41" t="s">
        <v>290</v>
      </c>
      <c r="L692" s="41" t="s">
        <v>2578</v>
      </c>
      <c r="M692" s="9">
        <v>4</v>
      </c>
      <c r="N692" s="9" t="s">
        <v>29</v>
      </c>
      <c r="O692" s="41" t="s">
        <v>2617</v>
      </c>
      <c r="P692" s="43" t="s">
        <v>2773</v>
      </c>
      <c r="Q692" s="43" t="s">
        <v>2774</v>
      </c>
      <c r="R692" s="43" t="s">
        <v>2775</v>
      </c>
      <c r="S692" s="43" t="s">
        <v>2626</v>
      </c>
      <c r="T692" s="43" t="s">
        <v>2627</v>
      </c>
      <c r="U692" s="43" t="s">
        <v>2776</v>
      </c>
      <c r="V692" s="43" t="s">
        <v>2815</v>
      </c>
      <c r="AB692" s="39">
        <v>10</v>
      </c>
      <c r="AE692" s="103" t="s">
        <v>2925</v>
      </c>
      <c r="AI692" s="72" t="s">
        <v>2818</v>
      </c>
      <c r="AJ692" s="42" t="s">
        <v>27</v>
      </c>
      <c r="AK692" s="8" t="e">
        <f>VLOOKUP(A692,'[1]Externe MAJ Nov'!$A:$H,8,0)</f>
        <v>#N/A</v>
      </c>
      <c r="AL692" s="29" t="e">
        <f>VLOOKUP(A692,'[1]Externe MAJ Nov'!$A:$G,7,0)</f>
        <v>#N/A</v>
      </c>
      <c r="AM692" s="29"/>
      <c r="AN692" s="39" t="s">
        <v>27</v>
      </c>
      <c r="AO692" s="58" t="s">
        <v>2921</v>
      </c>
      <c r="AP692" s="29" t="e">
        <f>VLOOKUP(A692,'[2]External Scan 02_21'!$B:$J,9,0)</f>
        <v>#N/A</v>
      </c>
      <c r="AR692" s="75" t="s">
        <v>487</v>
      </c>
      <c r="AS692" s="21" t="str">
        <f>VLOOKUP(AE692,'ref statu'!A:B,2,0)</f>
        <v>DTP intervention de l'éditeur nécessaire</v>
      </c>
      <c r="AT692" s="8" t="e">
        <f>VLOOKUP(A692,chk!A:B,2,0)</f>
        <v>#N/A</v>
      </c>
      <c r="AU692" s="29" t="e">
        <f>VLOOKUP(A692,checker!A:B,2,0)</f>
        <v>#N/A</v>
      </c>
      <c r="AV692" s="29" t="e">
        <f>VLOOKUP(A692,checker!B:C,2,0)</f>
        <v>#N/A</v>
      </c>
    </row>
    <row r="693" spans="1:48" x14ac:dyDescent="0.3">
      <c r="A693" s="29" t="str">
        <f t="shared" si="11"/>
        <v>96.692.66.699/80/apache-httpd-cve-2017-7679</v>
      </c>
      <c r="B693" s="41" t="s">
        <v>3018</v>
      </c>
      <c r="C693" s="41" t="s">
        <v>2817</v>
      </c>
      <c r="E693" s="39" t="s">
        <v>95</v>
      </c>
      <c r="H693" s="43" t="s">
        <v>256</v>
      </c>
      <c r="I693" s="39" t="s">
        <v>2574</v>
      </c>
      <c r="J693" s="39">
        <v>80</v>
      </c>
      <c r="K693" s="41" t="s">
        <v>275</v>
      </c>
      <c r="L693" s="41" t="s">
        <v>2578</v>
      </c>
      <c r="M693" s="9">
        <v>8</v>
      </c>
      <c r="N693" s="10" t="s">
        <v>2540</v>
      </c>
      <c r="O693" s="41" t="s">
        <v>2618</v>
      </c>
      <c r="P693" s="43" t="s">
        <v>2777</v>
      </c>
      <c r="Q693" s="43" t="s">
        <v>2778</v>
      </c>
      <c r="R693" s="43" t="s">
        <v>2645</v>
      </c>
      <c r="S693" s="43" t="s">
        <v>2629</v>
      </c>
      <c r="T693" s="43" t="s">
        <v>2633</v>
      </c>
      <c r="U693" s="43" t="s">
        <v>2779</v>
      </c>
      <c r="V693" s="43" t="s">
        <v>2816</v>
      </c>
      <c r="AB693" s="39">
        <v>10</v>
      </c>
      <c r="AE693" s="103" t="s">
        <v>2925</v>
      </c>
      <c r="AI693" s="72" t="s">
        <v>2818</v>
      </c>
      <c r="AJ693" s="42" t="s">
        <v>27</v>
      </c>
      <c r="AK693" s="8" t="e">
        <f>VLOOKUP(A693,'[1]Externe MAJ Nov'!$A:$H,8,0)</f>
        <v>#N/A</v>
      </c>
      <c r="AL693" s="29" t="e">
        <f>VLOOKUP(A693,'[1]Externe MAJ Nov'!$A:$G,7,0)</f>
        <v>#N/A</v>
      </c>
      <c r="AM693" s="29"/>
      <c r="AN693" s="39" t="s">
        <v>27</v>
      </c>
      <c r="AO693" s="58" t="s">
        <v>2922</v>
      </c>
      <c r="AP693" s="29" t="e">
        <f>VLOOKUP(A693,'[2]External Scan 02_21'!$B:$J,9,0)</f>
        <v>#N/A</v>
      </c>
      <c r="AR693" s="75" t="s">
        <v>487</v>
      </c>
      <c r="AS693" s="21" t="str">
        <f>VLOOKUP(AE693,'ref statu'!A:B,2,0)</f>
        <v>DTP intervention de l'éditeur nécessaire</v>
      </c>
      <c r="AT693" s="8" t="e">
        <f>VLOOKUP(A693,chk!A:B,2,0)</f>
        <v>#N/A</v>
      </c>
      <c r="AU693" s="29" t="e">
        <f>VLOOKUP(A693,checker!A:B,2,0)</f>
        <v>#N/A</v>
      </c>
      <c r="AV693" s="29" t="e">
        <f>VLOOKUP(A693,checker!B:C,2,0)</f>
        <v>#N/A</v>
      </c>
    </row>
    <row r="694" spans="1:48" x14ac:dyDescent="0.3">
      <c r="A694" s="29" t="str">
        <f t="shared" ref="A694" si="12">B694&amp;"/"&amp;J694&amp;"/"&amp;O694</f>
        <v>96.692.66.699/443/apache-httpd-cve-2017-7679</v>
      </c>
      <c r="B694" s="41" t="s">
        <v>3018</v>
      </c>
      <c r="C694" s="41" t="s">
        <v>2817</v>
      </c>
      <c r="E694" s="39" t="s">
        <v>95</v>
      </c>
      <c r="H694" s="43" t="s">
        <v>256</v>
      </c>
      <c r="I694" s="39" t="s">
        <v>2574</v>
      </c>
      <c r="J694" s="39">
        <v>443</v>
      </c>
      <c r="K694" s="41" t="s">
        <v>290</v>
      </c>
      <c r="L694" s="41" t="s">
        <v>2578</v>
      </c>
      <c r="M694" s="9">
        <v>8</v>
      </c>
      <c r="N694" s="10" t="s">
        <v>2540</v>
      </c>
      <c r="O694" s="41" t="s">
        <v>2618</v>
      </c>
      <c r="P694" s="43" t="s">
        <v>2777</v>
      </c>
      <c r="Q694" s="43" t="s">
        <v>2778</v>
      </c>
      <c r="R694" s="43" t="s">
        <v>2645</v>
      </c>
      <c r="S694" s="43" t="s">
        <v>2626</v>
      </c>
      <c r="T694" s="43" t="s">
        <v>2633</v>
      </c>
      <c r="U694" s="43" t="s">
        <v>2779</v>
      </c>
      <c r="V694" s="43" t="s">
        <v>2816</v>
      </c>
      <c r="AB694" s="39">
        <v>10</v>
      </c>
      <c r="AE694" s="103" t="s">
        <v>2925</v>
      </c>
      <c r="AI694" s="72" t="s">
        <v>2818</v>
      </c>
      <c r="AJ694" s="42" t="s">
        <v>27</v>
      </c>
      <c r="AK694" s="8" t="e">
        <f>VLOOKUP(A694,'[1]Externe MAJ Nov'!$A:$H,8,0)</f>
        <v>#N/A</v>
      </c>
      <c r="AL694" s="29" t="e">
        <f>VLOOKUP(A694,'[1]Externe MAJ Nov'!$A:$G,7,0)</f>
        <v>#N/A</v>
      </c>
      <c r="AM694" s="29"/>
      <c r="AN694" s="39" t="s">
        <v>27</v>
      </c>
      <c r="AO694" s="58" t="s">
        <v>2923</v>
      </c>
      <c r="AP694" s="29" t="e">
        <f>VLOOKUP(A694,'[2]External Scan 02_21'!$B:$J,9,0)</f>
        <v>#N/A</v>
      </c>
      <c r="AR694" s="75" t="s">
        <v>487</v>
      </c>
      <c r="AS694" s="21" t="str">
        <f>VLOOKUP(AE694,'ref statu'!A:B,2,0)</f>
        <v>DTP intervention de l'éditeur nécessaire</v>
      </c>
      <c r="AT694" s="8" t="e">
        <f>VLOOKUP(A694,chk!A:B,2,0)</f>
        <v>#N/A</v>
      </c>
      <c r="AU694" s="29" t="e">
        <f>VLOOKUP(A694,checker!A:B,2,0)</f>
        <v>#N/A</v>
      </c>
      <c r="AV694" s="29" t="e">
        <f>VLOOKUP(A694,checker!B:C,2,0)</f>
        <v>#N/A</v>
      </c>
    </row>
    <row r="695" spans="1:48" s="132" customFormat="1" x14ac:dyDescent="0.3">
      <c r="A695" s="123" t="s">
        <v>2936</v>
      </c>
      <c r="B695" s="123" t="s">
        <v>3000</v>
      </c>
      <c r="C695" s="123" t="s">
        <v>320</v>
      </c>
      <c r="D695" s="124" t="s">
        <v>2988</v>
      </c>
      <c r="E695" s="124" t="s">
        <v>95</v>
      </c>
      <c r="F695" s="125"/>
      <c r="G695" s="123"/>
      <c r="H695" s="29" t="s">
        <v>322</v>
      </c>
      <c r="I695" s="124" t="s">
        <v>2493</v>
      </c>
      <c r="J695" s="124" t="s">
        <v>2494</v>
      </c>
      <c r="K695" s="123" t="s">
        <v>290</v>
      </c>
      <c r="L695" s="123"/>
      <c r="M695" s="126" t="s">
        <v>2488</v>
      </c>
      <c r="N695" s="127" t="s">
        <v>29</v>
      </c>
      <c r="O695" s="123" t="s">
        <v>2944</v>
      </c>
      <c r="P695" s="125" t="s">
        <v>2945</v>
      </c>
      <c r="Q695" s="125" t="s">
        <v>2946</v>
      </c>
      <c r="R695" s="125" t="s">
        <v>2947</v>
      </c>
      <c r="S695" s="125" t="s">
        <v>2948</v>
      </c>
      <c r="T695" s="125" t="s">
        <v>2951</v>
      </c>
      <c r="U695" s="125" t="s">
        <v>2952</v>
      </c>
      <c r="V695" s="125" t="s">
        <v>2953</v>
      </c>
      <c r="W695" s="125" t="s">
        <v>2954</v>
      </c>
      <c r="X695" s="124"/>
      <c r="Y695" s="124"/>
      <c r="Z695" s="124"/>
      <c r="AA695" s="124"/>
      <c r="AB695" s="124"/>
      <c r="AC695" s="123"/>
      <c r="AD695" s="125"/>
      <c r="AE695" s="128" t="s">
        <v>526</v>
      </c>
      <c r="AF695" s="129"/>
      <c r="AG695" s="129"/>
      <c r="AH695" s="123"/>
      <c r="AI695" s="72" t="s">
        <v>2818</v>
      </c>
      <c r="AJ695" s="42" t="s">
        <v>27</v>
      </c>
      <c r="AK695" s="8" t="e">
        <f>VLOOKUP(A695,'[1]Externe MAJ Nov'!$A:$H,8,0)</f>
        <v>#N/A</v>
      </c>
      <c r="AL695" s="29" t="e">
        <f>VLOOKUP(A695,'[1]Externe MAJ Nov'!$A:$G,7,0)</f>
        <v>#N/A</v>
      </c>
      <c r="AM695" s="124"/>
      <c r="AN695" s="39" t="s">
        <v>27</v>
      </c>
      <c r="AO695" s="130"/>
      <c r="AP695" s="131"/>
      <c r="AQ695" s="131"/>
      <c r="AR695" s="108"/>
      <c r="AS695" s="21" t="str">
        <f>VLOOKUP(AE695,'ref statu'!A:B,2,0)</f>
        <v>(HFM)</v>
      </c>
      <c r="AT695" s="8" t="e">
        <f>VLOOKUP(A695,chk!A:B,2,0)</f>
        <v>#N/A</v>
      </c>
      <c r="AU695" s="29" t="e">
        <f>VLOOKUP(A695,checker!A:B,2,0)</f>
        <v>#N/A</v>
      </c>
      <c r="AV695" s="29" t="e">
        <f>VLOOKUP(A695,checker!B:C,2,0)</f>
        <v>#N/A</v>
      </c>
    </row>
    <row r="696" spans="1:48" s="132" customFormat="1" x14ac:dyDescent="0.3">
      <c r="A696" s="123" t="s">
        <v>2937</v>
      </c>
      <c r="B696" s="123" t="s">
        <v>3007</v>
      </c>
      <c r="C696" s="123" t="s">
        <v>2957</v>
      </c>
      <c r="D696" s="124"/>
      <c r="E696" s="124" t="s">
        <v>95</v>
      </c>
      <c r="F696" s="125"/>
      <c r="G696" s="123"/>
      <c r="H696" s="125" t="s">
        <v>256</v>
      </c>
      <c r="I696" s="124" t="s">
        <v>2493</v>
      </c>
      <c r="J696" s="124" t="s">
        <v>2495</v>
      </c>
      <c r="K696" s="123" t="s">
        <v>258</v>
      </c>
      <c r="L696" s="123"/>
      <c r="M696" s="126" t="s">
        <v>2541</v>
      </c>
      <c r="N696" s="127" t="s">
        <v>42</v>
      </c>
      <c r="O696" s="123" t="s">
        <v>78</v>
      </c>
      <c r="P696" s="125" t="s">
        <v>79</v>
      </c>
      <c r="Q696" s="125" t="s">
        <v>80</v>
      </c>
      <c r="R696" s="125" t="s">
        <v>81</v>
      </c>
      <c r="S696" s="125" t="s">
        <v>82</v>
      </c>
      <c r="T696" s="125" t="s">
        <v>83</v>
      </c>
      <c r="U696" s="125" t="s">
        <v>31</v>
      </c>
      <c r="V696" s="125" t="s">
        <v>31</v>
      </c>
      <c r="W696" s="125" t="s">
        <v>2511</v>
      </c>
      <c r="X696" s="124"/>
      <c r="Y696" s="124"/>
      <c r="Z696" s="124"/>
      <c r="AA696" s="124"/>
      <c r="AB696" s="124"/>
      <c r="AC696" s="123"/>
      <c r="AD696" s="125"/>
      <c r="AE696" s="128" t="s">
        <v>2538</v>
      </c>
      <c r="AF696" s="129"/>
      <c r="AG696" s="129"/>
      <c r="AH696" s="123"/>
      <c r="AI696" s="72" t="s">
        <v>2818</v>
      </c>
      <c r="AJ696" s="42" t="s">
        <v>27</v>
      </c>
      <c r="AK696" s="8" t="e">
        <f>VLOOKUP(A696,'[1]Externe MAJ Nov'!$A:$H,8,0)</f>
        <v>#N/A</v>
      </c>
      <c r="AL696" s="29" t="e">
        <f>VLOOKUP(A696,'[1]Externe MAJ Nov'!$A:$G,7,0)</f>
        <v>#N/A</v>
      </c>
      <c r="AM696" s="124"/>
      <c r="AN696" s="39" t="s">
        <v>27</v>
      </c>
      <c r="AO696" s="130"/>
      <c r="AP696" s="131"/>
      <c r="AQ696" s="131"/>
      <c r="AR696" s="108"/>
      <c r="AS696" s="21" t="str">
        <f>VLOOKUP(AE696,'ref statu'!A:B,2,0)</f>
        <v>Not Fixed en cours d'investigation / Planification</v>
      </c>
      <c r="AT696" s="8" t="e">
        <f>VLOOKUP(A696,chk!A:B,2,0)</f>
        <v>#N/A</v>
      </c>
      <c r="AU696" s="29" t="e">
        <f>VLOOKUP(A696,checker!A:B,2,0)</f>
        <v>#N/A</v>
      </c>
      <c r="AV696" s="29" t="e">
        <f>VLOOKUP(A696,checker!B:C,2,0)</f>
        <v>#N/A</v>
      </c>
    </row>
    <row r="697" spans="1:48" s="132" customFormat="1" x14ac:dyDescent="0.3">
      <c r="A697" s="123" t="s">
        <v>2938</v>
      </c>
      <c r="B697" s="123" t="s">
        <v>3007</v>
      </c>
      <c r="C697" s="123" t="s">
        <v>2957</v>
      </c>
      <c r="D697" s="124"/>
      <c r="E697" s="124" t="s">
        <v>95</v>
      </c>
      <c r="F697" s="125"/>
      <c r="G697" s="123"/>
      <c r="H697" s="125" t="s">
        <v>256</v>
      </c>
      <c r="I697" s="124" t="s">
        <v>2493</v>
      </c>
      <c r="J697" s="124" t="s">
        <v>2494</v>
      </c>
      <c r="K697" s="123" t="s">
        <v>290</v>
      </c>
      <c r="L697" s="123"/>
      <c r="M697" s="126" t="s">
        <v>2943</v>
      </c>
      <c r="N697" s="10" t="s">
        <v>2540</v>
      </c>
      <c r="O697" s="123" t="s">
        <v>148</v>
      </c>
      <c r="P697" s="125" t="s">
        <v>149</v>
      </c>
      <c r="Q697" s="125" t="s">
        <v>150</v>
      </c>
      <c r="R697" s="125" t="s">
        <v>151</v>
      </c>
      <c r="S697" s="125" t="s">
        <v>2949</v>
      </c>
      <c r="T697" s="125" t="s">
        <v>31</v>
      </c>
      <c r="U697" s="125" t="s">
        <v>31</v>
      </c>
      <c r="V697" s="125" t="s">
        <v>31</v>
      </c>
      <c r="W697" s="125" t="s">
        <v>2510</v>
      </c>
      <c r="X697" s="124"/>
      <c r="Y697" s="124"/>
      <c r="Z697" s="124"/>
      <c r="AA697" s="124"/>
      <c r="AB697" s="124"/>
      <c r="AC697" s="123"/>
      <c r="AD697" s="125"/>
      <c r="AE697" s="128" t="s">
        <v>28</v>
      </c>
      <c r="AF697" s="129"/>
      <c r="AG697" s="129"/>
      <c r="AH697" s="123"/>
      <c r="AI697" s="72" t="s">
        <v>2818</v>
      </c>
      <c r="AJ697" s="42" t="s">
        <v>27</v>
      </c>
      <c r="AK697" s="8" t="e">
        <f>VLOOKUP(A697,'[1]Externe MAJ Nov'!$A:$H,8,0)</f>
        <v>#N/A</v>
      </c>
      <c r="AL697" s="29" t="e">
        <f>VLOOKUP(A697,'[1]Externe MAJ Nov'!$A:$G,7,0)</f>
        <v>#N/A</v>
      </c>
      <c r="AM697" s="124"/>
      <c r="AN697" s="39" t="s">
        <v>27</v>
      </c>
      <c r="AO697" s="130"/>
      <c r="AP697" s="131"/>
      <c r="AQ697" s="131"/>
      <c r="AR697" s="108"/>
      <c r="AS697" s="21" t="str">
        <f>VLOOKUP(AE697,'ref statu'!A:B,2,0)</f>
        <v>Fixed</v>
      </c>
      <c r="AT697" s="8" t="e">
        <f>VLOOKUP(A697,chk!A:B,2,0)</f>
        <v>#N/A</v>
      </c>
      <c r="AU697" s="29" t="e">
        <f>VLOOKUP(A697,checker!A:B,2,0)</f>
        <v>#N/A</v>
      </c>
      <c r="AV697" s="29" t="e">
        <f>VLOOKUP(A697,checker!B:C,2,0)</f>
        <v>#N/A</v>
      </c>
    </row>
    <row r="698" spans="1:48" s="132" customFormat="1" x14ac:dyDescent="0.3">
      <c r="A698" s="123" t="s">
        <v>2939</v>
      </c>
      <c r="B698" s="123" t="s">
        <v>3007</v>
      </c>
      <c r="C698" s="123" t="s">
        <v>2957</v>
      </c>
      <c r="D698" s="124"/>
      <c r="E698" s="124" t="s">
        <v>95</v>
      </c>
      <c r="F698" s="125"/>
      <c r="G698" s="123"/>
      <c r="H698" s="125" t="s">
        <v>256</v>
      </c>
      <c r="I698" s="124" t="s">
        <v>2493</v>
      </c>
      <c r="J698" s="124" t="s">
        <v>2494</v>
      </c>
      <c r="K698" s="123" t="s">
        <v>290</v>
      </c>
      <c r="L698" s="123"/>
      <c r="M698" s="126" t="s">
        <v>2488</v>
      </c>
      <c r="N698" s="127" t="s">
        <v>29</v>
      </c>
      <c r="O698" s="123" t="s">
        <v>226</v>
      </c>
      <c r="P698" s="125" t="s">
        <v>227</v>
      </c>
      <c r="Q698" s="125" t="s">
        <v>228</v>
      </c>
      <c r="R698" s="125" t="s">
        <v>229</v>
      </c>
      <c r="S698" s="125" t="s">
        <v>2950</v>
      </c>
      <c r="T698" s="125" t="s">
        <v>230</v>
      </c>
      <c r="U698" s="125" t="s">
        <v>31</v>
      </c>
      <c r="V698" s="125" t="s">
        <v>31</v>
      </c>
      <c r="W698" s="125" t="s">
        <v>2514</v>
      </c>
      <c r="X698" s="124"/>
      <c r="Y698" s="124"/>
      <c r="Z698" s="124"/>
      <c r="AA698" s="124"/>
      <c r="AB698" s="124"/>
      <c r="AC698" s="123"/>
      <c r="AD698" s="125"/>
      <c r="AE698" s="128" t="s">
        <v>2538</v>
      </c>
      <c r="AF698" s="129"/>
      <c r="AG698" s="129"/>
      <c r="AH698" s="123"/>
      <c r="AI698" s="72" t="s">
        <v>2818</v>
      </c>
      <c r="AJ698" s="42" t="s">
        <v>27</v>
      </c>
      <c r="AK698" s="8" t="e">
        <f>VLOOKUP(A698,'[1]Externe MAJ Nov'!$A:$H,8,0)</f>
        <v>#N/A</v>
      </c>
      <c r="AL698" s="29" t="e">
        <f>VLOOKUP(A698,'[1]Externe MAJ Nov'!$A:$G,7,0)</f>
        <v>#N/A</v>
      </c>
      <c r="AM698" s="124"/>
      <c r="AN698" s="39" t="s">
        <v>27</v>
      </c>
      <c r="AO698" s="130"/>
      <c r="AP698" s="131"/>
      <c r="AQ698" s="131"/>
      <c r="AR698" s="108"/>
      <c r="AS698" s="21" t="str">
        <f>VLOOKUP(AE698,'ref statu'!A:B,2,0)</f>
        <v>Not Fixed en cours d'investigation / Planification</v>
      </c>
      <c r="AT698" s="8" t="e">
        <f>VLOOKUP(A698,chk!A:B,2,0)</f>
        <v>#N/A</v>
      </c>
      <c r="AU698" s="29" t="e">
        <f>VLOOKUP(A698,checker!A:B,2,0)</f>
        <v>#N/A</v>
      </c>
      <c r="AV698" s="29" t="e">
        <f>VLOOKUP(A698,checker!B:C,2,0)</f>
        <v>#N/A</v>
      </c>
    </row>
    <row r="699" spans="1:48" s="132" customFormat="1" x14ac:dyDescent="0.3">
      <c r="A699" s="123" t="s">
        <v>2940</v>
      </c>
      <c r="B699" s="123" t="s">
        <v>3007</v>
      </c>
      <c r="C699" s="123" t="s">
        <v>2957</v>
      </c>
      <c r="D699" s="124"/>
      <c r="E699" s="124" t="s">
        <v>95</v>
      </c>
      <c r="F699" s="125"/>
      <c r="G699" s="123"/>
      <c r="H699" s="125" t="s">
        <v>256</v>
      </c>
      <c r="I699" s="124" t="s">
        <v>2493</v>
      </c>
      <c r="J699" s="124" t="s">
        <v>2494</v>
      </c>
      <c r="K699" s="123" t="s">
        <v>290</v>
      </c>
      <c r="L699" s="123"/>
      <c r="M699" s="126" t="s">
        <v>2542</v>
      </c>
      <c r="N699" s="127" t="s">
        <v>29</v>
      </c>
      <c r="O699" s="123" t="s">
        <v>198</v>
      </c>
      <c r="P699" s="125" t="s">
        <v>199</v>
      </c>
      <c r="Q699" s="125" t="s">
        <v>200</v>
      </c>
      <c r="R699" s="125" t="s">
        <v>201</v>
      </c>
      <c r="S699" s="125" t="s">
        <v>2480</v>
      </c>
      <c r="T699" s="125" t="s">
        <v>31</v>
      </c>
      <c r="U699" s="125" t="s">
        <v>202</v>
      </c>
      <c r="V699" s="125" t="s">
        <v>475</v>
      </c>
      <c r="W699" s="125" t="s">
        <v>2513</v>
      </c>
      <c r="X699" s="124"/>
      <c r="Y699" s="124"/>
      <c r="Z699" s="124"/>
      <c r="AA699" s="124"/>
      <c r="AB699" s="124"/>
      <c r="AC699" s="123"/>
      <c r="AD699" s="125"/>
      <c r="AE699" s="128" t="s">
        <v>2538</v>
      </c>
      <c r="AF699" s="129"/>
      <c r="AG699" s="129"/>
      <c r="AH699" s="123"/>
      <c r="AI699" s="72" t="s">
        <v>2818</v>
      </c>
      <c r="AJ699" s="42" t="s">
        <v>27</v>
      </c>
      <c r="AK699" s="8" t="e">
        <f>VLOOKUP(A699,'[1]Externe MAJ Nov'!$A:$H,8,0)</f>
        <v>#N/A</v>
      </c>
      <c r="AL699" s="29" t="e">
        <f>VLOOKUP(A699,'[1]Externe MAJ Nov'!$A:$G,7,0)</f>
        <v>#N/A</v>
      </c>
      <c r="AM699" s="124"/>
      <c r="AN699" s="39" t="s">
        <v>27</v>
      </c>
      <c r="AO699" s="130"/>
      <c r="AP699" s="131"/>
      <c r="AQ699" s="131"/>
      <c r="AR699" s="108"/>
      <c r="AS699" s="21" t="str">
        <f>VLOOKUP(AE699,'ref statu'!A:B,2,0)</f>
        <v>Not Fixed en cours d'investigation / Planification</v>
      </c>
      <c r="AT699" s="8" t="e">
        <f>VLOOKUP(A699,chk!A:B,2,0)</f>
        <v>#N/A</v>
      </c>
      <c r="AU699" s="29" t="e">
        <f>VLOOKUP(A699,checker!A:B,2,0)</f>
        <v>#N/A</v>
      </c>
      <c r="AV699" s="29" t="e">
        <f>VLOOKUP(A699,checker!B:C,2,0)</f>
        <v>#N/A</v>
      </c>
    </row>
    <row r="700" spans="1:48" s="132" customFormat="1" x14ac:dyDescent="0.3">
      <c r="A700" s="123" t="s">
        <v>2941</v>
      </c>
      <c r="B700" s="123" t="s">
        <v>3008</v>
      </c>
      <c r="C700" s="61" t="s">
        <v>2464</v>
      </c>
      <c r="D700" s="124" t="s">
        <v>2968</v>
      </c>
      <c r="E700" s="124" t="s">
        <v>95</v>
      </c>
      <c r="F700" s="125"/>
      <c r="G700" s="123"/>
      <c r="H700" s="125" t="s">
        <v>2467</v>
      </c>
      <c r="I700" s="124" t="s">
        <v>2942</v>
      </c>
      <c r="J700" s="124" t="s">
        <v>2495</v>
      </c>
      <c r="K700" s="123" t="s">
        <v>258</v>
      </c>
      <c r="L700" s="123"/>
      <c r="M700" s="126" t="s">
        <v>2541</v>
      </c>
      <c r="N700" s="127" t="s">
        <v>42</v>
      </c>
      <c r="O700" s="123" t="s">
        <v>78</v>
      </c>
      <c r="P700" s="125" t="s">
        <v>79</v>
      </c>
      <c r="Q700" s="125" t="s">
        <v>80</v>
      </c>
      <c r="R700" s="125" t="s">
        <v>81</v>
      </c>
      <c r="S700" s="125" t="s">
        <v>82</v>
      </c>
      <c r="T700" s="125" t="s">
        <v>83</v>
      </c>
      <c r="U700" s="125" t="s">
        <v>31</v>
      </c>
      <c r="V700" s="125" t="s">
        <v>31</v>
      </c>
      <c r="W700" s="125" t="s">
        <v>2511</v>
      </c>
      <c r="X700" s="124"/>
      <c r="Y700" s="124"/>
      <c r="Z700" s="124"/>
      <c r="AA700" s="124"/>
      <c r="AB700" s="124"/>
      <c r="AC700" s="123"/>
      <c r="AD700" s="125"/>
      <c r="AE700" s="128" t="s">
        <v>2481</v>
      </c>
      <c r="AF700" s="129"/>
      <c r="AG700" s="129"/>
      <c r="AH700" s="123"/>
      <c r="AI700" s="72" t="s">
        <v>2818</v>
      </c>
      <c r="AJ700" s="42" t="s">
        <v>27</v>
      </c>
      <c r="AK700" s="8" t="str">
        <f>VLOOKUP(A700,'[1]Externe MAJ Nov'!$A:$H,8,0)</f>
        <v>Fixed</v>
      </c>
      <c r="AL700" s="29" t="str">
        <f>VLOOKUP(A700,'[1]Externe MAJ Nov'!$A:$G,7,0)</f>
        <v>Network</v>
      </c>
      <c r="AM700" s="124"/>
      <c r="AN700" s="39" t="s">
        <v>27</v>
      </c>
      <c r="AO700" s="130"/>
      <c r="AP700" s="131"/>
      <c r="AQ700" s="131"/>
      <c r="AR700" s="108"/>
      <c r="AS700" s="21" t="str">
        <f>VLOOKUP(AE700,'ref statu'!A:B,2,0)</f>
        <v>SI arrêté planification de l intervetion de l'éditeur encours (ExpressWay)</v>
      </c>
      <c r="AT700" s="8" t="e">
        <f>VLOOKUP(A700,chk!A:B,2,0)</f>
        <v>#N/A</v>
      </c>
      <c r="AU700" s="29" t="e">
        <f>VLOOKUP(A700,checker!A:B,2,0)</f>
        <v>#N/A</v>
      </c>
      <c r="AV700" s="29" t="e">
        <f>VLOOKUP(A700,checker!B:C,2,0)</f>
        <v>#N/A</v>
      </c>
    </row>
  </sheetData>
  <phoneticPr fontId="21" type="noConversion"/>
  <conditionalFormatting sqref="A1">
    <cfRule type="duplicateValues" dxfId="84" priority="4"/>
  </conditionalFormatting>
  <conditionalFormatting sqref="A1:A1048576">
    <cfRule type="duplicateValues" dxfId="83" priority="1"/>
    <cfRule type="duplicateValues" dxfId="82" priority="2"/>
    <cfRule type="duplicateValues" dxfId="81" priority="3"/>
  </conditionalFormatting>
  <hyperlinks>
    <hyperlink ref="T541" r:id="rId1" location="Rule_-_Only_Support_Strong_Cryptographic_Ciphers,http://support.microsoft.com/kb/245030/" display="http://www.nist.gov/manuscript-publication-search.cfm?pub_id=915295,http://www.ecrypt.eu.org/ecrypt2/documents/D.SPA.20.pdf,http://nvlpubs.nist.gov/nistpubs/SpecialPublications/NIST.SP.800-52r1.pdf,https://wiki.mozilla.org/Security/Server_Side_TLS,https://www.owasp.org/index.php/Transport_Layer_Protection_Cheat_Sheet#Rule_-_Only_Support_Strong_Cryptographic_Ciphers,http://support.microsoft.com/kb/245030/" xr:uid="{7BDECFEA-2FED-4940-8E87-71464385CAA6}"/>
  </hyperlinks>
  <pageMargins left="0.7" right="0.7" top="0.75" bottom="0.75" header="0.3" footer="0.3"/>
  <pageSetup paperSize="9" orientation="portrait" r:id="rId2"/>
  <ignoredErrors>
    <ignoredError sqref="M586:M588 J586:J588 I586:I588 M17:M18 J695:J700 I695:I70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9E8EB-A9E8-4736-B978-44F735BD89FA}">
  <dimension ref="A1:W289"/>
  <sheetViews>
    <sheetView workbookViewId="0">
      <selection activeCell="C17" sqref="C17"/>
    </sheetView>
  </sheetViews>
  <sheetFormatPr defaultRowHeight="14.4" x14ac:dyDescent="0.25"/>
  <cols>
    <col min="1" max="1" width="39.21875" style="120" bestFit="1" customWidth="1"/>
    <col min="2" max="2" width="34.33203125" customWidth="1"/>
  </cols>
  <sheetData>
    <row r="1" spans="1:23" s="120" customFormat="1" ht="15.05" x14ac:dyDescent="0.3">
      <c r="B1" s="121" t="s">
        <v>0</v>
      </c>
      <c r="C1" s="121" t="s">
        <v>2956</v>
      </c>
      <c r="D1" s="121" t="s">
        <v>5</v>
      </c>
      <c r="E1" s="121" t="s">
        <v>6</v>
      </c>
      <c r="F1" s="121" t="s">
        <v>7</v>
      </c>
      <c r="G1" s="121" t="s">
        <v>8</v>
      </c>
      <c r="H1" s="121" t="s">
        <v>9</v>
      </c>
      <c r="I1" s="121" t="s">
        <v>10</v>
      </c>
      <c r="J1" s="121" t="s">
        <v>11</v>
      </c>
      <c r="K1" s="121" t="s">
        <v>12</v>
      </c>
      <c r="L1" s="121" t="s">
        <v>13</v>
      </c>
      <c r="M1" s="121" t="s">
        <v>14</v>
      </c>
      <c r="N1" s="121" t="s">
        <v>15</v>
      </c>
      <c r="O1" s="121" t="s">
        <v>16</v>
      </c>
      <c r="P1" s="121" t="s">
        <v>17</v>
      </c>
      <c r="Q1" s="121" t="s">
        <v>18</v>
      </c>
      <c r="R1" s="121" t="s">
        <v>19</v>
      </c>
      <c r="S1" s="121" t="s">
        <v>20</v>
      </c>
      <c r="T1" s="121" t="s">
        <v>21</v>
      </c>
      <c r="U1" s="121" t="s">
        <v>22</v>
      </c>
      <c r="V1" s="121" t="s">
        <v>23</v>
      </c>
      <c r="W1" s="121" t="s">
        <v>26</v>
      </c>
    </row>
    <row r="2" spans="1:23" ht="15.05" x14ac:dyDescent="0.3">
      <c r="A2" s="120" t="str">
        <f>CONCATENATE(B2,"/",F2,"/",J2)</f>
        <v>//</v>
      </c>
      <c r="B2" s="122"/>
      <c r="C2" s="106"/>
      <c r="D2" s="106"/>
      <c r="E2" s="106"/>
      <c r="F2" s="106"/>
      <c r="G2" s="106"/>
      <c r="H2" s="106"/>
      <c r="I2" s="106"/>
      <c r="J2" s="106"/>
      <c r="K2" s="106"/>
      <c r="L2" s="106"/>
      <c r="M2" s="106"/>
      <c r="N2" s="106"/>
      <c r="O2" s="106"/>
      <c r="P2" s="106"/>
      <c r="Q2" s="106"/>
      <c r="R2" s="107"/>
      <c r="S2" s="106"/>
      <c r="T2" s="106"/>
      <c r="U2" s="106"/>
      <c r="V2" s="106"/>
      <c r="W2" s="106"/>
    </row>
    <row r="3" spans="1:23" ht="15.05" x14ac:dyDescent="0.3">
      <c r="A3" s="120" t="str">
        <f t="shared" ref="A3:A66" si="0">CONCATENATE(B3,"/",F3,"/",J3)</f>
        <v>//</v>
      </c>
      <c r="B3" s="106"/>
      <c r="C3" s="106"/>
      <c r="D3" s="106"/>
      <c r="E3" s="106"/>
      <c r="F3" s="106"/>
      <c r="G3" s="106"/>
      <c r="H3" s="106"/>
      <c r="I3" s="106"/>
      <c r="J3" s="106"/>
      <c r="K3" s="106"/>
      <c r="L3" s="106"/>
      <c r="M3" s="106"/>
      <c r="N3" s="106"/>
      <c r="O3" s="106"/>
      <c r="P3" s="106"/>
      <c r="Q3" s="106"/>
      <c r="R3" s="107"/>
      <c r="S3" s="106"/>
      <c r="T3" s="106"/>
      <c r="U3" s="106"/>
      <c r="V3" s="106"/>
      <c r="W3" s="106"/>
    </row>
    <row r="4" spans="1:23" ht="15.05" x14ac:dyDescent="0.3">
      <c r="A4" s="120" t="str">
        <f t="shared" si="0"/>
        <v>//</v>
      </c>
      <c r="B4" s="106"/>
      <c r="C4" s="106"/>
      <c r="D4" s="106"/>
      <c r="E4" s="106"/>
      <c r="F4" s="106"/>
      <c r="G4" s="106"/>
      <c r="H4" s="106"/>
      <c r="I4" s="106"/>
      <c r="J4" s="106"/>
      <c r="K4" s="106"/>
      <c r="L4" s="106"/>
      <c r="M4" s="106"/>
      <c r="N4" s="106"/>
      <c r="O4" s="106"/>
      <c r="P4" s="106"/>
      <c r="Q4" s="106"/>
      <c r="R4" s="107"/>
      <c r="S4" s="106"/>
      <c r="T4" s="106"/>
      <c r="U4" s="106"/>
      <c r="V4" s="106"/>
      <c r="W4" s="106"/>
    </row>
    <row r="5" spans="1:23" ht="15.05" x14ac:dyDescent="0.3">
      <c r="A5" s="120" t="str">
        <f t="shared" si="0"/>
        <v>//</v>
      </c>
      <c r="B5" s="106"/>
      <c r="C5" s="106"/>
      <c r="D5" s="106"/>
      <c r="E5" s="106"/>
      <c r="F5" s="106"/>
      <c r="G5" s="106"/>
      <c r="H5" s="106"/>
      <c r="I5" s="106"/>
      <c r="J5" s="106"/>
      <c r="K5" s="106"/>
      <c r="L5" s="106"/>
      <c r="M5" s="106"/>
      <c r="N5" s="106"/>
      <c r="O5" s="106"/>
      <c r="P5" s="106"/>
      <c r="Q5" s="106"/>
      <c r="R5" s="107"/>
      <c r="S5" s="106"/>
      <c r="T5" s="106"/>
      <c r="U5" s="106"/>
      <c r="V5" s="106"/>
      <c r="W5" s="106"/>
    </row>
    <row r="6" spans="1:23" ht="15.05" x14ac:dyDescent="0.3">
      <c r="A6" s="120" t="str">
        <f t="shared" si="0"/>
        <v>//</v>
      </c>
      <c r="B6" s="106"/>
      <c r="C6" s="106"/>
      <c r="D6" s="106"/>
      <c r="E6" s="106"/>
      <c r="F6" s="106"/>
      <c r="G6" s="106"/>
      <c r="H6" s="106"/>
      <c r="I6" s="106"/>
      <c r="J6" s="106"/>
      <c r="K6" s="106"/>
      <c r="L6" s="106"/>
      <c r="M6" s="106"/>
      <c r="N6" s="106"/>
      <c r="O6" s="106"/>
      <c r="P6" s="106"/>
      <c r="Q6" s="106"/>
      <c r="R6" s="107"/>
      <c r="S6" s="106"/>
      <c r="T6" s="106"/>
      <c r="U6" s="106"/>
      <c r="V6" s="106"/>
      <c r="W6" s="106"/>
    </row>
    <row r="7" spans="1:23" ht="15.05" x14ac:dyDescent="0.3">
      <c r="A7" s="120" t="str">
        <f t="shared" si="0"/>
        <v>//</v>
      </c>
      <c r="B7" s="106"/>
      <c r="C7" s="106"/>
      <c r="D7" s="106"/>
      <c r="E7" s="106"/>
      <c r="F7" s="106"/>
      <c r="G7" s="106"/>
      <c r="H7" s="106"/>
      <c r="I7" s="106"/>
      <c r="J7" s="106"/>
      <c r="K7" s="106"/>
      <c r="L7" s="106"/>
      <c r="M7" s="106"/>
      <c r="N7" s="106"/>
      <c r="O7" s="106"/>
      <c r="P7" s="106"/>
      <c r="Q7" s="106"/>
      <c r="R7" s="107"/>
      <c r="S7" s="106"/>
      <c r="T7" s="106"/>
      <c r="U7" s="106"/>
      <c r="V7" s="106"/>
      <c r="W7" s="106"/>
    </row>
    <row r="8" spans="1:23" ht="15.05" x14ac:dyDescent="0.3">
      <c r="A8" s="120" t="str">
        <f t="shared" si="0"/>
        <v>//</v>
      </c>
      <c r="B8" s="106"/>
      <c r="C8" s="106"/>
      <c r="D8" s="106"/>
      <c r="E8" s="106"/>
      <c r="F8" s="106"/>
      <c r="G8" s="106"/>
      <c r="H8" s="106"/>
      <c r="I8" s="106"/>
      <c r="J8" s="106"/>
      <c r="K8" s="106"/>
      <c r="L8" s="106"/>
      <c r="M8" s="106"/>
      <c r="N8" s="106"/>
      <c r="O8" s="106"/>
      <c r="P8" s="106"/>
      <c r="Q8" s="106"/>
      <c r="R8" s="107"/>
      <c r="S8" s="106"/>
      <c r="T8" s="106"/>
      <c r="U8" s="106"/>
      <c r="V8" s="106"/>
      <c r="W8" s="106"/>
    </row>
    <row r="9" spans="1:23" ht="15.05" x14ac:dyDescent="0.3">
      <c r="A9" s="120" t="str">
        <f t="shared" si="0"/>
        <v>//</v>
      </c>
      <c r="B9" s="105"/>
      <c r="C9" s="105"/>
      <c r="D9" s="105"/>
      <c r="E9" s="105"/>
      <c r="F9" s="105"/>
      <c r="G9" s="105"/>
      <c r="H9" s="105"/>
      <c r="I9" s="105"/>
      <c r="J9" s="105"/>
      <c r="K9" s="105"/>
      <c r="L9" s="105"/>
      <c r="M9" s="105"/>
      <c r="N9" s="105"/>
      <c r="O9" s="105"/>
      <c r="P9" s="105"/>
      <c r="Q9" s="105"/>
      <c r="R9" s="105"/>
      <c r="S9" s="105"/>
      <c r="T9" s="105"/>
      <c r="U9" s="105"/>
      <c r="V9" s="105"/>
      <c r="W9" s="105"/>
    </row>
    <row r="10" spans="1:23" x14ac:dyDescent="0.25">
      <c r="A10" s="120" t="str">
        <f t="shared" si="0"/>
        <v>//</v>
      </c>
    </row>
    <row r="11" spans="1:23" x14ac:dyDescent="0.25">
      <c r="A11" s="120" t="str">
        <f t="shared" si="0"/>
        <v>//</v>
      </c>
    </row>
    <row r="12" spans="1:23" x14ac:dyDescent="0.25">
      <c r="A12" s="120" t="str">
        <f t="shared" si="0"/>
        <v>//</v>
      </c>
    </row>
    <row r="13" spans="1:23" x14ac:dyDescent="0.25">
      <c r="A13" s="120" t="str">
        <f t="shared" si="0"/>
        <v>//</v>
      </c>
    </row>
    <row r="14" spans="1:23" x14ac:dyDescent="0.25">
      <c r="A14" s="120" t="str">
        <f t="shared" si="0"/>
        <v>//</v>
      </c>
    </row>
    <row r="15" spans="1:23" x14ac:dyDescent="0.25">
      <c r="A15" s="120" t="str">
        <f t="shared" si="0"/>
        <v>//</v>
      </c>
    </row>
    <row r="16" spans="1:23" x14ac:dyDescent="0.25">
      <c r="A16" s="120" t="str">
        <f t="shared" si="0"/>
        <v>//</v>
      </c>
    </row>
    <row r="17" spans="1:1" x14ac:dyDescent="0.25">
      <c r="A17" s="120" t="str">
        <f t="shared" si="0"/>
        <v>//</v>
      </c>
    </row>
    <row r="18" spans="1:1" x14ac:dyDescent="0.25">
      <c r="A18" s="120" t="str">
        <f t="shared" si="0"/>
        <v>//</v>
      </c>
    </row>
    <row r="19" spans="1:1" x14ac:dyDescent="0.25">
      <c r="A19" s="120" t="str">
        <f t="shared" si="0"/>
        <v>//</v>
      </c>
    </row>
    <row r="20" spans="1:1" x14ac:dyDescent="0.25">
      <c r="A20" s="120" t="str">
        <f t="shared" si="0"/>
        <v>//</v>
      </c>
    </row>
    <row r="21" spans="1:1" x14ac:dyDescent="0.25">
      <c r="A21" s="120" t="str">
        <f t="shared" si="0"/>
        <v>//</v>
      </c>
    </row>
    <row r="22" spans="1:1" x14ac:dyDescent="0.25">
      <c r="A22" s="120" t="str">
        <f t="shared" si="0"/>
        <v>//</v>
      </c>
    </row>
    <row r="23" spans="1:1" x14ac:dyDescent="0.25">
      <c r="A23" s="120" t="str">
        <f t="shared" si="0"/>
        <v>//</v>
      </c>
    </row>
    <row r="24" spans="1:1" x14ac:dyDescent="0.25">
      <c r="A24" s="120" t="str">
        <f t="shared" si="0"/>
        <v>//</v>
      </c>
    </row>
    <row r="25" spans="1:1" x14ac:dyDescent="0.25">
      <c r="A25" s="120" t="str">
        <f t="shared" si="0"/>
        <v>//</v>
      </c>
    </row>
    <row r="26" spans="1:1" x14ac:dyDescent="0.25">
      <c r="A26" s="120" t="str">
        <f t="shared" si="0"/>
        <v>//</v>
      </c>
    </row>
    <row r="27" spans="1:1" x14ac:dyDescent="0.25">
      <c r="A27" s="120" t="str">
        <f t="shared" si="0"/>
        <v>//</v>
      </c>
    </row>
    <row r="28" spans="1:1" x14ac:dyDescent="0.25">
      <c r="A28" s="120" t="str">
        <f t="shared" si="0"/>
        <v>//</v>
      </c>
    </row>
    <row r="29" spans="1:1" x14ac:dyDescent="0.25">
      <c r="A29" s="120" t="str">
        <f t="shared" si="0"/>
        <v>//</v>
      </c>
    </row>
    <row r="30" spans="1:1" x14ac:dyDescent="0.25">
      <c r="A30" s="120" t="str">
        <f t="shared" si="0"/>
        <v>//</v>
      </c>
    </row>
    <row r="31" spans="1:1" x14ac:dyDescent="0.25">
      <c r="A31" s="120" t="str">
        <f t="shared" si="0"/>
        <v>//</v>
      </c>
    </row>
    <row r="32" spans="1:1" x14ac:dyDescent="0.25">
      <c r="A32" s="120" t="str">
        <f t="shared" si="0"/>
        <v>//</v>
      </c>
    </row>
    <row r="33" spans="1:1" x14ac:dyDescent="0.25">
      <c r="A33" s="120" t="str">
        <f t="shared" si="0"/>
        <v>//</v>
      </c>
    </row>
    <row r="34" spans="1:1" x14ac:dyDescent="0.25">
      <c r="A34" s="120" t="str">
        <f t="shared" si="0"/>
        <v>//</v>
      </c>
    </row>
    <row r="35" spans="1:1" x14ac:dyDescent="0.25">
      <c r="A35" s="120" t="str">
        <f t="shared" si="0"/>
        <v>//</v>
      </c>
    </row>
    <row r="36" spans="1:1" x14ac:dyDescent="0.25">
      <c r="A36" s="120" t="str">
        <f t="shared" si="0"/>
        <v>//</v>
      </c>
    </row>
    <row r="37" spans="1:1" x14ac:dyDescent="0.25">
      <c r="A37" s="120" t="str">
        <f t="shared" si="0"/>
        <v>//</v>
      </c>
    </row>
    <row r="38" spans="1:1" x14ac:dyDescent="0.25">
      <c r="A38" s="120" t="str">
        <f t="shared" si="0"/>
        <v>//</v>
      </c>
    </row>
    <row r="39" spans="1:1" x14ac:dyDescent="0.25">
      <c r="A39" s="120" t="str">
        <f t="shared" si="0"/>
        <v>//</v>
      </c>
    </row>
    <row r="40" spans="1:1" x14ac:dyDescent="0.25">
      <c r="A40" s="120" t="str">
        <f t="shared" si="0"/>
        <v>//</v>
      </c>
    </row>
    <row r="41" spans="1:1" x14ac:dyDescent="0.25">
      <c r="A41" s="120" t="str">
        <f t="shared" si="0"/>
        <v>//</v>
      </c>
    </row>
    <row r="42" spans="1:1" x14ac:dyDescent="0.25">
      <c r="A42" s="120" t="str">
        <f t="shared" si="0"/>
        <v>//</v>
      </c>
    </row>
    <row r="43" spans="1:1" x14ac:dyDescent="0.25">
      <c r="A43" s="120" t="str">
        <f t="shared" si="0"/>
        <v>//</v>
      </c>
    </row>
    <row r="44" spans="1:1" x14ac:dyDescent="0.25">
      <c r="A44" s="120" t="str">
        <f t="shared" si="0"/>
        <v>//</v>
      </c>
    </row>
    <row r="45" spans="1:1" x14ac:dyDescent="0.25">
      <c r="A45" s="120" t="str">
        <f t="shared" si="0"/>
        <v>//</v>
      </c>
    </row>
    <row r="46" spans="1:1" x14ac:dyDescent="0.25">
      <c r="A46" s="120" t="str">
        <f t="shared" si="0"/>
        <v>//</v>
      </c>
    </row>
    <row r="47" spans="1:1" x14ac:dyDescent="0.25">
      <c r="A47" s="120" t="str">
        <f t="shared" si="0"/>
        <v>//</v>
      </c>
    </row>
    <row r="48" spans="1:1" x14ac:dyDescent="0.25">
      <c r="A48" s="120" t="str">
        <f t="shared" si="0"/>
        <v>//</v>
      </c>
    </row>
    <row r="49" spans="1:1" x14ac:dyDescent="0.25">
      <c r="A49" s="120" t="str">
        <f t="shared" si="0"/>
        <v>//</v>
      </c>
    </row>
    <row r="50" spans="1:1" x14ac:dyDescent="0.25">
      <c r="A50" s="120" t="str">
        <f t="shared" si="0"/>
        <v>//</v>
      </c>
    </row>
    <row r="51" spans="1:1" x14ac:dyDescent="0.25">
      <c r="A51" s="120" t="str">
        <f t="shared" si="0"/>
        <v>//</v>
      </c>
    </row>
    <row r="52" spans="1:1" x14ac:dyDescent="0.25">
      <c r="A52" s="120" t="str">
        <f t="shared" si="0"/>
        <v>//</v>
      </c>
    </row>
    <row r="53" spans="1:1" x14ac:dyDescent="0.25">
      <c r="A53" s="120" t="str">
        <f t="shared" si="0"/>
        <v>//</v>
      </c>
    </row>
    <row r="54" spans="1:1" x14ac:dyDescent="0.25">
      <c r="A54" s="120" t="str">
        <f t="shared" si="0"/>
        <v>//</v>
      </c>
    </row>
    <row r="55" spans="1:1" x14ac:dyDescent="0.25">
      <c r="A55" s="120" t="str">
        <f t="shared" si="0"/>
        <v>//</v>
      </c>
    </row>
    <row r="56" spans="1:1" x14ac:dyDescent="0.25">
      <c r="A56" s="120" t="str">
        <f t="shared" si="0"/>
        <v>//</v>
      </c>
    </row>
    <row r="57" spans="1:1" x14ac:dyDescent="0.25">
      <c r="A57" s="120" t="str">
        <f t="shared" si="0"/>
        <v>//</v>
      </c>
    </row>
    <row r="58" spans="1:1" x14ac:dyDescent="0.25">
      <c r="A58" s="120" t="str">
        <f t="shared" si="0"/>
        <v>//</v>
      </c>
    </row>
    <row r="59" spans="1:1" x14ac:dyDescent="0.25">
      <c r="A59" s="120" t="str">
        <f t="shared" si="0"/>
        <v>//</v>
      </c>
    </row>
    <row r="60" spans="1:1" x14ac:dyDescent="0.25">
      <c r="A60" s="120" t="str">
        <f t="shared" si="0"/>
        <v>//</v>
      </c>
    </row>
    <row r="61" spans="1:1" x14ac:dyDescent="0.25">
      <c r="A61" s="120" t="str">
        <f t="shared" si="0"/>
        <v>//</v>
      </c>
    </row>
    <row r="62" spans="1:1" x14ac:dyDescent="0.25">
      <c r="A62" s="120" t="str">
        <f t="shared" si="0"/>
        <v>//</v>
      </c>
    </row>
    <row r="63" spans="1:1" x14ac:dyDescent="0.25">
      <c r="A63" s="120" t="str">
        <f t="shared" si="0"/>
        <v>//</v>
      </c>
    </row>
    <row r="64" spans="1:1" x14ac:dyDescent="0.25">
      <c r="A64" s="120" t="str">
        <f t="shared" si="0"/>
        <v>//</v>
      </c>
    </row>
    <row r="65" spans="1:1" x14ac:dyDescent="0.25">
      <c r="A65" s="120" t="str">
        <f t="shared" si="0"/>
        <v>//</v>
      </c>
    </row>
    <row r="66" spans="1:1" x14ac:dyDescent="0.25">
      <c r="A66" s="120" t="str">
        <f t="shared" si="0"/>
        <v>//</v>
      </c>
    </row>
    <row r="67" spans="1:1" x14ac:dyDescent="0.25">
      <c r="A67" s="120" t="str">
        <f t="shared" ref="A67:A130" si="1">CONCATENATE(B67,"/",F67,"/",J67)</f>
        <v>//</v>
      </c>
    </row>
    <row r="68" spans="1:1" x14ac:dyDescent="0.25">
      <c r="A68" s="120" t="str">
        <f t="shared" si="1"/>
        <v>//</v>
      </c>
    </row>
    <row r="69" spans="1:1" x14ac:dyDescent="0.25">
      <c r="A69" s="120" t="str">
        <f t="shared" si="1"/>
        <v>//</v>
      </c>
    </row>
    <row r="70" spans="1:1" x14ac:dyDescent="0.25">
      <c r="A70" s="120" t="str">
        <f t="shared" si="1"/>
        <v>//</v>
      </c>
    </row>
    <row r="71" spans="1:1" x14ac:dyDescent="0.25">
      <c r="A71" s="120" t="str">
        <f t="shared" si="1"/>
        <v>//</v>
      </c>
    </row>
    <row r="72" spans="1:1" x14ac:dyDescent="0.25">
      <c r="A72" s="120" t="str">
        <f t="shared" si="1"/>
        <v>//</v>
      </c>
    </row>
    <row r="73" spans="1:1" x14ac:dyDescent="0.25">
      <c r="A73" s="120" t="str">
        <f t="shared" si="1"/>
        <v>//</v>
      </c>
    </row>
    <row r="74" spans="1:1" x14ac:dyDescent="0.25">
      <c r="A74" s="120" t="str">
        <f t="shared" si="1"/>
        <v>//</v>
      </c>
    </row>
    <row r="75" spans="1:1" x14ac:dyDescent="0.25">
      <c r="A75" s="120" t="str">
        <f t="shared" si="1"/>
        <v>//</v>
      </c>
    </row>
    <row r="76" spans="1:1" x14ac:dyDescent="0.25">
      <c r="A76" s="120" t="str">
        <f t="shared" si="1"/>
        <v>//</v>
      </c>
    </row>
    <row r="77" spans="1:1" x14ac:dyDescent="0.25">
      <c r="A77" s="120" t="str">
        <f t="shared" si="1"/>
        <v>//</v>
      </c>
    </row>
    <row r="78" spans="1:1" x14ac:dyDescent="0.25">
      <c r="A78" s="120" t="str">
        <f t="shared" si="1"/>
        <v>//</v>
      </c>
    </row>
    <row r="79" spans="1:1" x14ac:dyDescent="0.25">
      <c r="A79" s="120" t="str">
        <f t="shared" si="1"/>
        <v>//</v>
      </c>
    </row>
    <row r="80" spans="1:1" x14ac:dyDescent="0.25">
      <c r="A80" s="120" t="str">
        <f t="shared" si="1"/>
        <v>//</v>
      </c>
    </row>
    <row r="81" spans="1:1" x14ac:dyDescent="0.25">
      <c r="A81" s="120" t="str">
        <f t="shared" si="1"/>
        <v>//</v>
      </c>
    </row>
    <row r="82" spans="1:1" x14ac:dyDescent="0.25">
      <c r="A82" s="120" t="str">
        <f t="shared" si="1"/>
        <v>//</v>
      </c>
    </row>
    <row r="83" spans="1:1" x14ac:dyDescent="0.25">
      <c r="A83" s="120" t="str">
        <f t="shared" si="1"/>
        <v>//</v>
      </c>
    </row>
    <row r="84" spans="1:1" x14ac:dyDescent="0.25">
      <c r="A84" s="120" t="str">
        <f t="shared" si="1"/>
        <v>//</v>
      </c>
    </row>
    <row r="85" spans="1:1" x14ac:dyDescent="0.25">
      <c r="A85" s="120" t="str">
        <f t="shared" si="1"/>
        <v>//</v>
      </c>
    </row>
    <row r="86" spans="1:1" x14ac:dyDescent="0.25">
      <c r="A86" s="120" t="str">
        <f t="shared" si="1"/>
        <v>//</v>
      </c>
    </row>
    <row r="87" spans="1:1" x14ac:dyDescent="0.25">
      <c r="A87" s="120" t="str">
        <f t="shared" si="1"/>
        <v>//</v>
      </c>
    </row>
    <row r="88" spans="1:1" x14ac:dyDescent="0.25">
      <c r="A88" s="120" t="str">
        <f t="shared" si="1"/>
        <v>//</v>
      </c>
    </row>
    <row r="89" spans="1:1" x14ac:dyDescent="0.25">
      <c r="A89" s="120" t="str">
        <f t="shared" si="1"/>
        <v>//</v>
      </c>
    </row>
    <row r="90" spans="1:1" x14ac:dyDescent="0.25">
      <c r="A90" s="120" t="str">
        <f t="shared" si="1"/>
        <v>//</v>
      </c>
    </row>
    <row r="91" spans="1:1" x14ac:dyDescent="0.25">
      <c r="A91" s="120" t="str">
        <f t="shared" si="1"/>
        <v>//</v>
      </c>
    </row>
    <row r="92" spans="1:1" x14ac:dyDescent="0.25">
      <c r="A92" s="120" t="str">
        <f t="shared" si="1"/>
        <v>//</v>
      </c>
    </row>
    <row r="93" spans="1:1" x14ac:dyDescent="0.25">
      <c r="A93" s="120" t="str">
        <f t="shared" si="1"/>
        <v>//</v>
      </c>
    </row>
    <row r="94" spans="1:1" x14ac:dyDescent="0.25">
      <c r="A94" s="120" t="str">
        <f t="shared" si="1"/>
        <v>//</v>
      </c>
    </row>
    <row r="95" spans="1:1" x14ac:dyDescent="0.25">
      <c r="A95" s="120" t="str">
        <f t="shared" si="1"/>
        <v>//</v>
      </c>
    </row>
    <row r="96" spans="1:1" x14ac:dyDescent="0.25">
      <c r="A96" s="120" t="str">
        <f t="shared" si="1"/>
        <v>//</v>
      </c>
    </row>
    <row r="97" spans="1:1" x14ac:dyDescent="0.25">
      <c r="A97" s="120" t="str">
        <f t="shared" si="1"/>
        <v>//</v>
      </c>
    </row>
    <row r="98" spans="1:1" x14ac:dyDescent="0.25">
      <c r="A98" s="120" t="str">
        <f t="shared" si="1"/>
        <v>//</v>
      </c>
    </row>
    <row r="99" spans="1:1" x14ac:dyDescent="0.25">
      <c r="A99" s="120" t="str">
        <f t="shared" si="1"/>
        <v>//</v>
      </c>
    </row>
    <row r="100" spans="1:1" x14ac:dyDescent="0.25">
      <c r="A100" s="120" t="str">
        <f t="shared" si="1"/>
        <v>//</v>
      </c>
    </row>
    <row r="101" spans="1:1" x14ac:dyDescent="0.25">
      <c r="A101" s="120" t="str">
        <f t="shared" si="1"/>
        <v>//</v>
      </c>
    </row>
    <row r="102" spans="1:1" x14ac:dyDescent="0.25">
      <c r="A102" s="120" t="str">
        <f t="shared" si="1"/>
        <v>//</v>
      </c>
    </row>
    <row r="103" spans="1:1" x14ac:dyDescent="0.25">
      <c r="A103" s="120" t="str">
        <f t="shared" si="1"/>
        <v>//</v>
      </c>
    </row>
    <row r="104" spans="1:1" x14ac:dyDescent="0.25">
      <c r="A104" s="120" t="str">
        <f t="shared" si="1"/>
        <v>//</v>
      </c>
    </row>
    <row r="105" spans="1:1" x14ac:dyDescent="0.25">
      <c r="A105" s="120" t="str">
        <f t="shared" si="1"/>
        <v>//</v>
      </c>
    </row>
    <row r="106" spans="1:1" x14ac:dyDescent="0.25">
      <c r="A106" s="120" t="str">
        <f t="shared" si="1"/>
        <v>//</v>
      </c>
    </row>
    <row r="107" spans="1:1" x14ac:dyDescent="0.25">
      <c r="A107" s="120" t="str">
        <f t="shared" si="1"/>
        <v>//</v>
      </c>
    </row>
    <row r="108" spans="1:1" x14ac:dyDescent="0.25">
      <c r="A108" s="120" t="str">
        <f t="shared" si="1"/>
        <v>//</v>
      </c>
    </row>
    <row r="109" spans="1:1" x14ac:dyDescent="0.25">
      <c r="A109" s="120" t="str">
        <f t="shared" si="1"/>
        <v>//</v>
      </c>
    </row>
    <row r="110" spans="1:1" x14ac:dyDescent="0.25">
      <c r="A110" s="120" t="str">
        <f t="shared" si="1"/>
        <v>//</v>
      </c>
    </row>
    <row r="111" spans="1:1" x14ac:dyDescent="0.25">
      <c r="A111" s="120" t="str">
        <f t="shared" si="1"/>
        <v>//</v>
      </c>
    </row>
    <row r="112" spans="1:1" x14ac:dyDescent="0.25">
      <c r="A112" s="120" t="str">
        <f t="shared" si="1"/>
        <v>//</v>
      </c>
    </row>
    <row r="113" spans="1:1" x14ac:dyDescent="0.25">
      <c r="A113" s="120" t="str">
        <f t="shared" si="1"/>
        <v>//</v>
      </c>
    </row>
    <row r="114" spans="1:1" x14ac:dyDescent="0.25">
      <c r="A114" s="120" t="str">
        <f t="shared" si="1"/>
        <v>//</v>
      </c>
    </row>
    <row r="115" spans="1:1" x14ac:dyDescent="0.25">
      <c r="A115" s="120" t="str">
        <f t="shared" si="1"/>
        <v>//</v>
      </c>
    </row>
    <row r="116" spans="1:1" x14ac:dyDescent="0.25">
      <c r="A116" s="120" t="str">
        <f t="shared" si="1"/>
        <v>//</v>
      </c>
    </row>
    <row r="117" spans="1:1" x14ac:dyDescent="0.25">
      <c r="A117" s="120" t="str">
        <f t="shared" si="1"/>
        <v>//</v>
      </c>
    </row>
    <row r="118" spans="1:1" x14ac:dyDescent="0.25">
      <c r="A118" s="120" t="str">
        <f t="shared" si="1"/>
        <v>//</v>
      </c>
    </row>
    <row r="119" spans="1:1" x14ac:dyDescent="0.25">
      <c r="A119" s="120" t="str">
        <f t="shared" si="1"/>
        <v>//</v>
      </c>
    </row>
    <row r="120" spans="1:1" x14ac:dyDescent="0.25">
      <c r="A120" s="120" t="str">
        <f t="shared" si="1"/>
        <v>//</v>
      </c>
    </row>
    <row r="121" spans="1:1" x14ac:dyDescent="0.25">
      <c r="A121" s="120" t="str">
        <f t="shared" si="1"/>
        <v>//</v>
      </c>
    </row>
    <row r="122" spans="1:1" x14ac:dyDescent="0.25">
      <c r="A122" s="120" t="str">
        <f t="shared" si="1"/>
        <v>//</v>
      </c>
    </row>
    <row r="123" spans="1:1" x14ac:dyDescent="0.25">
      <c r="A123" s="120" t="str">
        <f t="shared" si="1"/>
        <v>//</v>
      </c>
    </row>
    <row r="124" spans="1:1" x14ac:dyDescent="0.25">
      <c r="A124" s="120" t="str">
        <f t="shared" si="1"/>
        <v>//</v>
      </c>
    </row>
    <row r="125" spans="1:1" x14ac:dyDescent="0.25">
      <c r="A125" s="120" t="str">
        <f t="shared" si="1"/>
        <v>//</v>
      </c>
    </row>
    <row r="126" spans="1:1" x14ac:dyDescent="0.25">
      <c r="A126" s="120" t="str">
        <f t="shared" si="1"/>
        <v>//</v>
      </c>
    </row>
    <row r="127" spans="1:1" x14ac:dyDescent="0.25">
      <c r="A127" s="120" t="str">
        <f t="shared" si="1"/>
        <v>//</v>
      </c>
    </row>
    <row r="128" spans="1:1" x14ac:dyDescent="0.25">
      <c r="A128" s="120" t="str">
        <f t="shared" si="1"/>
        <v>//</v>
      </c>
    </row>
    <row r="129" spans="1:1" x14ac:dyDescent="0.25">
      <c r="A129" s="120" t="str">
        <f t="shared" si="1"/>
        <v>//</v>
      </c>
    </row>
    <row r="130" spans="1:1" x14ac:dyDescent="0.25">
      <c r="A130" s="120" t="str">
        <f t="shared" si="1"/>
        <v>//</v>
      </c>
    </row>
    <row r="131" spans="1:1" x14ac:dyDescent="0.25">
      <c r="A131" s="120" t="str">
        <f t="shared" ref="A131:A194" si="2">CONCATENATE(B131,"/",F131,"/",J131)</f>
        <v>//</v>
      </c>
    </row>
    <row r="132" spans="1:1" x14ac:dyDescent="0.25">
      <c r="A132" s="120" t="str">
        <f t="shared" si="2"/>
        <v>//</v>
      </c>
    </row>
    <row r="133" spans="1:1" x14ac:dyDescent="0.25">
      <c r="A133" s="120" t="str">
        <f t="shared" si="2"/>
        <v>//</v>
      </c>
    </row>
    <row r="134" spans="1:1" x14ac:dyDescent="0.25">
      <c r="A134" s="120" t="str">
        <f t="shared" si="2"/>
        <v>//</v>
      </c>
    </row>
    <row r="135" spans="1:1" x14ac:dyDescent="0.25">
      <c r="A135" s="120" t="str">
        <f t="shared" si="2"/>
        <v>//</v>
      </c>
    </row>
    <row r="136" spans="1:1" x14ac:dyDescent="0.25">
      <c r="A136" s="120" t="str">
        <f t="shared" si="2"/>
        <v>//</v>
      </c>
    </row>
    <row r="137" spans="1:1" x14ac:dyDescent="0.25">
      <c r="A137" s="120" t="str">
        <f t="shared" si="2"/>
        <v>//</v>
      </c>
    </row>
    <row r="138" spans="1:1" x14ac:dyDescent="0.25">
      <c r="A138" s="120" t="str">
        <f t="shared" si="2"/>
        <v>//</v>
      </c>
    </row>
    <row r="139" spans="1:1" x14ac:dyDescent="0.25">
      <c r="A139" s="120" t="str">
        <f t="shared" si="2"/>
        <v>//</v>
      </c>
    </row>
    <row r="140" spans="1:1" x14ac:dyDescent="0.25">
      <c r="A140" s="120" t="str">
        <f t="shared" si="2"/>
        <v>//</v>
      </c>
    </row>
    <row r="141" spans="1:1" x14ac:dyDescent="0.25">
      <c r="A141" s="120" t="str">
        <f t="shared" si="2"/>
        <v>//</v>
      </c>
    </row>
    <row r="142" spans="1:1" x14ac:dyDescent="0.25">
      <c r="A142" s="120" t="str">
        <f t="shared" si="2"/>
        <v>//</v>
      </c>
    </row>
    <row r="143" spans="1:1" x14ac:dyDescent="0.25">
      <c r="A143" s="120" t="str">
        <f t="shared" si="2"/>
        <v>//</v>
      </c>
    </row>
    <row r="144" spans="1:1" x14ac:dyDescent="0.25">
      <c r="A144" s="120" t="str">
        <f t="shared" si="2"/>
        <v>//</v>
      </c>
    </row>
    <row r="145" spans="1:1" x14ac:dyDescent="0.25">
      <c r="A145" s="120" t="str">
        <f t="shared" si="2"/>
        <v>//</v>
      </c>
    </row>
    <row r="146" spans="1:1" x14ac:dyDescent="0.25">
      <c r="A146" s="120" t="str">
        <f t="shared" si="2"/>
        <v>//</v>
      </c>
    </row>
    <row r="147" spans="1:1" x14ac:dyDescent="0.25">
      <c r="A147" s="120" t="str">
        <f t="shared" si="2"/>
        <v>//</v>
      </c>
    </row>
    <row r="148" spans="1:1" x14ac:dyDescent="0.25">
      <c r="A148" s="120" t="str">
        <f t="shared" si="2"/>
        <v>//</v>
      </c>
    </row>
    <row r="149" spans="1:1" x14ac:dyDescent="0.25">
      <c r="A149" s="120" t="str">
        <f t="shared" si="2"/>
        <v>//</v>
      </c>
    </row>
    <row r="150" spans="1:1" x14ac:dyDescent="0.25">
      <c r="A150" s="120" t="str">
        <f t="shared" si="2"/>
        <v>//</v>
      </c>
    </row>
    <row r="151" spans="1:1" x14ac:dyDescent="0.25">
      <c r="A151" s="120" t="str">
        <f t="shared" si="2"/>
        <v>//</v>
      </c>
    </row>
    <row r="152" spans="1:1" x14ac:dyDescent="0.25">
      <c r="A152" s="120" t="str">
        <f t="shared" si="2"/>
        <v>//</v>
      </c>
    </row>
    <row r="153" spans="1:1" x14ac:dyDescent="0.25">
      <c r="A153" s="120" t="str">
        <f t="shared" si="2"/>
        <v>//</v>
      </c>
    </row>
    <row r="154" spans="1:1" x14ac:dyDescent="0.25">
      <c r="A154" s="120" t="str">
        <f t="shared" si="2"/>
        <v>//</v>
      </c>
    </row>
    <row r="155" spans="1:1" x14ac:dyDescent="0.25">
      <c r="A155" s="120" t="str">
        <f t="shared" si="2"/>
        <v>//</v>
      </c>
    </row>
    <row r="156" spans="1:1" x14ac:dyDescent="0.25">
      <c r="A156" s="120" t="str">
        <f t="shared" si="2"/>
        <v>//</v>
      </c>
    </row>
    <row r="157" spans="1:1" x14ac:dyDescent="0.25">
      <c r="A157" s="120" t="str">
        <f t="shared" si="2"/>
        <v>//</v>
      </c>
    </row>
    <row r="158" spans="1:1" x14ac:dyDescent="0.25">
      <c r="A158" s="120" t="str">
        <f t="shared" si="2"/>
        <v>//</v>
      </c>
    </row>
    <row r="159" spans="1:1" x14ac:dyDescent="0.25">
      <c r="A159" s="120" t="str">
        <f t="shared" si="2"/>
        <v>//</v>
      </c>
    </row>
    <row r="160" spans="1:1" x14ac:dyDescent="0.25">
      <c r="A160" s="120" t="str">
        <f t="shared" si="2"/>
        <v>//</v>
      </c>
    </row>
    <row r="161" spans="1:1" x14ac:dyDescent="0.25">
      <c r="A161" s="120" t="str">
        <f t="shared" si="2"/>
        <v>//</v>
      </c>
    </row>
    <row r="162" spans="1:1" x14ac:dyDescent="0.25">
      <c r="A162" s="120" t="str">
        <f t="shared" si="2"/>
        <v>//</v>
      </c>
    </row>
    <row r="163" spans="1:1" x14ac:dyDescent="0.25">
      <c r="A163" s="120" t="str">
        <f t="shared" si="2"/>
        <v>//</v>
      </c>
    </row>
    <row r="164" spans="1:1" x14ac:dyDescent="0.25">
      <c r="A164" s="120" t="str">
        <f t="shared" si="2"/>
        <v>//</v>
      </c>
    </row>
    <row r="165" spans="1:1" x14ac:dyDescent="0.25">
      <c r="A165" s="120" t="str">
        <f t="shared" si="2"/>
        <v>//</v>
      </c>
    </row>
    <row r="166" spans="1:1" x14ac:dyDescent="0.25">
      <c r="A166" s="120" t="str">
        <f t="shared" si="2"/>
        <v>//</v>
      </c>
    </row>
    <row r="167" spans="1:1" x14ac:dyDescent="0.25">
      <c r="A167" s="120" t="str">
        <f t="shared" si="2"/>
        <v>//</v>
      </c>
    </row>
    <row r="168" spans="1:1" x14ac:dyDescent="0.25">
      <c r="A168" s="120" t="str">
        <f t="shared" si="2"/>
        <v>//</v>
      </c>
    </row>
    <row r="169" spans="1:1" x14ac:dyDescent="0.25">
      <c r="A169" s="120" t="str">
        <f t="shared" si="2"/>
        <v>//</v>
      </c>
    </row>
    <row r="170" spans="1:1" x14ac:dyDescent="0.25">
      <c r="A170" s="120" t="str">
        <f t="shared" si="2"/>
        <v>//</v>
      </c>
    </row>
    <row r="171" spans="1:1" x14ac:dyDescent="0.25">
      <c r="A171" s="120" t="str">
        <f t="shared" si="2"/>
        <v>//</v>
      </c>
    </row>
    <row r="172" spans="1:1" x14ac:dyDescent="0.25">
      <c r="A172" s="120" t="str">
        <f t="shared" si="2"/>
        <v>//</v>
      </c>
    </row>
    <row r="173" spans="1:1" x14ac:dyDescent="0.25">
      <c r="A173" s="120" t="str">
        <f t="shared" si="2"/>
        <v>//</v>
      </c>
    </row>
    <row r="174" spans="1:1" x14ac:dyDescent="0.25">
      <c r="A174" s="120" t="str">
        <f t="shared" si="2"/>
        <v>//</v>
      </c>
    </row>
    <row r="175" spans="1:1" x14ac:dyDescent="0.25">
      <c r="A175" s="120" t="str">
        <f t="shared" si="2"/>
        <v>//</v>
      </c>
    </row>
    <row r="176" spans="1:1" x14ac:dyDescent="0.25">
      <c r="A176" s="120" t="str">
        <f t="shared" si="2"/>
        <v>//</v>
      </c>
    </row>
    <row r="177" spans="1:1" x14ac:dyDescent="0.25">
      <c r="A177" s="120" t="str">
        <f t="shared" si="2"/>
        <v>//</v>
      </c>
    </row>
    <row r="178" spans="1:1" x14ac:dyDescent="0.25">
      <c r="A178" s="120" t="str">
        <f t="shared" si="2"/>
        <v>//</v>
      </c>
    </row>
    <row r="179" spans="1:1" x14ac:dyDescent="0.25">
      <c r="A179" s="120" t="str">
        <f t="shared" si="2"/>
        <v>//</v>
      </c>
    </row>
    <row r="180" spans="1:1" x14ac:dyDescent="0.25">
      <c r="A180" s="120" t="str">
        <f t="shared" si="2"/>
        <v>//</v>
      </c>
    </row>
    <row r="181" spans="1:1" x14ac:dyDescent="0.25">
      <c r="A181" s="120" t="str">
        <f t="shared" si="2"/>
        <v>//</v>
      </c>
    </row>
    <row r="182" spans="1:1" x14ac:dyDescent="0.25">
      <c r="A182" s="120" t="str">
        <f t="shared" si="2"/>
        <v>//</v>
      </c>
    </row>
    <row r="183" spans="1:1" x14ac:dyDescent="0.25">
      <c r="A183" s="120" t="str">
        <f t="shared" si="2"/>
        <v>//</v>
      </c>
    </row>
    <row r="184" spans="1:1" x14ac:dyDescent="0.25">
      <c r="A184" s="120" t="str">
        <f t="shared" si="2"/>
        <v>//</v>
      </c>
    </row>
    <row r="185" spans="1:1" x14ac:dyDescent="0.25">
      <c r="A185" s="120" t="str">
        <f t="shared" si="2"/>
        <v>//</v>
      </c>
    </row>
    <row r="186" spans="1:1" x14ac:dyDescent="0.25">
      <c r="A186" s="120" t="str">
        <f t="shared" si="2"/>
        <v>//</v>
      </c>
    </row>
    <row r="187" spans="1:1" x14ac:dyDescent="0.25">
      <c r="A187" s="120" t="str">
        <f t="shared" si="2"/>
        <v>//</v>
      </c>
    </row>
    <row r="188" spans="1:1" x14ac:dyDescent="0.25">
      <c r="A188" s="120" t="str">
        <f t="shared" si="2"/>
        <v>//</v>
      </c>
    </row>
    <row r="189" spans="1:1" x14ac:dyDescent="0.25">
      <c r="A189" s="120" t="str">
        <f t="shared" si="2"/>
        <v>//</v>
      </c>
    </row>
    <row r="190" spans="1:1" x14ac:dyDescent="0.25">
      <c r="A190" s="120" t="str">
        <f t="shared" si="2"/>
        <v>//</v>
      </c>
    </row>
    <row r="191" spans="1:1" x14ac:dyDescent="0.25">
      <c r="A191" s="120" t="str">
        <f t="shared" si="2"/>
        <v>//</v>
      </c>
    </row>
    <row r="192" spans="1:1" x14ac:dyDescent="0.25">
      <c r="A192" s="120" t="str">
        <f t="shared" si="2"/>
        <v>//</v>
      </c>
    </row>
    <row r="193" spans="1:1" x14ac:dyDescent="0.25">
      <c r="A193" s="120" t="str">
        <f t="shared" si="2"/>
        <v>//</v>
      </c>
    </row>
    <row r="194" spans="1:1" x14ac:dyDescent="0.25">
      <c r="A194" s="120" t="str">
        <f t="shared" si="2"/>
        <v>//</v>
      </c>
    </row>
    <row r="195" spans="1:1" x14ac:dyDescent="0.25">
      <c r="A195" s="120" t="str">
        <f t="shared" ref="A195:A258" si="3">CONCATENATE(B195,"/",F195,"/",J195)</f>
        <v>//</v>
      </c>
    </row>
    <row r="196" spans="1:1" x14ac:dyDescent="0.25">
      <c r="A196" s="120" t="str">
        <f t="shared" si="3"/>
        <v>//</v>
      </c>
    </row>
    <row r="197" spans="1:1" x14ac:dyDescent="0.25">
      <c r="A197" s="120" t="str">
        <f t="shared" si="3"/>
        <v>//</v>
      </c>
    </row>
    <row r="198" spans="1:1" x14ac:dyDescent="0.25">
      <c r="A198" s="120" t="str">
        <f t="shared" si="3"/>
        <v>//</v>
      </c>
    </row>
    <row r="199" spans="1:1" x14ac:dyDescent="0.25">
      <c r="A199" s="120" t="str">
        <f t="shared" si="3"/>
        <v>//</v>
      </c>
    </row>
    <row r="200" spans="1:1" x14ac:dyDescent="0.25">
      <c r="A200" s="120" t="str">
        <f t="shared" si="3"/>
        <v>//</v>
      </c>
    </row>
    <row r="201" spans="1:1" x14ac:dyDescent="0.25">
      <c r="A201" s="120" t="str">
        <f t="shared" si="3"/>
        <v>//</v>
      </c>
    </row>
    <row r="202" spans="1:1" x14ac:dyDescent="0.25">
      <c r="A202" s="120" t="str">
        <f t="shared" si="3"/>
        <v>//</v>
      </c>
    </row>
    <row r="203" spans="1:1" x14ac:dyDescent="0.25">
      <c r="A203" s="120" t="str">
        <f t="shared" si="3"/>
        <v>//</v>
      </c>
    </row>
    <row r="204" spans="1:1" x14ac:dyDescent="0.25">
      <c r="A204" s="120" t="str">
        <f t="shared" si="3"/>
        <v>//</v>
      </c>
    </row>
    <row r="205" spans="1:1" x14ac:dyDescent="0.25">
      <c r="A205" s="120" t="str">
        <f t="shared" si="3"/>
        <v>//</v>
      </c>
    </row>
    <row r="206" spans="1:1" x14ac:dyDescent="0.25">
      <c r="A206" s="120" t="str">
        <f t="shared" si="3"/>
        <v>//</v>
      </c>
    </row>
    <row r="207" spans="1:1" x14ac:dyDescent="0.25">
      <c r="A207" s="120" t="str">
        <f t="shared" si="3"/>
        <v>//</v>
      </c>
    </row>
    <row r="208" spans="1:1" x14ac:dyDescent="0.25">
      <c r="A208" s="120" t="str">
        <f t="shared" si="3"/>
        <v>//</v>
      </c>
    </row>
    <row r="209" spans="1:1" x14ac:dyDescent="0.25">
      <c r="A209" s="120" t="str">
        <f t="shared" si="3"/>
        <v>//</v>
      </c>
    </row>
    <row r="210" spans="1:1" x14ac:dyDescent="0.25">
      <c r="A210" s="120" t="str">
        <f t="shared" si="3"/>
        <v>//</v>
      </c>
    </row>
    <row r="211" spans="1:1" x14ac:dyDescent="0.25">
      <c r="A211" s="120" t="str">
        <f t="shared" si="3"/>
        <v>//</v>
      </c>
    </row>
    <row r="212" spans="1:1" x14ac:dyDescent="0.25">
      <c r="A212" s="120" t="str">
        <f t="shared" si="3"/>
        <v>//</v>
      </c>
    </row>
    <row r="213" spans="1:1" x14ac:dyDescent="0.25">
      <c r="A213" s="120" t="str">
        <f t="shared" si="3"/>
        <v>//</v>
      </c>
    </row>
    <row r="214" spans="1:1" x14ac:dyDescent="0.25">
      <c r="A214" s="120" t="str">
        <f t="shared" si="3"/>
        <v>//</v>
      </c>
    </row>
    <row r="215" spans="1:1" x14ac:dyDescent="0.25">
      <c r="A215" s="120" t="str">
        <f t="shared" si="3"/>
        <v>//</v>
      </c>
    </row>
    <row r="216" spans="1:1" x14ac:dyDescent="0.25">
      <c r="A216" s="120" t="str">
        <f t="shared" si="3"/>
        <v>//</v>
      </c>
    </row>
    <row r="217" spans="1:1" x14ac:dyDescent="0.25">
      <c r="A217" s="120" t="str">
        <f t="shared" si="3"/>
        <v>//</v>
      </c>
    </row>
    <row r="218" spans="1:1" x14ac:dyDescent="0.25">
      <c r="A218" s="120" t="str">
        <f t="shared" si="3"/>
        <v>//</v>
      </c>
    </row>
    <row r="219" spans="1:1" x14ac:dyDescent="0.25">
      <c r="A219" s="120" t="str">
        <f t="shared" si="3"/>
        <v>//</v>
      </c>
    </row>
    <row r="220" spans="1:1" x14ac:dyDescent="0.25">
      <c r="A220" s="120" t="str">
        <f t="shared" si="3"/>
        <v>//</v>
      </c>
    </row>
    <row r="221" spans="1:1" x14ac:dyDescent="0.25">
      <c r="A221" s="120" t="str">
        <f t="shared" si="3"/>
        <v>//</v>
      </c>
    </row>
    <row r="222" spans="1:1" x14ac:dyDescent="0.25">
      <c r="A222" s="120" t="str">
        <f t="shared" si="3"/>
        <v>//</v>
      </c>
    </row>
    <row r="223" spans="1:1" x14ac:dyDescent="0.25">
      <c r="A223" s="120" t="str">
        <f t="shared" si="3"/>
        <v>//</v>
      </c>
    </row>
    <row r="224" spans="1:1" x14ac:dyDescent="0.25">
      <c r="A224" s="120" t="str">
        <f t="shared" si="3"/>
        <v>//</v>
      </c>
    </row>
    <row r="225" spans="1:1" x14ac:dyDescent="0.25">
      <c r="A225" s="120" t="str">
        <f t="shared" si="3"/>
        <v>//</v>
      </c>
    </row>
    <row r="226" spans="1:1" x14ac:dyDescent="0.25">
      <c r="A226" s="120" t="str">
        <f t="shared" si="3"/>
        <v>//</v>
      </c>
    </row>
    <row r="227" spans="1:1" x14ac:dyDescent="0.25">
      <c r="A227" s="120" t="str">
        <f t="shared" si="3"/>
        <v>//</v>
      </c>
    </row>
    <row r="228" spans="1:1" x14ac:dyDescent="0.25">
      <c r="A228" s="120" t="str">
        <f t="shared" si="3"/>
        <v>//</v>
      </c>
    </row>
    <row r="229" spans="1:1" x14ac:dyDescent="0.25">
      <c r="A229" s="120" t="str">
        <f t="shared" si="3"/>
        <v>//</v>
      </c>
    </row>
    <row r="230" spans="1:1" x14ac:dyDescent="0.25">
      <c r="A230" s="120" t="str">
        <f t="shared" si="3"/>
        <v>//</v>
      </c>
    </row>
    <row r="231" spans="1:1" x14ac:dyDescent="0.25">
      <c r="A231" s="120" t="str">
        <f t="shared" si="3"/>
        <v>//</v>
      </c>
    </row>
    <row r="232" spans="1:1" x14ac:dyDescent="0.25">
      <c r="A232" s="120" t="str">
        <f t="shared" si="3"/>
        <v>//</v>
      </c>
    </row>
    <row r="233" spans="1:1" x14ac:dyDescent="0.25">
      <c r="A233" s="120" t="str">
        <f t="shared" si="3"/>
        <v>//</v>
      </c>
    </row>
    <row r="234" spans="1:1" x14ac:dyDescent="0.25">
      <c r="A234" s="120" t="str">
        <f t="shared" si="3"/>
        <v>//</v>
      </c>
    </row>
    <row r="235" spans="1:1" x14ac:dyDescent="0.25">
      <c r="A235" s="120" t="str">
        <f t="shared" si="3"/>
        <v>//</v>
      </c>
    </row>
    <row r="236" spans="1:1" x14ac:dyDescent="0.25">
      <c r="A236" s="120" t="str">
        <f t="shared" si="3"/>
        <v>//</v>
      </c>
    </row>
    <row r="237" spans="1:1" x14ac:dyDescent="0.25">
      <c r="A237" s="120" t="str">
        <f t="shared" si="3"/>
        <v>//</v>
      </c>
    </row>
    <row r="238" spans="1:1" x14ac:dyDescent="0.25">
      <c r="A238" s="120" t="str">
        <f t="shared" si="3"/>
        <v>//</v>
      </c>
    </row>
    <row r="239" spans="1:1" x14ac:dyDescent="0.25">
      <c r="A239" s="120" t="str">
        <f t="shared" si="3"/>
        <v>//</v>
      </c>
    </row>
    <row r="240" spans="1:1" x14ac:dyDescent="0.25">
      <c r="A240" s="120" t="str">
        <f t="shared" si="3"/>
        <v>//</v>
      </c>
    </row>
    <row r="241" spans="1:1" x14ac:dyDescent="0.25">
      <c r="A241" s="120" t="str">
        <f t="shared" si="3"/>
        <v>//</v>
      </c>
    </row>
    <row r="242" spans="1:1" x14ac:dyDescent="0.25">
      <c r="A242" s="120" t="str">
        <f t="shared" si="3"/>
        <v>//</v>
      </c>
    </row>
    <row r="243" spans="1:1" x14ac:dyDescent="0.25">
      <c r="A243" s="120" t="str">
        <f t="shared" si="3"/>
        <v>//</v>
      </c>
    </row>
    <row r="244" spans="1:1" x14ac:dyDescent="0.25">
      <c r="A244" s="120" t="str">
        <f t="shared" si="3"/>
        <v>//</v>
      </c>
    </row>
    <row r="245" spans="1:1" x14ac:dyDescent="0.25">
      <c r="A245" s="120" t="str">
        <f t="shared" si="3"/>
        <v>//</v>
      </c>
    </row>
    <row r="246" spans="1:1" x14ac:dyDescent="0.25">
      <c r="A246" s="120" t="str">
        <f t="shared" si="3"/>
        <v>//</v>
      </c>
    </row>
    <row r="247" spans="1:1" x14ac:dyDescent="0.25">
      <c r="A247" s="120" t="str">
        <f t="shared" si="3"/>
        <v>//</v>
      </c>
    </row>
    <row r="248" spans="1:1" x14ac:dyDescent="0.25">
      <c r="A248" s="120" t="str">
        <f t="shared" si="3"/>
        <v>//</v>
      </c>
    </row>
    <row r="249" spans="1:1" x14ac:dyDescent="0.25">
      <c r="A249" s="120" t="str">
        <f t="shared" si="3"/>
        <v>//</v>
      </c>
    </row>
    <row r="250" spans="1:1" x14ac:dyDescent="0.25">
      <c r="A250" s="120" t="str">
        <f t="shared" si="3"/>
        <v>//</v>
      </c>
    </row>
    <row r="251" spans="1:1" x14ac:dyDescent="0.25">
      <c r="A251" s="120" t="str">
        <f t="shared" si="3"/>
        <v>//</v>
      </c>
    </row>
    <row r="252" spans="1:1" x14ac:dyDescent="0.25">
      <c r="A252" s="120" t="str">
        <f t="shared" si="3"/>
        <v>//</v>
      </c>
    </row>
    <row r="253" spans="1:1" x14ac:dyDescent="0.25">
      <c r="A253" s="120" t="str">
        <f t="shared" si="3"/>
        <v>//</v>
      </c>
    </row>
    <row r="254" spans="1:1" x14ac:dyDescent="0.25">
      <c r="A254" s="120" t="str">
        <f t="shared" si="3"/>
        <v>//</v>
      </c>
    </row>
    <row r="255" spans="1:1" x14ac:dyDescent="0.25">
      <c r="A255" s="120" t="str">
        <f t="shared" si="3"/>
        <v>//</v>
      </c>
    </row>
    <row r="256" spans="1:1" x14ac:dyDescent="0.25">
      <c r="A256" s="120" t="str">
        <f t="shared" si="3"/>
        <v>//</v>
      </c>
    </row>
    <row r="257" spans="1:1" x14ac:dyDescent="0.25">
      <c r="A257" s="120" t="str">
        <f t="shared" si="3"/>
        <v>//</v>
      </c>
    </row>
    <row r="258" spans="1:1" x14ac:dyDescent="0.25">
      <c r="A258" s="120" t="str">
        <f t="shared" si="3"/>
        <v>//</v>
      </c>
    </row>
    <row r="259" spans="1:1" x14ac:dyDescent="0.25">
      <c r="A259" s="120" t="str">
        <f t="shared" ref="A259:A289" si="4">CONCATENATE(B259,"/",F259,"/",J259)</f>
        <v>//</v>
      </c>
    </row>
    <row r="260" spans="1:1" x14ac:dyDescent="0.25">
      <c r="A260" s="120" t="str">
        <f t="shared" si="4"/>
        <v>//</v>
      </c>
    </row>
    <row r="261" spans="1:1" x14ac:dyDescent="0.25">
      <c r="A261" s="120" t="str">
        <f t="shared" si="4"/>
        <v>//</v>
      </c>
    </row>
    <row r="262" spans="1:1" x14ac:dyDescent="0.25">
      <c r="A262" s="120" t="str">
        <f t="shared" si="4"/>
        <v>//</v>
      </c>
    </row>
    <row r="263" spans="1:1" x14ac:dyDescent="0.25">
      <c r="A263" s="120" t="str">
        <f t="shared" si="4"/>
        <v>//</v>
      </c>
    </row>
    <row r="264" spans="1:1" x14ac:dyDescent="0.25">
      <c r="A264" s="120" t="str">
        <f t="shared" si="4"/>
        <v>//</v>
      </c>
    </row>
    <row r="265" spans="1:1" x14ac:dyDescent="0.25">
      <c r="A265" s="120" t="str">
        <f t="shared" si="4"/>
        <v>//</v>
      </c>
    </row>
    <row r="266" spans="1:1" x14ac:dyDescent="0.25">
      <c r="A266" s="120" t="str">
        <f t="shared" si="4"/>
        <v>//</v>
      </c>
    </row>
    <row r="267" spans="1:1" x14ac:dyDescent="0.25">
      <c r="A267" s="120" t="str">
        <f t="shared" si="4"/>
        <v>//</v>
      </c>
    </row>
    <row r="268" spans="1:1" x14ac:dyDescent="0.25">
      <c r="A268" s="120" t="str">
        <f t="shared" si="4"/>
        <v>//</v>
      </c>
    </row>
    <row r="269" spans="1:1" x14ac:dyDescent="0.25">
      <c r="A269" s="120" t="str">
        <f t="shared" si="4"/>
        <v>//</v>
      </c>
    </row>
    <row r="270" spans="1:1" x14ac:dyDescent="0.25">
      <c r="A270" s="120" t="str">
        <f t="shared" si="4"/>
        <v>//</v>
      </c>
    </row>
    <row r="271" spans="1:1" x14ac:dyDescent="0.25">
      <c r="A271" s="120" t="str">
        <f t="shared" si="4"/>
        <v>//</v>
      </c>
    </row>
    <row r="272" spans="1:1" x14ac:dyDescent="0.25">
      <c r="A272" s="120" t="str">
        <f t="shared" si="4"/>
        <v>//</v>
      </c>
    </row>
    <row r="273" spans="1:1" x14ac:dyDescent="0.25">
      <c r="A273" s="120" t="str">
        <f t="shared" si="4"/>
        <v>//</v>
      </c>
    </row>
    <row r="274" spans="1:1" x14ac:dyDescent="0.25">
      <c r="A274" s="120" t="str">
        <f t="shared" si="4"/>
        <v>//</v>
      </c>
    </row>
    <row r="275" spans="1:1" x14ac:dyDescent="0.25">
      <c r="A275" s="120" t="str">
        <f t="shared" si="4"/>
        <v>//</v>
      </c>
    </row>
    <row r="276" spans="1:1" x14ac:dyDescent="0.25">
      <c r="A276" s="120" t="str">
        <f t="shared" si="4"/>
        <v>//</v>
      </c>
    </row>
    <row r="277" spans="1:1" x14ac:dyDescent="0.25">
      <c r="A277" s="120" t="str">
        <f t="shared" si="4"/>
        <v>//</v>
      </c>
    </row>
    <row r="278" spans="1:1" x14ac:dyDescent="0.25">
      <c r="A278" s="120" t="str">
        <f t="shared" si="4"/>
        <v>//</v>
      </c>
    </row>
    <row r="279" spans="1:1" x14ac:dyDescent="0.25">
      <c r="A279" s="120" t="str">
        <f t="shared" si="4"/>
        <v>//</v>
      </c>
    </row>
    <row r="280" spans="1:1" x14ac:dyDescent="0.25">
      <c r="A280" s="120" t="str">
        <f t="shared" si="4"/>
        <v>//</v>
      </c>
    </row>
    <row r="281" spans="1:1" x14ac:dyDescent="0.25">
      <c r="A281" s="120" t="str">
        <f t="shared" si="4"/>
        <v>//</v>
      </c>
    </row>
    <row r="282" spans="1:1" x14ac:dyDescent="0.25">
      <c r="A282" s="120" t="str">
        <f t="shared" si="4"/>
        <v>//</v>
      </c>
    </row>
    <row r="283" spans="1:1" x14ac:dyDescent="0.25">
      <c r="A283" s="120" t="str">
        <f t="shared" si="4"/>
        <v>//</v>
      </c>
    </row>
    <row r="284" spans="1:1" x14ac:dyDescent="0.25">
      <c r="A284" s="120" t="str">
        <f t="shared" si="4"/>
        <v>//</v>
      </c>
    </row>
    <row r="285" spans="1:1" x14ac:dyDescent="0.25">
      <c r="A285" s="120" t="str">
        <f t="shared" si="4"/>
        <v>//</v>
      </c>
    </row>
    <row r="286" spans="1:1" x14ac:dyDescent="0.25">
      <c r="A286" s="120" t="str">
        <f t="shared" si="4"/>
        <v>//</v>
      </c>
    </row>
    <row r="287" spans="1:1" x14ac:dyDescent="0.25">
      <c r="A287" s="120" t="str">
        <f t="shared" si="4"/>
        <v>//</v>
      </c>
    </row>
    <row r="288" spans="1:1" x14ac:dyDescent="0.25">
      <c r="A288" s="120" t="str">
        <f t="shared" si="4"/>
        <v>//</v>
      </c>
    </row>
    <row r="289" spans="1:1" x14ac:dyDescent="0.25">
      <c r="A289" s="120" t="str">
        <f t="shared" si="4"/>
        <v>//</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E2E96-11F9-4D98-9344-A11085895752}">
  <dimension ref="A1:AM383"/>
  <sheetViews>
    <sheetView showGridLines="0" tabSelected="1" zoomScale="40" zoomScaleNormal="40" workbookViewId="0">
      <selection activeCell="O47" sqref="O47"/>
    </sheetView>
  </sheetViews>
  <sheetFormatPr defaultRowHeight="14.4" x14ac:dyDescent="0.25"/>
  <cols>
    <col min="1" max="1" width="8.88671875" style="11"/>
    <col min="2" max="2" width="45.44140625" bestFit="1" customWidth="1"/>
    <col min="3" max="3" width="60" bestFit="1" customWidth="1"/>
    <col min="4" max="4" width="6.88671875" bestFit="1" customWidth="1"/>
    <col min="5" max="5" width="7.21875" customWidth="1"/>
    <col min="6" max="6" width="6.77734375" bestFit="1" customWidth="1"/>
    <col min="7" max="7" width="6.6640625" bestFit="1" customWidth="1"/>
    <col min="8" max="8" width="9.88671875" bestFit="1" customWidth="1"/>
    <col min="9" max="10" width="12.44140625" bestFit="1" customWidth="1"/>
    <col min="11" max="11" width="12.44140625" style="11" bestFit="1" customWidth="1"/>
    <col min="12" max="12" width="8" style="11" customWidth="1"/>
    <col min="13" max="13" width="3.21875" style="12" customWidth="1"/>
    <col min="14" max="14" width="6" style="11" customWidth="1"/>
    <col min="15" max="15" width="9" customWidth="1"/>
    <col min="16" max="16" width="15.5546875" bestFit="1" customWidth="1"/>
    <col min="17" max="17" width="6.21875" bestFit="1" customWidth="1"/>
    <col min="18" max="18" width="12.44140625" bestFit="1" customWidth="1"/>
    <col min="19" max="19" width="6.21875" bestFit="1" customWidth="1"/>
    <col min="20" max="21" width="12.44140625" bestFit="1" customWidth="1"/>
    <col min="22" max="24" width="10.88671875" bestFit="1" customWidth="1"/>
    <col min="25" max="25" width="60.5546875" bestFit="1" customWidth="1"/>
    <col min="26" max="26" width="15.6640625" bestFit="1" customWidth="1"/>
    <col min="27" max="27" width="5.6640625" bestFit="1" customWidth="1"/>
    <col min="28" max="28" width="6.6640625" bestFit="1" customWidth="1"/>
    <col min="29" max="29" width="6.109375" bestFit="1" customWidth="1"/>
    <col min="30" max="30" width="13.109375" bestFit="1" customWidth="1"/>
    <col min="31" max="38" width="10.88671875" bestFit="1" customWidth="1"/>
    <col min="39" max="39" width="13.109375" bestFit="1" customWidth="1"/>
  </cols>
  <sheetData>
    <row r="1" spans="2:18" s="11" customFormat="1" x14ac:dyDescent="0.25">
      <c r="M1" s="12"/>
    </row>
    <row r="2" spans="2:18" s="11" customFormat="1" x14ac:dyDescent="0.25">
      <c r="M2" s="12"/>
    </row>
    <row r="3" spans="2:18" s="11" customFormat="1" ht="25.05" customHeight="1" x14ac:dyDescent="0.25">
      <c r="C3" s="69" t="s">
        <v>2933</v>
      </c>
      <c r="M3" s="12"/>
    </row>
    <row r="4" spans="2:18" s="6" customFormat="1" ht="20.95" customHeight="1" x14ac:dyDescent="0.25">
      <c r="C4" s="90" t="s">
        <v>2524</v>
      </c>
      <c r="D4" s="69">
        <v>44105</v>
      </c>
      <c r="E4" s="69">
        <v>44136</v>
      </c>
      <c r="F4" s="69">
        <v>44166</v>
      </c>
      <c r="G4" s="69">
        <v>44197</v>
      </c>
      <c r="H4" s="69">
        <v>44228</v>
      </c>
      <c r="I4" s="69">
        <v>44256</v>
      </c>
      <c r="J4" s="144" t="s">
        <v>2927</v>
      </c>
      <c r="K4" s="70" t="s">
        <v>2958</v>
      </c>
      <c r="L4" s="70" t="s">
        <v>2523</v>
      </c>
      <c r="M4" s="5"/>
      <c r="O4" s="77" t="s">
        <v>164</v>
      </c>
      <c r="P4" s="77" t="s">
        <v>2540</v>
      </c>
      <c r="Q4" s="77" t="s">
        <v>29</v>
      </c>
      <c r="R4" s="77" t="s">
        <v>42</v>
      </c>
    </row>
    <row r="5" spans="2:18" s="11" customFormat="1" ht="14.4" customHeight="1" x14ac:dyDescent="0.25">
      <c r="B5" s="6"/>
      <c r="C5" s="83" t="s">
        <v>2526</v>
      </c>
      <c r="D5" s="113">
        <f>C80</f>
        <v>177</v>
      </c>
      <c r="E5" s="113">
        <f t="shared" ref="E5:J5" si="0">D80</f>
        <v>13</v>
      </c>
      <c r="F5" s="113">
        <f t="shared" si="0"/>
        <v>366</v>
      </c>
      <c r="G5" s="113">
        <f t="shared" si="0"/>
        <v>5</v>
      </c>
      <c r="H5" s="113">
        <f t="shared" si="0"/>
        <v>8</v>
      </c>
      <c r="I5" s="113">
        <f t="shared" si="0"/>
        <v>3</v>
      </c>
      <c r="J5" s="113">
        <f t="shared" si="0"/>
        <v>112</v>
      </c>
      <c r="K5" s="113">
        <v>0</v>
      </c>
      <c r="L5" s="113">
        <f>SUM(D5:K5)</f>
        <v>684</v>
      </c>
      <c r="M5" s="12"/>
      <c r="O5" s="74">
        <f>P80</f>
        <v>12</v>
      </c>
      <c r="P5" s="74">
        <f t="shared" ref="P5:R5" si="1">Q80</f>
        <v>123</v>
      </c>
      <c r="Q5" s="74">
        <f t="shared" si="1"/>
        <v>365</v>
      </c>
      <c r="R5" s="74">
        <f t="shared" si="1"/>
        <v>184</v>
      </c>
    </row>
    <row r="6" spans="2:18" s="11" customFormat="1" ht="14.4" customHeight="1" x14ac:dyDescent="0.25">
      <c r="B6" s="6"/>
      <c r="C6" s="83" t="s">
        <v>2525</v>
      </c>
      <c r="D6" s="74">
        <f>C71</f>
        <v>160</v>
      </c>
      <c r="E6" s="74">
        <f t="shared" ref="E6:J6" si="2">D71</f>
        <v>12</v>
      </c>
      <c r="F6" s="74">
        <f t="shared" si="2"/>
        <v>334</v>
      </c>
      <c r="G6" s="74">
        <f t="shared" si="2"/>
        <v>4</v>
      </c>
      <c r="H6" s="74">
        <f t="shared" si="2"/>
        <v>1</v>
      </c>
      <c r="I6" s="74">
        <f t="shared" si="2"/>
        <v>0</v>
      </c>
      <c r="J6" s="74">
        <f t="shared" si="2"/>
        <v>30</v>
      </c>
      <c r="K6" s="113">
        <v>0</v>
      </c>
      <c r="L6" s="113">
        <f t="shared" ref="L6" si="3">SUM(D6:K6)</f>
        <v>541</v>
      </c>
      <c r="M6" s="12"/>
      <c r="N6" s="104" t="s">
        <v>28</v>
      </c>
      <c r="O6" s="74">
        <f>GETPIVOTDATA("Vulnerability ID",$O$69,"Sev LVL","Critique","Statut Actuel 2",N6)</f>
        <v>11</v>
      </c>
      <c r="P6" s="74">
        <f>GETPIVOTDATA("Vulnerability ID",$O$69,"Sev LVL","Elvée","Statut Actuel 2","Fixed")</f>
        <v>114</v>
      </c>
      <c r="Q6" s="74">
        <f>GETPIVOTDATA("Vulnerability ID",$O$69,"Sev LVL","Moyen","Statut Actuel 2","Fixed")</f>
        <v>268</v>
      </c>
      <c r="R6" s="74">
        <f>GETPIVOTDATA("Vulnerability ID",$O$69,"Sev LVL","Faible","Statut Actuel 2","Fixed")</f>
        <v>148</v>
      </c>
    </row>
    <row r="7" spans="2:18" s="11" customFormat="1" ht="14.4" customHeight="1" x14ac:dyDescent="0.25">
      <c r="B7" s="6"/>
      <c r="C7" s="83" t="s">
        <v>2567</v>
      </c>
      <c r="D7" s="74">
        <f>D5-D6</f>
        <v>17</v>
      </c>
      <c r="E7" s="74">
        <f t="shared" ref="E7:I7" si="4">E5-E6</f>
        <v>1</v>
      </c>
      <c r="F7" s="74">
        <f t="shared" si="4"/>
        <v>32</v>
      </c>
      <c r="G7" s="74">
        <f t="shared" si="4"/>
        <v>1</v>
      </c>
      <c r="H7" s="74">
        <f t="shared" si="4"/>
        <v>7</v>
      </c>
      <c r="I7" s="74">
        <f t="shared" si="4"/>
        <v>3</v>
      </c>
      <c r="J7" s="74">
        <f>J5-J6</f>
        <v>82</v>
      </c>
      <c r="K7" s="113">
        <v>0</v>
      </c>
      <c r="L7" s="113">
        <f>SUM(D7:K7)</f>
        <v>143</v>
      </c>
      <c r="M7" s="12"/>
      <c r="O7" s="74">
        <f>O5-O6</f>
        <v>1</v>
      </c>
      <c r="P7" s="74">
        <f t="shared" ref="P7:R7" si="5">P5-P6</f>
        <v>9</v>
      </c>
      <c r="Q7" s="74">
        <f t="shared" si="5"/>
        <v>97</v>
      </c>
      <c r="R7" s="74">
        <f t="shared" si="5"/>
        <v>36</v>
      </c>
    </row>
    <row r="8" spans="2:18" s="11" customFormat="1" ht="14.4" customHeight="1" x14ac:dyDescent="0.25">
      <c r="B8" s="6"/>
      <c r="C8" s="83" t="s">
        <v>2527</v>
      </c>
      <c r="D8" s="114">
        <f>D6/D5</f>
        <v>0.903954802259887</v>
      </c>
      <c r="E8" s="114">
        <f t="shared" ref="E8:J8" si="6">E6/E5</f>
        <v>0.92307692307692313</v>
      </c>
      <c r="F8" s="114">
        <f t="shared" si="6"/>
        <v>0.91256830601092898</v>
      </c>
      <c r="G8" s="114">
        <f t="shared" si="6"/>
        <v>0.8</v>
      </c>
      <c r="H8" s="114">
        <f t="shared" si="6"/>
        <v>0.125</v>
      </c>
      <c r="I8" s="114">
        <f t="shared" si="6"/>
        <v>0</v>
      </c>
      <c r="J8" s="114">
        <f t="shared" si="6"/>
        <v>0.26785714285714285</v>
      </c>
      <c r="K8" s="114">
        <v>0</v>
      </c>
      <c r="L8" s="114">
        <f t="shared" ref="L8" si="7">L6/L5</f>
        <v>0.79093567251461994</v>
      </c>
      <c r="M8" s="12"/>
    </row>
    <row r="9" spans="2:18" s="85" customFormat="1" ht="16.05" customHeight="1" x14ac:dyDescent="0.25">
      <c r="M9" s="87"/>
    </row>
    <row r="10" spans="2:18" s="85" customFormat="1" ht="25.05" customHeight="1" x14ac:dyDescent="0.25">
      <c r="C10" s="69" t="s">
        <v>2934</v>
      </c>
      <c r="D10" s="69">
        <v>44105</v>
      </c>
      <c r="E10" s="69">
        <v>44136</v>
      </c>
      <c r="F10" s="69">
        <v>44166</v>
      </c>
      <c r="G10" s="69">
        <v>44197</v>
      </c>
      <c r="H10" s="69">
        <v>44228</v>
      </c>
      <c r="I10" s="69">
        <v>44256</v>
      </c>
      <c r="J10" s="70" t="s">
        <v>2927</v>
      </c>
      <c r="K10" s="70" t="s">
        <v>2958</v>
      </c>
      <c r="L10" s="70" t="s">
        <v>2523</v>
      </c>
      <c r="M10" s="87"/>
      <c r="O10" s="77" t="s">
        <v>164</v>
      </c>
      <c r="P10" s="77" t="s">
        <v>2540</v>
      </c>
      <c r="Q10" s="77" t="s">
        <v>29</v>
      </c>
      <c r="R10" s="77" t="s">
        <v>42</v>
      </c>
    </row>
    <row r="11" spans="2:18" s="85" customFormat="1" x14ac:dyDescent="0.25">
      <c r="C11" s="83" t="s">
        <v>2526</v>
      </c>
      <c r="D11" s="113">
        <f t="shared" ref="D11:J11" si="8">C112</f>
        <v>139</v>
      </c>
      <c r="E11" s="113">
        <f t="shared" si="8"/>
        <v>11</v>
      </c>
      <c r="F11" s="113">
        <f t="shared" si="8"/>
        <v>365</v>
      </c>
      <c r="G11" s="113">
        <f t="shared" si="8"/>
        <v>5</v>
      </c>
      <c r="H11" s="113">
        <f t="shared" si="8"/>
        <v>8</v>
      </c>
      <c r="I11" s="113">
        <f t="shared" si="8"/>
        <v>3</v>
      </c>
      <c r="J11" s="113">
        <f t="shared" si="8"/>
        <v>6</v>
      </c>
      <c r="K11" s="113">
        <v>0</v>
      </c>
      <c r="L11" s="113">
        <f>SUM(D11:K11)</f>
        <v>537</v>
      </c>
      <c r="M11" s="87"/>
      <c r="O11" s="74">
        <f>P112</f>
        <v>10</v>
      </c>
      <c r="P11" s="74">
        <f t="shared" ref="P11:R11" si="9">Q112</f>
        <v>110</v>
      </c>
      <c r="Q11" s="74">
        <f t="shared" si="9"/>
        <v>266</v>
      </c>
      <c r="R11" s="74">
        <f t="shared" si="9"/>
        <v>151</v>
      </c>
    </row>
    <row r="12" spans="2:18" s="85" customFormat="1" ht="16.05" customHeight="1" x14ac:dyDescent="0.25">
      <c r="C12" s="83" t="s">
        <v>2525</v>
      </c>
      <c r="D12" s="74">
        <f>C105</f>
        <v>132</v>
      </c>
      <c r="E12" s="74">
        <f t="shared" ref="E12:I12" si="10">D105</f>
        <v>10</v>
      </c>
      <c r="F12" s="74">
        <f t="shared" si="10"/>
        <v>333</v>
      </c>
      <c r="G12" s="74">
        <f t="shared" si="10"/>
        <v>4</v>
      </c>
      <c r="H12" s="74">
        <f t="shared" si="10"/>
        <v>1</v>
      </c>
      <c r="I12" s="74">
        <f t="shared" si="10"/>
        <v>0</v>
      </c>
      <c r="J12" s="74">
        <v>0</v>
      </c>
      <c r="K12" s="113">
        <v>0</v>
      </c>
      <c r="L12" s="113">
        <f t="shared" ref="L12" si="11">SUM(D12:K12)</f>
        <v>480</v>
      </c>
      <c r="M12" s="87"/>
      <c r="O12" s="74">
        <f>P105</f>
        <v>10</v>
      </c>
      <c r="P12" s="74">
        <f t="shared" ref="P12:R12" si="12">Q105</f>
        <v>110</v>
      </c>
      <c r="Q12" s="74">
        <f t="shared" si="12"/>
        <v>230</v>
      </c>
      <c r="R12" s="74">
        <f t="shared" si="12"/>
        <v>131</v>
      </c>
    </row>
    <row r="13" spans="2:18" s="85" customFormat="1" x14ac:dyDescent="0.25">
      <c r="C13" s="83" t="s">
        <v>2567</v>
      </c>
      <c r="D13" s="74">
        <f>D11-D12</f>
        <v>7</v>
      </c>
      <c r="E13" s="74">
        <f t="shared" ref="E13:J13" si="13">E11-E12</f>
        <v>1</v>
      </c>
      <c r="F13" s="74">
        <f t="shared" si="13"/>
        <v>32</v>
      </c>
      <c r="G13" s="74">
        <f t="shared" si="13"/>
        <v>1</v>
      </c>
      <c r="H13" s="74">
        <f t="shared" si="13"/>
        <v>7</v>
      </c>
      <c r="I13" s="74">
        <f t="shared" si="13"/>
        <v>3</v>
      </c>
      <c r="J13" s="74">
        <f t="shared" si="13"/>
        <v>6</v>
      </c>
      <c r="K13" s="113">
        <v>0</v>
      </c>
      <c r="L13" s="113">
        <f>SUM(D13:K13)</f>
        <v>57</v>
      </c>
      <c r="M13" s="87"/>
      <c r="O13" s="74">
        <f>O11-O12</f>
        <v>0</v>
      </c>
      <c r="P13" s="74">
        <f t="shared" ref="P13:R13" si="14">P11-P12</f>
        <v>0</v>
      </c>
      <c r="Q13" s="74">
        <f t="shared" si="14"/>
        <v>36</v>
      </c>
      <c r="R13" s="74">
        <f t="shared" si="14"/>
        <v>20</v>
      </c>
    </row>
    <row r="14" spans="2:18" s="85" customFormat="1" ht="28.8" customHeight="1" x14ac:dyDescent="0.25">
      <c r="C14" s="83" t="s">
        <v>2527</v>
      </c>
      <c r="D14" s="119">
        <f>D12/D11</f>
        <v>0.94964028776978415</v>
      </c>
      <c r="E14" s="119">
        <f t="shared" ref="E14:I14" si="15">E12/E11</f>
        <v>0.90909090909090906</v>
      </c>
      <c r="F14" s="119">
        <f t="shared" si="15"/>
        <v>0.9123287671232877</v>
      </c>
      <c r="G14" s="119">
        <f t="shared" si="15"/>
        <v>0.8</v>
      </c>
      <c r="H14" s="119">
        <f t="shared" si="15"/>
        <v>0.125</v>
      </c>
      <c r="I14" s="119">
        <f t="shared" si="15"/>
        <v>0</v>
      </c>
      <c r="J14" s="119">
        <v>0</v>
      </c>
      <c r="K14" s="119">
        <v>0</v>
      </c>
      <c r="L14" s="119">
        <f t="shared" ref="L14" si="16">L12/L11</f>
        <v>0.8938547486033519</v>
      </c>
      <c r="M14" s="87"/>
      <c r="O14" s="11"/>
      <c r="P14" s="11"/>
      <c r="Q14" s="11"/>
      <c r="R14" s="11"/>
    </row>
    <row r="15" spans="2:18" s="85" customFormat="1" ht="16.05" customHeight="1" x14ac:dyDescent="0.25">
      <c r="M15" s="87"/>
    </row>
    <row r="16" spans="2:18" s="11" customFormat="1" x14ac:dyDescent="0.25">
      <c r="D16" s="76"/>
      <c r="E16" s="76"/>
      <c r="F16" s="76"/>
      <c r="G16" s="76"/>
      <c r="H16" s="76"/>
      <c r="I16" s="76"/>
      <c r="J16" s="7"/>
      <c r="K16" s="7"/>
      <c r="L16" s="7"/>
      <c r="M16" s="12"/>
    </row>
    <row r="17" spans="2:18" s="11" customFormat="1" x14ac:dyDescent="0.25">
      <c r="D17" s="89"/>
      <c r="E17" s="89"/>
      <c r="F17" s="89"/>
      <c r="G17" s="89"/>
      <c r="H17" s="89"/>
      <c r="I17" s="89"/>
      <c r="J17" s="89"/>
      <c r="K17" s="89"/>
      <c r="L17" s="89"/>
      <c r="M17" s="12"/>
      <c r="O17" s="77" t="s">
        <v>164</v>
      </c>
      <c r="P17" s="77" t="s">
        <v>2540</v>
      </c>
      <c r="Q17" s="77" t="s">
        <v>29</v>
      </c>
      <c r="R17" s="77" t="s">
        <v>42</v>
      </c>
    </row>
    <row r="18" spans="2:18" s="115" customFormat="1" ht="15.05" x14ac:dyDescent="0.25">
      <c r="C18" s="111" t="s">
        <v>2563</v>
      </c>
      <c r="D18" s="116"/>
      <c r="E18" s="116"/>
      <c r="F18" s="116"/>
      <c r="G18" s="116"/>
      <c r="H18" s="116"/>
      <c r="I18" s="116"/>
      <c r="J18" s="116"/>
      <c r="K18" s="116"/>
      <c r="L18" s="116"/>
      <c r="M18" s="117"/>
      <c r="O18" s="116"/>
      <c r="P18" s="116"/>
      <c r="Q18" s="116"/>
      <c r="R18" s="116"/>
    </row>
    <row r="19" spans="2:18" s="6" customFormat="1" x14ac:dyDescent="0.25">
      <c r="B19" s="84"/>
      <c r="C19" s="82" t="s">
        <v>2931</v>
      </c>
      <c r="D19" s="86">
        <f>D5-D11</f>
        <v>38</v>
      </c>
      <c r="E19" s="86">
        <f t="shared" ref="E19:J19" si="17">E5-E11</f>
        <v>2</v>
      </c>
      <c r="F19" s="86">
        <f t="shared" si="17"/>
        <v>1</v>
      </c>
      <c r="G19" s="86">
        <f t="shared" si="17"/>
        <v>0</v>
      </c>
      <c r="H19" s="86">
        <f t="shared" si="17"/>
        <v>0</v>
      </c>
      <c r="I19" s="86">
        <f t="shared" si="17"/>
        <v>0</v>
      </c>
      <c r="J19" s="86">
        <f t="shared" si="17"/>
        <v>106</v>
      </c>
      <c r="K19" s="86">
        <v>0</v>
      </c>
      <c r="L19" s="86">
        <f>SUM(D19:K27)</f>
        <v>147</v>
      </c>
      <c r="M19" s="12"/>
      <c r="O19" s="118">
        <f>O5-O11</f>
        <v>2</v>
      </c>
      <c r="P19" s="118">
        <f t="shared" ref="P19:R19" si="18">P5-P11</f>
        <v>13</v>
      </c>
      <c r="Q19" s="118">
        <f t="shared" si="18"/>
        <v>99</v>
      </c>
      <c r="R19" s="118">
        <f t="shared" si="18"/>
        <v>33</v>
      </c>
    </row>
    <row r="20" spans="2:18" s="11" customFormat="1" hidden="1" x14ac:dyDescent="0.25">
      <c r="B20" s="21"/>
      <c r="C20" s="78"/>
      <c r="D20" s="79"/>
      <c r="E20" s="79"/>
      <c r="F20" s="79"/>
      <c r="G20" s="79"/>
      <c r="H20" s="79"/>
      <c r="I20" s="79"/>
      <c r="J20" s="80"/>
      <c r="K20" s="80"/>
      <c r="L20" s="80"/>
      <c r="M20" s="12"/>
      <c r="O20" s="80"/>
      <c r="P20" s="80"/>
      <c r="Q20" s="80"/>
      <c r="R20" s="80"/>
    </row>
    <row r="21" spans="2:18" s="11" customFormat="1" hidden="1" x14ac:dyDescent="0.25">
      <c r="B21" s="21"/>
      <c r="C21" s="78"/>
      <c r="D21" s="79"/>
      <c r="E21" s="79"/>
      <c r="F21" s="79"/>
      <c r="G21" s="79"/>
      <c r="H21" s="79"/>
      <c r="I21" s="79"/>
      <c r="J21" s="80"/>
      <c r="K21" s="80"/>
      <c r="L21" s="80"/>
      <c r="M21" s="12"/>
      <c r="O21" s="80"/>
      <c r="P21" s="80"/>
      <c r="Q21" s="80"/>
      <c r="R21" s="80"/>
    </row>
    <row r="22" spans="2:18" s="11" customFormat="1" hidden="1" x14ac:dyDescent="0.25">
      <c r="B22" s="21"/>
      <c r="C22" s="78"/>
      <c r="D22" s="79"/>
      <c r="E22" s="79"/>
      <c r="F22" s="79"/>
      <c r="G22" s="79"/>
      <c r="H22" s="79"/>
      <c r="I22" s="79"/>
      <c r="J22" s="80"/>
      <c r="K22" s="80"/>
      <c r="L22" s="80"/>
      <c r="M22" s="12"/>
      <c r="O22" s="80"/>
      <c r="P22" s="80"/>
      <c r="Q22" s="80"/>
      <c r="R22" s="80"/>
    </row>
    <row r="23" spans="2:18" s="11" customFormat="1" hidden="1" x14ac:dyDescent="0.25">
      <c r="B23" s="21"/>
      <c r="C23" s="78"/>
      <c r="D23" s="79"/>
      <c r="E23" s="79"/>
      <c r="F23" s="79"/>
      <c r="G23" s="79"/>
      <c r="H23" s="79"/>
      <c r="I23" s="79"/>
      <c r="J23" s="80"/>
      <c r="K23" s="80"/>
      <c r="L23" s="80"/>
      <c r="M23" s="12"/>
      <c r="O23" s="80"/>
      <c r="P23" s="80"/>
      <c r="Q23" s="80"/>
      <c r="R23" s="80"/>
    </row>
    <row r="24" spans="2:18" s="11" customFormat="1" hidden="1" x14ac:dyDescent="0.25">
      <c r="B24" s="21"/>
      <c r="C24" s="78"/>
      <c r="D24" s="79"/>
      <c r="E24" s="79"/>
      <c r="F24" s="79"/>
      <c r="G24" s="79"/>
      <c r="H24" s="79"/>
      <c r="I24" s="79"/>
      <c r="J24" s="80"/>
      <c r="K24" s="80"/>
      <c r="L24" s="80"/>
      <c r="M24" s="12"/>
      <c r="O24" s="80"/>
      <c r="P24" s="80"/>
      <c r="Q24" s="80"/>
      <c r="R24" s="80"/>
    </row>
    <row r="25" spans="2:18" s="11" customFormat="1" hidden="1" x14ac:dyDescent="0.25">
      <c r="B25" s="21"/>
      <c r="C25" s="78"/>
      <c r="D25" s="79"/>
      <c r="E25" s="79"/>
      <c r="F25" s="79"/>
      <c r="G25" s="79"/>
      <c r="H25" s="79"/>
      <c r="I25" s="79"/>
      <c r="J25" s="80"/>
      <c r="K25" s="80"/>
      <c r="L25" s="80"/>
      <c r="M25" s="12"/>
      <c r="O25" s="80"/>
      <c r="P25" s="80"/>
      <c r="Q25" s="80"/>
      <c r="R25" s="80"/>
    </row>
    <row r="26" spans="2:18" s="11" customFormat="1" hidden="1" x14ac:dyDescent="0.25">
      <c r="B26" s="21"/>
      <c r="C26" s="78"/>
      <c r="D26" s="79"/>
      <c r="E26" s="79"/>
      <c r="F26" s="79"/>
      <c r="G26" s="79"/>
      <c r="H26" s="79"/>
      <c r="I26" s="79"/>
      <c r="J26" s="80"/>
      <c r="K26" s="80"/>
      <c r="L26" s="80"/>
      <c r="M26" s="12"/>
      <c r="O26" s="80"/>
      <c r="P26" s="80"/>
      <c r="Q26" s="80"/>
      <c r="R26" s="80"/>
    </row>
    <row r="27" spans="2:18" s="11" customFormat="1" hidden="1" x14ac:dyDescent="0.25">
      <c r="B27" s="21"/>
      <c r="C27" s="78"/>
      <c r="D27" s="79"/>
      <c r="E27" s="79"/>
      <c r="F27" s="79"/>
      <c r="G27" s="79"/>
      <c r="H27" s="79"/>
      <c r="I27" s="79"/>
      <c r="J27" s="80"/>
      <c r="K27" s="80"/>
      <c r="L27" s="80"/>
      <c r="M27" s="12"/>
      <c r="O27" s="80"/>
      <c r="P27" s="80"/>
      <c r="Q27" s="80"/>
      <c r="R27" s="80"/>
    </row>
    <row r="28" spans="2:18" s="11" customFormat="1" ht="5.4" customHeight="1" x14ac:dyDescent="0.25">
      <c r="B28" s="21"/>
      <c r="C28" s="78"/>
      <c r="D28" s="79"/>
      <c r="E28" s="79"/>
      <c r="F28" s="79"/>
      <c r="G28" s="79"/>
      <c r="H28" s="79"/>
      <c r="I28" s="79"/>
      <c r="J28" s="80"/>
      <c r="K28" s="80"/>
      <c r="L28" s="80"/>
      <c r="M28" s="12"/>
      <c r="O28" s="80"/>
      <c r="P28" s="80"/>
      <c r="Q28" s="80"/>
      <c r="R28" s="80"/>
    </row>
    <row r="29" spans="2:18" s="6" customFormat="1" ht="22.75" customHeight="1" x14ac:dyDescent="0.25">
      <c r="B29" s="21"/>
      <c r="C29" s="82" t="s">
        <v>2932</v>
      </c>
      <c r="D29" s="86">
        <f t="shared" ref="D29:I29" si="19">SUM(D30:D34)</f>
        <v>4</v>
      </c>
      <c r="E29" s="86">
        <f t="shared" si="19"/>
        <v>1</v>
      </c>
      <c r="F29" s="86">
        <f t="shared" si="19"/>
        <v>31</v>
      </c>
      <c r="G29" s="86">
        <f t="shared" si="19"/>
        <v>0</v>
      </c>
      <c r="H29" s="86">
        <f t="shared" si="19"/>
        <v>5</v>
      </c>
      <c r="I29" s="86">
        <f t="shared" si="19"/>
        <v>0</v>
      </c>
      <c r="J29" s="86">
        <f>SUM(J30:J34)</f>
        <v>2</v>
      </c>
      <c r="K29" s="86">
        <f t="shared" ref="K29" si="20">SUM(K30:K34)</f>
        <v>0</v>
      </c>
      <c r="L29" s="86">
        <f>SUM(D29:K29)</f>
        <v>43</v>
      </c>
      <c r="M29" s="88"/>
      <c r="O29" s="77">
        <f>SUM(O30:O34)</f>
        <v>0</v>
      </c>
      <c r="P29" s="77">
        <f t="shared" ref="P29:R29" si="21">SUM(P30:P34)</f>
        <v>0</v>
      </c>
      <c r="Q29" s="77">
        <f t="shared" si="21"/>
        <v>25</v>
      </c>
      <c r="R29" s="77">
        <f t="shared" si="21"/>
        <v>18</v>
      </c>
    </row>
    <row r="30" spans="2:18" s="11" customFormat="1" x14ac:dyDescent="0.25">
      <c r="B30" s="112" t="s">
        <v>2558</v>
      </c>
      <c r="C30" s="81" t="s">
        <v>2955</v>
      </c>
      <c r="D30" s="79">
        <f>GETPIVOTDATA("Vulnerability ID",$B$103,"Date Scan",DATE(2020,10,20),"Statut Actuel 2",B30)</f>
        <v>0</v>
      </c>
      <c r="E30" s="79">
        <f>GETPIVOTDATA("Vulnerability ID",$B$103,"Date Scan",DATE(2020,11,20),"Statut Actuel 2",B30)</f>
        <v>0</v>
      </c>
      <c r="F30" s="79">
        <f>GETPIVOTDATA("Vulnerability ID",$B$103,"Date Scan",DATE(2020,12,20),"Statut Actuel 2",B30)</f>
        <v>30</v>
      </c>
      <c r="G30" s="79">
        <f>GETPIVOTDATA("Vulnerability ID",$B$69,"Date Scan",DATE(2021,1,1),"Statut Actuel 2",B30)</f>
        <v>0</v>
      </c>
      <c r="H30" s="79">
        <f>GETPIVOTDATA("Vulnerability ID",$B$103,"Date Scan",DATE(2021,2,20),"Statut Actuel 2",B30)</f>
        <v>0</v>
      </c>
      <c r="I30" s="79">
        <f>GETPIVOTDATA("Vulnerability ID",$B$69,"Date Scan",DATE(2021,3,20),"Statut Actuel 2",B30)</f>
        <v>0</v>
      </c>
      <c r="J30" s="80">
        <f>GETPIVOTDATA("Vulnerability ID",$B$103,"Date Scan","22/04/2021","Statut Actuel 2",B30)</f>
        <v>1</v>
      </c>
      <c r="K30" s="80">
        <v>0</v>
      </c>
      <c r="L30" s="80">
        <f>SUM(D30:J30)</f>
        <v>31</v>
      </c>
      <c r="M30" s="12"/>
      <c r="O30" s="80">
        <f>GETPIVOTDATA("Vulnerability ID",$O$105,"Sev LVL","Critique","Statut Actuel 2",B30)</f>
        <v>0</v>
      </c>
      <c r="P30" s="80">
        <f>GETPIVOTDATA("Vulnerability ID",$O$105,"Sev LVL","Elvée","Statut Actuel 2",B30)</f>
        <v>0</v>
      </c>
      <c r="Q30" s="80">
        <f>GETPIVOTDATA("Vulnerability ID",$O$105,"Sev LVL","Moyen","Statut Actuel 2",B30)</f>
        <v>15</v>
      </c>
      <c r="R30" s="80">
        <f>GETPIVOTDATA("Vulnerability ID",$O$105,"Sev LVL","Faible","Statut Actuel 2",B30)</f>
        <v>16</v>
      </c>
    </row>
    <row r="31" spans="2:18" s="11" customFormat="1" x14ac:dyDescent="0.25">
      <c r="B31" s="147" t="s">
        <v>2570</v>
      </c>
      <c r="C31" s="81" t="s">
        <v>2570</v>
      </c>
      <c r="D31" s="79">
        <f t="shared" ref="D31:D34" si="22">GETPIVOTDATA("Vulnerability ID",$B$103,"Date Scan",DATE(2020,10,20),"Statut Actuel 2",B31)</f>
        <v>2</v>
      </c>
      <c r="E31" s="79">
        <f t="shared" ref="E31:E34" si="23">GETPIVOTDATA("Vulnerability ID",$B$103,"Date Scan",DATE(2020,11,20),"Statut Actuel 2",B31)</f>
        <v>1</v>
      </c>
      <c r="F31" s="79">
        <f t="shared" ref="F31:F34" si="24">GETPIVOTDATA("Vulnerability ID",$B$103,"Date Scan",DATE(2020,12,20),"Statut Actuel 2",B31)</f>
        <v>0</v>
      </c>
      <c r="G31" s="79">
        <f t="shared" ref="G31:G34" si="25">GETPIVOTDATA("Vulnerability ID",$B$69,"Date Scan",DATE(2021,1,1),"Statut Actuel 2",B31)</f>
        <v>0</v>
      </c>
      <c r="H31" s="79">
        <f t="shared" ref="H31:H34" si="26">GETPIVOTDATA("Vulnerability ID",$B$103,"Date Scan",DATE(2021,2,20),"Statut Actuel 2",B31)</f>
        <v>0</v>
      </c>
      <c r="I31" s="79">
        <f t="shared" ref="I31:I34" si="27">GETPIVOTDATA("Vulnerability ID",$B$69,"Date Scan",DATE(2021,3,20),"Statut Actuel 2",B31)</f>
        <v>0</v>
      </c>
      <c r="J31" s="80">
        <f t="shared" ref="J31:J34" si="28">GETPIVOTDATA("Vulnerability ID",$B$103,"Date Scan","22/04/2021","Statut Actuel 2",B31)</f>
        <v>0</v>
      </c>
      <c r="K31" s="80">
        <v>0</v>
      </c>
      <c r="L31" s="80">
        <f t="shared" ref="L31:L34" si="29">SUM(D31:J31)</f>
        <v>3</v>
      </c>
      <c r="M31" s="12"/>
      <c r="O31" s="80">
        <f t="shared" ref="O31:O34" si="30">GETPIVOTDATA("Vulnerability ID",$O$105,"Sev LVL","Critique","Statut Actuel 2",B31)</f>
        <v>0</v>
      </c>
      <c r="P31" s="80">
        <f t="shared" ref="P31:P34" si="31">GETPIVOTDATA("Vulnerability ID",$O$105,"Sev LVL","Elvée","Statut Actuel 2",B31)</f>
        <v>0</v>
      </c>
      <c r="Q31" s="80">
        <f t="shared" ref="Q31:Q34" si="32">GETPIVOTDATA("Vulnerability ID",$O$105,"Sev LVL","Moyen","Statut Actuel 2",B31)</f>
        <v>2</v>
      </c>
      <c r="R31" s="80">
        <f t="shared" ref="R31:R34" si="33">GETPIVOTDATA("Vulnerability ID",$O$105,"Sev LVL","Faible","Statut Actuel 2",B31)</f>
        <v>1</v>
      </c>
    </row>
    <row r="32" spans="2:18" s="11" customFormat="1" x14ac:dyDescent="0.25">
      <c r="B32" s="147" t="s">
        <v>2929</v>
      </c>
      <c r="C32" s="81" t="s">
        <v>2929</v>
      </c>
      <c r="D32" s="79">
        <f t="shared" si="22"/>
        <v>1</v>
      </c>
      <c r="E32" s="79">
        <f t="shared" si="23"/>
        <v>0</v>
      </c>
      <c r="F32" s="79">
        <f t="shared" si="24"/>
        <v>0</v>
      </c>
      <c r="G32" s="79">
        <f t="shared" si="25"/>
        <v>0</v>
      </c>
      <c r="H32" s="79">
        <f t="shared" si="26"/>
        <v>4</v>
      </c>
      <c r="I32" s="79">
        <f t="shared" si="27"/>
        <v>0</v>
      </c>
      <c r="J32" s="80">
        <f t="shared" si="28"/>
        <v>0</v>
      </c>
      <c r="K32" s="80">
        <v>0</v>
      </c>
      <c r="L32" s="80">
        <f t="shared" si="29"/>
        <v>5</v>
      </c>
      <c r="M32" s="12"/>
      <c r="O32" s="80">
        <f t="shared" si="30"/>
        <v>0</v>
      </c>
      <c r="P32" s="80">
        <f t="shared" si="31"/>
        <v>0</v>
      </c>
      <c r="Q32" s="80">
        <f t="shared" si="32"/>
        <v>4</v>
      </c>
      <c r="R32" s="80">
        <f t="shared" si="33"/>
        <v>1</v>
      </c>
    </row>
    <row r="33" spans="2:19" s="6" customFormat="1" ht="16.399999999999999" customHeight="1" x14ac:dyDescent="0.25">
      <c r="B33" s="147" t="s">
        <v>2569</v>
      </c>
      <c r="C33" s="81" t="s">
        <v>2569</v>
      </c>
      <c r="D33" s="79">
        <f t="shared" si="22"/>
        <v>1</v>
      </c>
      <c r="E33" s="79">
        <f t="shared" si="23"/>
        <v>0</v>
      </c>
      <c r="F33" s="79">
        <f t="shared" si="24"/>
        <v>1</v>
      </c>
      <c r="G33" s="79">
        <f t="shared" si="25"/>
        <v>0</v>
      </c>
      <c r="H33" s="79">
        <f t="shared" si="26"/>
        <v>1</v>
      </c>
      <c r="I33" s="79">
        <f t="shared" si="27"/>
        <v>0</v>
      </c>
      <c r="J33" s="80">
        <f t="shared" si="28"/>
        <v>0</v>
      </c>
      <c r="K33" s="80">
        <v>0</v>
      </c>
      <c r="L33" s="80">
        <f>SUM(D33:J33)</f>
        <v>3</v>
      </c>
      <c r="M33" s="5"/>
      <c r="O33" s="80">
        <f t="shared" si="30"/>
        <v>0</v>
      </c>
      <c r="P33" s="80">
        <f t="shared" si="31"/>
        <v>0</v>
      </c>
      <c r="Q33" s="80">
        <f t="shared" si="32"/>
        <v>3</v>
      </c>
      <c r="R33" s="80">
        <f t="shared" si="33"/>
        <v>0</v>
      </c>
      <c r="S33" s="11"/>
    </row>
    <row r="34" spans="2:19" s="6" customFormat="1" ht="16.399999999999999" customHeight="1" x14ac:dyDescent="0.25">
      <c r="B34" s="147" t="s">
        <v>2568</v>
      </c>
      <c r="C34" s="81" t="s">
        <v>2568</v>
      </c>
      <c r="D34" s="79">
        <f t="shared" si="22"/>
        <v>0</v>
      </c>
      <c r="E34" s="79">
        <f t="shared" si="23"/>
        <v>0</v>
      </c>
      <c r="F34" s="79">
        <f t="shared" si="24"/>
        <v>0</v>
      </c>
      <c r="G34" s="79">
        <f t="shared" si="25"/>
        <v>0</v>
      </c>
      <c r="H34" s="79">
        <f t="shared" si="26"/>
        <v>0</v>
      </c>
      <c r="I34" s="79">
        <f t="shared" si="27"/>
        <v>0</v>
      </c>
      <c r="J34" s="80">
        <f t="shared" si="28"/>
        <v>1</v>
      </c>
      <c r="K34" s="80">
        <v>0</v>
      </c>
      <c r="L34" s="80">
        <f t="shared" si="29"/>
        <v>1</v>
      </c>
      <c r="M34" s="5"/>
      <c r="O34" s="80">
        <f t="shared" si="30"/>
        <v>0</v>
      </c>
      <c r="P34" s="80">
        <f t="shared" si="31"/>
        <v>0</v>
      </c>
      <c r="Q34" s="80">
        <f t="shared" si="32"/>
        <v>1</v>
      </c>
      <c r="R34" s="80">
        <f t="shared" si="33"/>
        <v>0</v>
      </c>
      <c r="S34" s="11"/>
    </row>
    <row r="35" spans="2:19" s="6" customFormat="1" ht="18" customHeight="1" x14ac:dyDescent="0.25">
      <c r="C35" s="82" t="s">
        <v>2566</v>
      </c>
      <c r="D35" s="86">
        <f>SUM(D36:D37)</f>
        <v>3</v>
      </c>
      <c r="E35" s="86">
        <f t="shared" ref="E35" si="34">SUM(E36:E37)</f>
        <v>0</v>
      </c>
      <c r="F35" s="86">
        <f t="shared" ref="F35" si="35">SUM(F36:F37)</f>
        <v>1</v>
      </c>
      <c r="G35" s="86">
        <f t="shared" ref="G35" si="36">SUM(G36:G37)</f>
        <v>1</v>
      </c>
      <c r="H35" s="86">
        <f t="shared" ref="H35" si="37">SUM(H36:H37)</f>
        <v>2</v>
      </c>
      <c r="I35" s="86">
        <f t="shared" ref="I35" si="38">SUM(I36:I37)</f>
        <v>3</v>
      </c>
      <c r="J35" s="86">
        <f t="shared" ref="J35" si="39">SUM(J36:J37)</f>
        <v>3</v>
      </c>
      <c r="K35" s="86">
        <v>0</v>
      </c>
      <c r="L35" s="86">
        <f>SUM(D35:K35)</f>
        <v>13</v>
      </c>
      <c r="M35" s="88"/>
      <c r="O35" s="77">
        <f>SUM(O36:O37)</f>
        <v>0</v>
      </c>
      <c r="P35" s="77">
        <f t="shared" ref="P35:R35" si="40">SUM(P36:P37)</f>
        <v>0</v>
      </c>
      <c r="Q35" s="77">
        <f t="shared" si="40"/>
        <v>11</v>
      </c>
      <c r="R35" s="77">
        <f t="shared" si="40"/>
        <v>2</v>
      </c>
    </row>
    <row r="36" spans="2:19" s="11" customFormat="1" x14ac:dyDescent="0.25">
      <c r="C36" s="78" t="s">
        <v>2572</v>
      </c>
      <c r="D36" s="79">
        <f>GETPIVOTDATA("Vulnerability ID",$B$103,"Date Scan",DATE(2020,10,20),"Statut Actuel 2",C36)</f>
        <v>3</v>
      </c>
      <c r="E36" s="79">
        <f>GETPIVOTDATA("Vulnerability ID",$B$103,"Date Scan",DATE(2020,11,20),"Statut Actuel 2",C36)</f>
        <v>0</v>
      </c>
      <c r="F36" s="79">
        <f t="shared" ref="F36" si="41">GETPIVOTDATA("Vulnerability ID",$B$103,"Date Scan",DATE(2020,12,20),"Statut Actuel 2",C36)</f>
        <v>1</v>
      </c>
      <c r="G36" s="79">
        <f t="shared" ref="G36" si="42">GETPIVOTDATA("Vulnerability ID",$B$69,"Date Scan",DATE(2021,1,1),"Statut Actuel 2",C36)</f>
        <v>1</v>
      </c>
      <c r="H36" s="79">
        <f t="shared" ref="H36" si="43">GETPIVOTDATA("Vulnerability ID",$B$103,"Date Scan",DATE(2021,2,20),"Statut Actuel 2",C36)</f>
        <v>2</v>
      </c>
      <c r="I36" s="79">
        <f t="shared" ref="I36" si="44">GETPIVOTDATA("Vulnerability ID",$B$69,"Date Scan",DATE(2021,3,20),"Statut Actuel 2",C36)</f>
        <v>3</v>
      </c>
      <c r="J36" s="80">
        <f>GETPIVOTDATA("Vulnerability ID",$B$69,"Date Scan","22/04/2021","Statut Actuel 2",C36)</f>
        <v>3</v>
      </c>
      <c r="K36" s="80">
        <v>0</v>
      </c>
      <c r="L36" s="80">
        <f>SUM(D36:K36)</f>
        <v>13</v>
      </c>
      <c r="M36" s="12"/>
      <c r="O36" s="80">
        <f>GETPIVOTDATA("Vulnerability ID",$O$69,"Sev LVL","Critique","Statut Actuel 2",C36)</f>
        <v>0</v>
      </c>
      <c r="P36" s="80">
        <f>GETPIVOTDATA("Vulnerability ID",$O$69,"Sev LVL","Elvée","Statut Actuel 2",C36)</f>
        <v>0</v>
      </c>
      <c r="Q36" s="80">
        <f>GETPIVOTDATA("Vulnerability ID",$O$69,"Sev LVL","Moyen","Statut Actuel 2",C36)</f>
        <v>11</v>
      </c>
      <c r="R36" s="80">
        <f>GETPIVOTDATA("Vulnerability ID",$O$69,"Sev LVL","Faible","Statut Actuel 2",C36)</f>
        <v>2</v>
      </c>
    </row>
    <row r="37" spans="2:19" s="11" customFormat="1" x14ac:dyDescent="0.25">
      <c r="C37" s="81"/>
      <c r="D37" s="79" t="str">
        <f>IFERROR(GETPIVOTDATA("Vulnerability ID",$B$69,"Date Scan",DATE(2020,10,20),"Statut Actuel 2",C37),"-")</f>
        <v>-</v>
      </c>
      <c r="E37" s="79" t="str">
        <f>IFERROR(GETPIVOTDATA("Vulnerability ID",$B$69,"Date Scan",DATE(2020,11,20),"Statut Actuel 2",C37),"-")</f>
        <v>-</v>
      </c>
      <c r="F37" s="79" t="str">
        <f>IFERROR(GETPIVOTDATA("Vulnerability ID",$B$69,"Date Scan",DATE(2020,12,20),"Statut Actuel 2",C37),"-")</f>
        <v>-</v>
      </c>
      <c r="G37" s="79" t="str">
        <f>IFERROR(GETPIVOTDATA("Vulnerability ID",$B$69,"Date Scan",DATE(2021,1,1),"Statut Actuel 2",C37),"-")</f>
        <v>-</v>
      </c>
      <c r="H37" s="79" t="str">
        <f>IFERROR(GETPIVOTDATA("Vulnerability ID",$B$69,"Date Scan",DATE(2021,2,20),"Statut Actuel 2",C37),"-")</f>
        <v>-</v>
      </c>
      <c r="I37" s="79" t="str">
        <f>IFERROR(GETPIVOTDATA("Vulnerability ID",$B$69,"Date Scan",DATE(2021,3,20),"Statut Actuel 2",C37),"-")</f>
        <v>-</v>
      </c>
      <c r="J37" s="79" t="str">
        <f>IFERROR(GETPIVOTDATA("Vulnerability ID",$B$69,"Date Scan",DATE(2021,3,20),"Statut Actuel 2",D37),"-")</f>
        <v>-</v>
      </c>
      <c r="K37" s="79"/>
      <c r="L37" s="80"/>
      <c r="M37" s="12"/>
      <c r="O37" s="80"/>
      <c r="P37" s="80"/>
      <c r="Q37" s="80"/>
      <c r="R37" s="80"/>
    </row>
    <row r="38" spans="2:19" s="11" customFormat="1" x14ac:dyDescent="0.25">
      <c r="M38" s="12"/>
    </row>
    <row r="39" spans="2:19" s="11" customFormat="1" x14ac:dyDescent="0.25">
      <c r="M39" s="12"/>
    </row>
    <row r="40" spans="2:19" s="11" customFormat="1" x14ac:dyDescent="0.25">
      <c r="M40" s="12"/>
    </row>
    <row r="41" spans="2:19" s="11" customFormat="1" x14ac:dyDescent="0.25">
      <c r="M41" s="12"/>
    </row>
    <row r="42" spans="2:19" s="11" customFormat="1" x14ac:dyDescent="0.25">
      <c r="M42" s="12"/>
    </row>
    <row r="43" spans="2:19" s="11" customFormat="1" x14ac:dyDescent="0.25">
      <c r="M43" s="12"/>
    </row>
    <row r="44" spans="2:19" s="11" customFormat="1" x14ac:dyDescent="0.25">
      <c r="M44" s="12"/>
    </row>
    <row r="45" spans="2:19" s="11" customFormat="1" x14ac:dyDescent="0.25">
      <c r="M45" s="12"/>
    </row>
    <row r="46" spans="2:19" s="11" customFormat="1" x14ac:dyDescent="0.25">
      <c r="M46" s="12"/>
    </row>
    <row r="47" spans="2:19" s="11" customFormat="1" x14ac:dyDescent="0.25"/>
    <row r="48" spans="2:19" s="11" customFormat="1" x14ac:dyDescent="0.25"/>
    <row r="49" spans="2:15" s="11" customFormat="1" x14ac:dyDescent="0.25"/>
    <row r="50" spans="2:15" s="11" customFormat="1" x14ac:dyDescent="0.25">
      <c r="E50" s="91"/>
      <c r="F50" s="91"/>
      <c r="G50" s="91"/>
      <c r="H50" s="91"/>
      <c r="M50" s="12"/>
    </row>
    <row r="51" spans="2:15" s="11" customFormat="1" x14ac:dyDescent="0.25">
      <c r="E51" s="91"/>
      <c r="F51" s="91"/>
      <c r="G51" s="91"/>
      <c r="H51" s="91"/>
      <c r="M51" s="12"/>
    </row>
    <row r="52" spans="2:15" s="11" customFormat="1" x14ac:dyDescent="0.25">
      <c r="E52" s="91"/>
      <c r="F52" s="91"/>
      <c r="G52" s="91"/>
      <c r="H52" s="91"/>
      <c r="M52" s="12"/>
    </row>
    <row r="53" spans="2:15" s="11" customFormat="1" x14ac:dyDescent="0.25">
      <c r="E53" s="91"/>
      <c r="F53" s="91"/>
      <c r="G53" s="91"/>
      <c r="H53" s="91"/>
      <c r="M53" s="12"/>
    </row>
    <row r="54" spans="2:15" s="11" customFormat="1" x14ac:dyDescent="0.25">
      <c r="E54" s="91"/>
      <c r="F54" s="91"/>
      <c r="G54" s="91"/>
      <c r="H54" s="91"/>
      <c r="M54" s="12"/>
    </row>
    <row r="55" spans="2:15" s="11" customFormat="1" x14ac:dyDescent="0.25">
      <c r="E55" s="91"/>
      <c r="F55" s="91"/>
      <c r="G55" s="91"/>
      <c r="H55" s="91"/>
      <c r="M55" s="12"/>
    </row>
    <row r="56" spans="2:15" s="11" customFormat="1" x14ac:dyDescent="0.25">
      <c r="E56" s="91"/>
      <c r="F56" s="91"/>
      <c r="G56" s="91"/>
      <c r="H56" s="91"/>
      <c r="M56" s="12"/>
    </row>
    <row r="57" spans="2:15" s="11" customFormat="1" x14ac:dyDescent="0.25">
      <c r="M57" s="12"/>
    </row>
    <row r="58" spans="2:15" s="11" customFormat="1" x14ac:dyDescent="0.25">
      <c r="M58" s="12"/>
    </row>
    <row r="59" spans="2:15" s="11" customFormat="1" x14ac:dyDescent="0.25">
      <c r="M59" s="12"/>
    </row>
    <row r="60" spans="2:15" s="11" customFormat="1" x14ac:dyDescent="0.25">
      <c r="M60" s="12"/>
    </row>
    <row r="61" spans="2:15" s="145" customFormat="1" x14ac:dyDescent="0.25">
      <c r="B61" s="145" t="s">
        <v>2960</v>
      </c>
      <c r="M61" s="146"/>
    </row>
    <row r="62" spans="2:15" s="11" customFormat="1" x14ac:dyDescent="0.25">
      <c r="M62" s="12"/>
    </row>
    <row r="63" spans="2:15" s="11" customFormat="1" x14ac:dyDescent="0.25">
      <c r="M63" s="12"/>
    </row>
    <row r="64" spans="2:15" s="11" customFormat="1" x14ac:dyDescent="0.25">
      <c r="B64" s="11" t="s">
        <v>2565</v>
      </c>
      <c r="M64" s="12"/>
      <c r="O64" s="11">
        <v>0</v>
      </c>
    </row>
    <row r="65" spans="2:39" s="11" customFormat="1" x14ac:dyDescent="0.25">
      <c r="B65" s="11" t="s">
        <v>2564</v>
      </c>
      <c r="M65" s="12"/>
    </row>
    <row r="66" spans="2:39" s="11" customFormat="1" x14ac:dyDescent="0.25">
      <c r="B66" s="15" t="s">
        <v>2547</v>
      </c>
      <c r="C66" s="11" t="s">
        <v>483</v>
      </c>
      <c r="M66" s="12"/>
      <c r="O66" s="15" t="s">
        <v>2547</v>
      </c>
      <c r="P66" s="11" t="s">
        <v>483</v>
      </c>
    </row>
    <row r="67" spans="2:39" s="11" customFormat="1" x14ac:dyDescent="0.25">
      <c r="B67" s="15" t="s">
        <v>2930</v>
      </c>
      <c r="C67" s="11" t="s">
        <v>481</v>
      </c>
      <c r="D67" s="53"/>
      <c r="E67" s="53"/>
      <c r="F67" s="53"/>
      <c r="G67" s="53"/>
      <c r="M67" s="12"/>
      <c r="O67" s="15" t="s">
        <v>2930</v>
      </c>
      <c r="P67" s="11" t="s">
        <v>481</v>
      </c>
      <c r="Q67" s="53"/>
      <c r="R67" s="53"/>
      <c r="S67" s="53"/>
      <c r="T67" s="53"/>
    </row>
    <row r="68" spans="2:39" s="11" customFormat="1" x14ac:dyDescent="0.25">
      <c r="C68" s="53"/>
      <c r="D68" s="53"/>
      <c r="E68" s="53"/>
      <c r="F68" s="53"/>
      <c r="G68" s="53"/>
      <c r="M68" s="12"/>
      <c r="P68" s="53"/>
      <c r="Q68" s="53"/>
      <c r="R68" s="53"/>
      <c r="S68" s="53"/>
      <c r="T68" s="53"/>
    </row>
    <row r="69" spans="2:39" s="11" customFormat="1" x14ac:dyDescent="0.25">
      <c r="B69" s="15" t="s">
        <v>482</v>
      </c>
      <c r="C69" s="15" t="s">
        <v>484</v>
      </c>
      <c r="D69" s="53"/>
      <c r="E69" s="53"/>
      <c r="F69" s="53"/>
      <c r="G69" s="53"/>
      <c r="H69" s="53"/>
      <c r="I69" s="53"/>
      <c r="J69" s="53"/>
      <c r="K69"/>
      <c r="L69"/>
      <c r="M69"/>
      <c r="N69"/>
      <c r="O69" s="15" t="s">
        <v>482</v>
      </c>
      <c r="P69" s="54" t="s">
        <v>484</v>
      </c>
      <c r="Q69" s="53"/>
      <c r="R69" s="53"/>
      <c r="S69" s="53"/>
      <c r="T69" s="53"/>
      <c r="U69"/>
      <c r="V69"/>
      <c r="W69"/>
      <c r="X69"/>
      <c r="Y69"/>
      <c r="Z69"/>
      <c r="AA69"/>
      <c r="AB69"/>
      <c r="AC69"/>
      <c r="AD69"/>
      <c r="AE69"/>
      <c r="AF69"/>
      <c r="AG69"/>
      <c r="AH69"/>
      <c r="AI69"/>
      <c r="AJ69"/>
      <c r="AK69"/>
      <c r="AL69"/>
      <c r="AM69"/>
    </row>
    <row r="70" spans="2:39" s="11" customFormat="1" x14ac:dyDescent="0.25">
      <c r="B70" s="15" t="s">
        <v>479</v>
      </c>
      <c r="C70" s="13">
        <v>44124</v>
      </c>
      <c r="D70" s="13">
        <v>44155</v>
      </c>
      <c r="E70" s="13">
        <v>44185</v>
      </c>
      <c r="F70" s="13">
        <v>44197</v>
      </c>
      <c r="G70" s="13">
        <v>44247</v>
      </c>
      <c r="H70" s="13">
        <v>44275</v>
      </c>
      <c r="I70" s="13" t="s">
        <v>2818</v>
      </c>
      <c r="J70" s="55" t="s">
        <v>480</v>
      </c>
      <c r="K70"/>
      <c r="L70"/>
      <c r="M70"/>
      <c r="N70"/>
      <c r="O70" s="15" t="s">
        <v>479</v>
      </c>
      <c r="P70" s="11" t="s">
        <v>164</v>
      </c>
      <c r="Q70" s="11" t="s">
        <v>2540</v>
      </c>
      <c r="R70" s="11" t="s">
        <v>29</v>
      </c>
      <c r="S70" s="11" t="s">
        <v>42</v>
      </c>
      <c r="T70" s="53" t="s">
        <v>480</v>
      </c>
      <c r="U70"/>
      <c r="V70"/>
      <c r="W70"/>
      <c r="X70"/>
      <c r="Y70"/>
      <c r="Z70"/>
      <c r="AA70"/>
      <c r="AB70"/>
      <c r="AC70"/>
      <c r="AD70"/>
      <c r="AE70"/>
      <c r="AF70"/>
      <c r="AG70"/>
      <c r="AH70"/>
      <c r="AI70"/>
      <c r="AJ70"/>
      <c r="AK70"/>
      <c r="AL70"/>
      <c r="AM70"/>
    </row>
    <row r="71" spans="2:39" s="11" customFormat="1" x14ac:dyDescent="0.25">
      <c r="B71" s="14" t="s">
        <v>28</v>
      </c>
      <c r="C71" s="56">
        <v>160</v>
      </c>
      <c r="D71" s="56">
        <v>12</v>
      </c>
      <c r="E71" s="56">
        <v>334</v>
      </c>
      <c r="F71" s="56">
        <v>4</v>
      </c>
      <c r="G71" s="56">
        <v>1</v>
      </c>
      <c r="H71" s="56"/>
      <c r="I71" s="56">
        <v>30</v>
      </c>
      <c r="J71" s="56">
        <v>541</v>
      </c>
      <c r="K71"/>
      <c r="L71"/>
      <c r="M71"/>
      <c r="N71"/>
      <c r="O71" s="14" t="s">
        <v>28</v>
      </c>
      <c r="P71" s="56">
        <v>11</v>
      </c>
      <c r="Q71" s="56">
        <v>114</v>
      </c>
      <c r="R71" s="56">
        <v>268</v>
      </c>
      <c r="S71" s="56">
        <v>148</v>
      </c>
      <c r="T71" s="56">
        <v>541</v>
      </c>
      <c r="U71"/>
      <c r="V71"/>
      <c r="W71"/>
      <c r="X71"/>
      <c r="Y71"/>
      <c r="Z71"/>
      <c r="AA71"/>
      <c r="AB71"/>
      <c r="AC71"/>
      <c r="AD71"/>
      <c r="AE71"/>
      <c r="AF71"/>
      <c r="AG71"/>
      <c r="AH71"/>
      <c r="AI71"/>
      <c r="AJ71"/>
      <c r="AK71"/>
      <c r="AL71"/>
      <c r="AM71"/>
    </row>
    <row r="72" spans="2:39" s="11" customFormat="1" x14ac:dyDescent="0.25">
      <c r="B72" s="14" t="s">
        <v>2926</v>
      </c>
      <c r="C72" s="56"/>
      <c r="D72" s="56"/>
      <c r="E72" s="56"/>
      <c r="F72" s="56"/>
      <c r="G72" s="56"/>
      <c r="H72" s="56"/>
      <c r="I72" s="56">
        <v>77</v>
      </c>
      <c r="J72" s="56">
        <v>77</v>
      </c>
      <c r="K72"/>
      <c r="L72"/>
      <c r="M72"/>
      <c r="N72"/>
      <c r="O72" s="14" t="s">
        <v>2926</v>
      </c>
      <c r="P72" s="56">
        <v>1</v>
      </c>
      <c r="Q72" s="56">
        <v>9</v>
      </c>
      <c r="R72" s="56">
        <v>55</v>
      </c>
      <c r="S72" s="56">
        <v>12</v>
      </c>
      <c r="T72" s="56">
        <v>77</v>
      </c>
      <c r="U72"/>
      <c r="V72"/>
      <c r="W72"/>
      <c r="X72"/>
      <c r="Y72"/>
      <c r="Z72"/>
      <c r="AA72"/>
      <c r="AB72"/>
      <c r="AC72"/>
      <c r="AD72"/>
      <c r="AE72"/>
      <c r="AF72"/>
      <c r="AG72"/>
      <c r="AH72"/>
      <c r="AI72"/>
      <c r="AJ72"/>
      <c r="AK72"/>
      <c r="AL72"/>
      <c r="AM72"/>
    </row>
    <row r="73" spans="2:39" x14ac:dyDescent="0.25">
      <c r="B73" s="75" t="s">
        <v>2558</v>
      </c>
      <c r="C73" s="56"/>
      <c r="D73" s="56"/>
      <c r="E73" s="56">
        <v>30</v>
      </c>
      <c r="F73" s="56"/>
      <c r="G73" s="56"/>
      <c r="H73" s="56"/>
      <c r="I73" s="56">
        <v>1</v>
      </c>
      <c r="J73" s="56">
        <v>31</v>
      </c>
      <c r="K73"/>
      <c r="L73"/>
      <c r="M73"/>
      <c r="N73"/>
      <c r="O73" s="75" t="s">
        <v>2558</v>
      </c>
      <c r="P73" s="56"/>
      <c r="Q73" s="56"/>
      <c r="R73" s="56">
        <v>15</v>
      </c>
      <c r="S73" s="56">
        <v>16</v>
      </c>
      <c r="T73" s="56">
        <v>31</v>
      </c>
    </row>
    <row r="74" spans="2:39" x14ac:dyDescent="0.25">
      <c r="B74" s="14" t="s">
        <v>2572</v>
      </c>
      <c r="C74" s="56">
        <v>3</v>
      </c>
      <c r="D74" s="56"/>
      <c r="E74" s="56">
        <v>1</v>
      </c>
      <c r="F74" s="56">
        <v>1</v>
      </c>
      <c r="G74" s="56">
        <v>2</v>
      </c>
      <c r="H74" s="56">
        <v>3</v>
      </c>
      <c r="I74" s="56">
        <v>3</v>
      </c>
      <c r="J74" s="56">
        <v>13</v>
      </c>
      <c r="K74"/>
      <c r="L74"/>
      <c r="M74"/>
      <c r="N74"/>
      <c r="O74" s="14" t="s">
        <v>2572</v>
      </c>
      <c r="P74" s="56"/>
      <c r="Q74" s="56"/>
      <c r="R74" s="56">
        <v>11</v>
      </c>
      <c r="S74" s="56">
        <v>2</v>
      </c>
      <c r="T74" s="56">
        <v>13</v>
      </c>
    </row>
    <row r="75" spans="2:39" x14ac:dyDescent="0.25">
      <c r="B75" s="14" t="s">
        <v>2571</v>
      </c>
      <c r="C75" s="56">
        <v>7</v>
      </c>
      <c r="D75" s="56"/>
      <c r="E75" s="56"/>
      <c r="F75" s="56"/>
      <c r="G75" s="56"/>
      <c r="H75" s="56"/>
      <c r="I75" s="56"/>
      <c r="J75" s="56">
        <v>7</v>
      </c>
      <c r="K75"/>
      <c r="L75"/>
      <c r="M75"/>
      <c r="N75"/>
      <c r="O75" s="14" t="s">
        <v>2571</v>
      </c>
      <c r="P75" s="56"/>
      <c r="Q75" s="56"/>
      <c r="R75" s="56">
        <v>4</v>
      </c>
      <c r="S75" s="56">
        <v>3</v>
      </c>
      <c r="T75" s="56">
        <v>7</v>
      </c>
    </row>
    <row r="76" spans="2:39" x14ac:dyDescent="0.25">
      <c r="B76" s="14" t="s">
        <v>2929</v>
      </c>
      <c r="C76" s="56">
        <v>1</v>
      </c>
      <c r="D76" s="56"/>
      <c r="E76" s="56"/>
      <c r="F76" s="56"/>
      <c r="G76" s="56">
        <v>4</v>
      </c>
      <c r="H76" s="56"/>
      <c r="I76" s="56"/>
      <c r="J76" s="56">
        <v>5</v>
      </c>
      <c r="K76"/>
      <c r="L76"/>
      <c r="M76"/>
      <c r="N76"/>
      <c r="O76" s="14" t="s">
        <v>2929</v>
      </c>
      <c r="P76" s="56"/>
      <c r="Q76" s="56"/>
      <c r="R76" s="56">
        <v>4</v>
      </c>
      <c r="S76" s="56">
        <v>1</v>
      </c>
      <c r="T76" s="56">
        <v>5</v>
      </c>
    </row>
    <row r="77" spans="2:39" x14ac:dyDescent="0.25">
      <c r="B77" s="14" t="s">
        <v>2568</v>
      </c>
      <c r="C77" s="56">
        <v>3</v>
      </c>
      <c r="D77" s="56"/>
      <c r="E77" s="56"/>
      <c r="F77" s="56"/>
      <c r="G77" s="56"/>
      <c r="H77" s="56"/>
      <c r="I77" s="56">
        <v>1</v>
      </c>
      <c r="J77" s="56">
        <v>4</v>
      </c>
      <c r="K77"/>
      <c r="L77"/>
      <c r="M77"/>
      <c r="N77"/>
      <c r="O77" s="14" t="s">
        <v>2568</v>
      </c>
      <c r="P77" s="56"/>
      <c r="Q77" s="56"/>
      <c r="R77" s="56">
        <v>3</v>
      </c>
      <c r="S77" s="56">
        <v>1</v>
      </c>
      <c r="T77" s="56">
        <v>4</v>
      </c>
    </row>
    <row r="78" spans="2:39" x14ac:dyDescent="0.25">
      <c r="B78" s="14" t="s">
        <v>2569</v>
      </c>
      <c r="C78" s="56">
        <v>1</v>
      </c>
      <c r="D78" s="56"/>
      <c r="E78" s="56">
        <v>1</v>
      </c>
      <c r="F78" s="56"/>
      <c r="G78" s="56">
        <v>1</v>
      </c>
      <c r="H78" s="56"/>
      <c r="I78" s="56"/>
      <c r="J78" s="56">
        <v>3</v>
      </c>
      <c r="K78"/>
      <c r="L78"/>
      <c r="M78"/>
      <c r="N78"/>
      <c r="O78" s="14" t="s">
        <v>2569</v>
      </c>
      <c r="P78" s="56"/>
      <c r="Q78" s="56"/>
      <c r="R78" s="56">
        <v>3</v>
      </c>
      <c r="S78" s="56"/>
      <c r="T78" s="56">
        <v>3</v>
      </c>
    </row>
    <row r="79" spans="2:39" x14ac:dyDescent="0.25">
      <c r="B79" s="14" t="s">
        <v>2570</v>
      </c>
      <c r="C79" s="56">
        <v>2</v>
      </c>
      <c r="D79" s="56">
        <v>1</v>
      </c>
      <c r="E79" s="56"/>
      <c r="F79" s="56"/>
      <c r="G79" s="56"/>
      <c r="H79" s="56"/>
      <c r="I79" s="56"/>
      <c r="J79" s="56">
        <v>3</v>
      </c>
      <c r="K79"/>
      <c r="L79"/>
      <c r="M79"/>
      <c r="N79"/>
      <c r="O79" s="14" t="s">
        <v>2570</v>
      </c>
      <c r="P79" s="56"/>
      <c r="Q79" s="56"/>
      <c r="R79" s="56">
        <v>2</v>
      </c>
      <c r="S79" s="56">
        <v>1</v>
      </c>
      <c r="T79" s="56">
        <v>3</v>
      </c>
    </row>
    <row r="80" spans="2:39" x14ac:dyDescent="0.25">
      <c r="B80" s="14" t="s">
        <v>480</v>
      </c>
      <c r="C80" s="56">
        <v>177</v>
      </c>
      <c r="D80" s="56">
        <v>13</v>
      </c>
      <c r="E80" s="56">
        <v>366</v>
      </c>
      <c r="F80" s="56">
        <v>5</v>
      </c>
      <c r="G80" s="56">
        <v>8</v>
      </c>
      <c r="H80" s="56">
        <v>3</v>
      </c>
      <c r="I80" s="56">
        <v>112</v>
      </c>
      <c r="J80" s="56">
        <v>684</v>
      </c>
      <c r="K80"/>
      <c r="L80"/>
      <c r="M80"/>
      <c r="N80"/>
      <c r="O80" s="14" t="s">
        <v>480</v>
      </c>
      <c r="P80" s="56">
        <v>12</v>
      </c>
      <c r="Q80" s="56">
        <v>123</v>
      </c>
      <c r="R80" s="56">
        <v>365</v>
      </c>
      <c r="S80" s="56">
        <v>184</v>
      </c>
      <c r="T80" s="56">
        <v>684</v>
      </c>
    </row>
    <row r="81" spans="2:20" x14ac:dyDescent="0.25">
      <c r="K81"/>
    </row>
    <row r="83" spans="2:20" s="11" customFormat="1" x14ac:dyDescent="0.25">
      <c r="B83"/>
      <c r="C83"/>
      <c r="D83"/>
      <c r="E83"/>
      <c r="F83"/>
      <c r="G83"/>
      <c r="H83"/>
      <c r="I83"/>
      <c r="J83"/>
      <c r="M83" s="12"/>
      <c r="O83"/>
      <c r="P83"/>
      <c r="Q83"/>
      <c r="R83"/>
      <c r="S83"/>
      <c r="T83"/>
    </row>
    <row r="84" spans="2:20" s="11" customFormat="1" x14ac:dyDescent="0.25">
      <c r="B84"/>
      <c r="C84"/>
      <c r="D84"/>
      <c r="E84"/>
      <c r="F84"/>
      <c r="G84"/>
      <c r="H84"/>
      <c r="I84"/>
      <c r="J84"/>
      <c r="M84" s="12"/>
      <c r="O84"/>
      <c r="P84"/>
      <c r="Q84"/>
      <c r="R84"/>
      <c r="S84"/>
      <c r="T84"/>
    </row>
    <row r="85" spans="2:20" s="11" customFormat="1" x14ac:dyDescent="0.25">
      <c r="B85"/>
      <c r="C85"/>
      <c r="D85"/>
      <c r="E85"/>
      <c r="F85"/>
      <c r="G85"/>
      <c r="H85"/>
      <c r="I85"/>
      <c r="J85"/>
      <c r="M85" s="12"/>
      <c r="O85"/>
      <c r="P85"/>
      <c r="Q85"/>
      <c r="R85"/>
      <c r="S85"/>
      <c r="T85"/>
    </row>
    <row r="86" spans="2:20" s="11" customFormat="1" x14ac:dyDescent="0.25">
      <c r="M86" s="12"/>
      <c r="O86"/>
      <c r="P86"/>
      <c r="Q86"/>
      <c r="R86"/>
      <c r="S86"/>
      <c r="T86"/>
    </row>
    <row r="87" spans="2:20" s="11" customFormat="1" x14ac:dyDescent="0.25">
      <c r="M87" s="12"/>
      <c r="O87"/>
      <c r="P87"/>
      <c r="Q87"/>
      <c r="R87"/>
      <c r="S87"/>
      <c r="T87"/>
    </row>
    <row r="88" spans="2:20" s="11" customFormat="1" x14ac:dyDescent="0.25">
      <c r="M88" s="12"/>
      <c r="O88"/>
      <c r="P88"/>
      <c r="Q88"/>
      <c r="R88"/>
      <c r="S88"/>
      <c r="T88"/>
    </row>
    <row r="89" spans="2:20" s="11" customFormat="1" x14ac:dyDescent="0.25">
      <c r="M89" s="12"/>
      <c r="O89"/>
      <c r="P89"/>
      <c r="Q89"/>
      <c r="R89"/>
      <c r="S89"/>
      <c r="T89"/>
    </row>
    <row r="90" spans="2:20" s="11" customFormat="1" x14ac:dyDescent="0.25">
      <c r="M90" s="12"/>
      <c r="O90"/>
      <c r="P90"/>
      <c r="Q90"/>
      <c r="R90"/>
      <c r="S90"/>
      <c r="T90"/>
    </row>
    <row r="91" spans="2:20" s="11" customFormat="1" x14ac:dyDescent="0.25">
      <c r="M91" s="12"/>
      <c r="O91"/>
      <c r="P91"/>
      <c r="Q91"/>
      <c r="R91"/>
      <c r="S91"/>
      <c r="T91"/>
    </row>
    <row r="92" spans="2:20" s="11" customFormat="1" x14ac:dyDescent="0.25">
      <c r="M92" s="12"/>
      <c r="O92"/>
      <c r="P92"/>
      <c r="Q92"/>
      <c r="R92"/>
      <c r="S92"/>
      <c r="T92"/>
    </row>
    <row r="93" spans="2:20" s="11" customFormat="1" x14ac:dyDescent="0.25">
      <c r="M93" s="12"/>
    </row>
    <row r="94" spans="2:20" s="11" customFormat="1" x14ac:dyDescent="0.25">
      <c r="M94" s="12"/>
    </row>
    <row r="95" spans="2:20" s="11" customFormat="1" x14ac:dyDescent="0.25">
      <c r="M95" s="12"/>
    </row>
    <row r="96" spans="2:20" s="11" customFormat="1" x14ac:dyDescent="0.25">
      <c r="M96" s="12"/>
    </row>
    <row r="97" spans="2:30" s="109" customFormat="1" x14ac:dyDescent="0.25">
      <c r="C97" s="109" t="s">
        <v>2959</v>
      </c>
      <c r="M97" s="110"/>
    </row>
    <row r="98" spans="2:30" s="11" customFormat="1" x14ac:dyDescent="0.25">
      <c r="B98" s="11" t="s">
        <v>2565</v>
      </c>
      <c r="M98" s="12"/>
    </row>
    <row r="99" spans="2:30" s="11" customFormat="1" x14ac:dyDescent="0.25">
      <c r="B99" s="11" t="s">
        <v>2564</v>
      </c>
      <c r="M99" s="12"/>
    </row>
    <row r="100" spans="2:30" s="11" customFormat="1" x14ac:dyDescent="0.25">
      <c r="B100" s="15" t="s">
        <v>2547</v>
      </c>
      <c r="C100" s="11" t="s">
        <v>483</v>
      </c>
      <c r="M100" s="12"/>
      <c r="O100" s="15" t="s">
        <v>2547</v>
      </c>
      <c r="P100" s="11" t="s">
        <v>483</v>
      </c>
    </row>
    <row r="101" spans="2:30" s="11" customFormat="1" x14ac:dyDescent="0.25">
      <c r="B101" s="15" t="s">
        <v>2930</v>
      </c>
      <c r="C101" s="11" t="s">
        <v>2489</v>
      </c>
      <c r="D101" s="53"/>
      <c r="E101" s="53"/>
      <c r="F101" s="53"/>
      <c r="G101" s="53"/>
      <c r="M101" s="12"/>
      <c r="O101" s="15" t="s">
        <v>2930</v>
      </c>
      <c r="P101" s="11" t="s">
        <v>2489</v>
      </c>
      <c r="Q101" s="53"/>
      <c r="R101" s="53"/>
      <c r="S101" s="53"/>
      <c r="T101" s="53"/>
    </row>
    <row r="102" spans="2:30" s="11" customFormat="1" x14ac:dyDescent="0.25">
      <c r="C102" s="53"/>
      <c r="D102" s="53"/>
      <c r="E102" s="53"/>
      <c r="F102" s="53"/>
      <c r="G102" s="53"/>
      <c r="M102" s="12"/>
      <c r="P102" s="53"/>
      <c r="Q102" s="53"/>
      <c r="R102" s="53"/>
      <c r="S102" s="53"/>
      <c r="T102" s="53"/>
    </row>
    <row r="103" spans="2:30" s="11" customFormat="1" x14ac:dyDescent="0.25">
      <c r="B103" s="15" t="s">
        <v>482</v>
      </c>
      <c r="C103" s="15" t="s">
        <v>484</v>
      </c>
      <c r="D103" s="53"/>
      <c r="E103" s="53"/>
      <c r="F103" s="53"/>
      <c r="G103" s="53"/>
      <c r="H103" s="53"/>
      <c r="I103" s="53"/>
      <c r="J103" s="53"/>
      <c r="K103" s="53"/>
      <c r="O103" s="15" t="s">
        <v>482</v>
      </c>
      <c r="P103" s="54" t="s">
        <v>484</v>
      </c>
      <c r="Q103" s="53"/>
      <c r="R103" s="53"/>
      <c r="S103" s="53"/>
      <c r="T103" s="53"/>
      <c r="U103"/>
    </row>
    <row r="104" spans="2:30" s="11" customFormat="1" x14ac:dyDescent="0.25">
      <c r="B104" s="15" t="s">
        <v>479</v>
      </c>
      <c r="C104" s="13">
        <v>44124</v>
      </c>
      <c r="D104" s="13">
        <v>44155</v>
      </c>
      <c r="E104" s="13">
        <v>44185</v>
      </c>
      <c r="F104" s="13">
        <v>44197</v>
      </c>
      <c r="G104" s="13">
        <v>44247</v>
      </c>
      <c r="H104" s="13">
        <v>44275</v>
      </c>
      <c r="I104" s="13" t="s">
        <v>2818</v>
      </c>
      <c r="J104" s="55" t="s">
        <v>480</v>
      </c>
      <c r="K104" s="55"/>
      <c r="L104" s="15"/>
      <c r="M104" s="15"/>
      <c r="N104" s="15"/>
      <c r="O104" s="15" t="s">
        <v>479</v>
      </c>
      <c r="P104" s="11" t="s">
        <v>164</v>
      </c>
      <c r="Q104" s="11" t="s">
        <v>2540</v>
      </c>
      <c r="R104" s="11" t="s">
        <v>29</v>
      </c>
      <c r="S104" s="11" t="s">
        <v>42</v>
      </c>
      <c r="T104" s="53" t="s">
        <v>480</v>
      </c>
      <c r="U104"/>
      <c r="V104" s="15"/>
      <c r="W104" s="15"/>
      <c r="X104" s="15"/>
      <c r="Y104" s="15"/>
      <c r="Z104" s="15"/>
      <c r="AA104" s="15"/>
      <c r="AB104" s="15"/>
      <c r="AC104" s="15"/>
      <c r="AD104" s="15"/>
    </row>
    <row r="105" spans="2:30" s="11" customFormat="1" x14ac:dyDescent="0.25">
      <c r="B105" s="14" t="s">
        <v>28</v>
      </c>
      <c r="C105" s="56">
        <v>132</v>
      </c>
      <c r="D105" s="56">
        <v>10</v>
      </c>
      <c r="E105" s="56">
        <v>333</v>
      </c>
      <c r="F105" s="56">
        <v>4</v>
      </c>
      <c r="G105" s="56">
        <v>1</v>
      </c>
      <c r="H105" s="56"/>
      <c r="I105" s="56">
        <v>1</v>
      </c>
      <c r="J105" s="56">
        <v>481</v>
      </c>
      <c r="K105" s="56"/>
      <c r="O105" s="14" t="s">
        <v>28</v>
      </c>
      <c r="P105" s="56">
        <v>10</v>
      </c>
      <c r="Q105" s="56">
        <v>110</v>
      </c>
      <c r="R105" s="56">
        <v>230</v>
      </c>
      <c r="S105" s="56">
        <v>131</v>
      </c>
      <c r="T105" s="56">
        <v>481</v>
      </c>
      <c r="U105"/>
      <c r="V105" s="15"/>
      <c r="W105" s="15"/>
      <c r="X105" s="15"/>
      <c r="Y105" s="15"/>
      <c r="Z105" s="15"/>
      <c r="AA105" s="15"/>
      <c r="AB105" s="15"/>
      <c r="AC105" s="15"/>
      <c r="AD105" s="15"/>
    </row>
    <row r="106" spans="2:30" s="11" customFormat="1" x14ac:dyDescent="0.25">
      <c r="B106" s="75" t="s">
        <v>2558</v>
      </c>
      <c r="C106" s="56"/>
      <c r="D106" s="56"/>
      <c r="E106" s="56">
        <v>30</v>
      </c>
      <c r="F106" s="56"/>
      <c r="G106" s="56"/>
      <c r="H106" s="56"/>
      <c r="I106" s="56">
        <v>1</v>
      </c>
      <c r="J106" s="56">
        <v>31</v>
      </c>
      <c r="K106" s="56"/>
      <c r="O106" s="75" t="s">
        <v>2558</v>
      </c>
      <c r="P106" s="56"/>
      <c r="Q106" s="56"/>
      <c r="R106" s="56">
        <v>15</v>
      </c>
      <c r="S106" s="56">
        <v>16</v>
      </c>
      <c r="T106" s="56">
        <v>31</v>
      </c>
      <c r="U106"/>
    </row>
    <row r="107" spans="2:30" s="11" customFormat="1" x14ac:dyDescent="0.25">
      <c r="B107" s="14" t="s">
        <v>2572</v>
      </c>
      <c r="C107" s="56">
        <v>3</v>
      </c>
      <c r="D107" s="56"/>
      <c r="E107" s="56">
        <v>1</v>
      </c>
      <c r="F107" s="56">
        <v>1</v>
      </c>
      <c r="G107" s="56">
        <v>2</v>
      </c>
      <c r="H107" s="56">
        <v>3</v>
      </c>
      <c r="I107" s="56">
        <v>3</v>
      </c>
      <c r="J107" s="56">
        <v>13</v>
      </c>
      <c r="K107" s="56"/>
      <c r="O107" s="14" t="s">
        <v>2572</v>
      </c>
      <c r="P107" s="56"/>
      <c r="Q107" s="56"/>
      <c r="R107" s="56">
        <v>11</v>
      </c>
      <c r="S107" s="56">
        <v>2</v>
      </c>
      <c r="T107" s="56">
        <v>13</v>
      </c>
      <c r="U107"/>
    </row>
    <row r="108" spans="2:30" s="11" customFormat="1" x14ac:dyDescent="0.25">
      <c r="B108" s="14" t="s">
        <v>2929</v>
      </c>
      <c r="C108" s="56">
        <v>1</v>
      </c>
      <c r="D108" s="56"/>
      <c r="E108" s="56"/>
      <c r="F108" s="56"/>
      <c r="G108" s="56">
        <v>4</v>
      </c>
      <c r="H108" s="56"/>
      <c r="I108" s="56"/>
      <c r="J108" s="56">
        <v>5</v>
      </c>
      <c r="K108" s="56"/>
      <c r="O108" s="14" t="s">
        <v>2929</v>
      </c>
      <c r="P108" s="56"/>
      <c r="Q108" s="56"/>
      <c r="R108" s="56">
        <v>4</v>
      </c>
      <c r="S108" s="56">
        <v>1</v>
      </c>
      <c r="T108" s="56">
        <v>5</v>
      </c>
      <c r="U108"/>
    </row>
    <row r="109" spans="2:30" s="11" customFormat="1" x14ac:dyDescent="0.25">
      <c r="B109" s="14" t="s">
        <v>2569</v>
      </c>
      <c r="C109" s="56">
        <v>1</v>
      </c>
      <c r="D109" s="56"/>
      <c r="E109" s="56">
        <v>1</v>
      </c>
      <c r="F109" s="56"/>
      <c r="G109" s="56">
        <v>1</v>
      </c>
      <c r="H109" s="56"/>
      <c r="I109" s="56"/>
      <c r="J109" s="56">
        <v>3</v>
      </c>
      <c r="K109" s="56"/>
      <c r="O109" s="14" t="s">
        <v>2569</v>
      </c>
      <c r="P109" s="56"/>
      <c r="Q109" s="56"/>
      <c r="R109" s="56">
        <v>3</v>
      </c>
      <c r="S109" s="56"/>
      <c r="T109" s="56">
        <v>3</v>
      </c>
      <c r="U109"/>
    </row>
    <row r="110" spans="2:30" s="11" customFormat="1" x14ac:dyDescent="0.25">
      <c r="B110" s="14" t="s">
        <v>2570</v>
      </c>
      <c r="C110" s="56">
        <v>2</v>
      </c>
      <c r="D110" s="56">
        <v>1</v>
      </c>
      <c r="E110" s="56"/>
      <c r="F110" s="56"/>
      <c r="G110" s="56"/>
      <c r="H110" s="56"/>
      <c r="I110" s="56"/>
      <c r="J110" s="56">
        <v>3</v>
      </c>
      <c r="K110" s="56"/>
      <c r="O110" s="14" t="s">
        <v>2570</v>
      </c>
      <c r="P110" s="56"/>
      <c r="Q110" s="56"/>
      <c r="R110" s="56">
        <v>2</v>
      </c>
      <c r="S110" s="56">
        <v>1</v>
      </c>
      <c r="T110" s="56">
        <v>3</v>
      </c>
      <c r="U110"/>
    </row>
    <row r="111" spans="2:30" s="11" customFormat="1" x14ac:dyDescent="0.25">
      <c r="B111" s="14" t="s">
        <v>2568</v>
      </c>
      <c r="C111" s="56"/>
      <c r="D111" s="56"/>
      <c r="E111" s="56"/>
      <c r="F111" s="56"/>
      <c r="G111" s="56"/>
      <c r="H111" s="56"/>
      <c r="I111" s="56">
        <v>1</v>
      </c>
      <c r="J111" s="56">
        <v>1</v>
      </c>
      <c r="K111" s="56"/>
      <c r="O111" s="14" t="s">
        <v>2568</v>
      </c>
      <c r="P111" s="56"/>
      <c r="Q111" s="56"/>
      <c r="R111" s="56">
        <v>1</v>
      </c>
      <c r="S111" s="56"/>
      <c r="T111" s="56">
        <v>1</v>
      </c>
      <c r="U111"/>
    </row>
    <row r="112" spans="2:30" s="11" customFormat="1" x14ac:dyDescent="0.25">
      <c r="B112" s="14" t="s">
        <v>480</v>
      </c>
      <c r="C112" s="56">
        <v>139</v>
      </c>
      <c r="D112" s="56">
        <v>11</v>
      </c>
      <c r="E112" s="56">
        <v>365</v>
      </c>
      <c r="F112" s="56">
        <v>5</v>
      </c>
      <c r="G112" s="56">
        <v>8</v>
      </c>
      <c r="H112" s="56">
        <v>3</v>
      </c>
      <c r="I112" s="56">
        <v>6</v>
      </c>
      <c r="J112" s="56">
        <v>537</v>
      </c>
      <c r="O112" s="14" t="s">
        <v>480</v>
      </c>
      <c r="P112" s="56">
        <v>10</v>
      </c>
      <c r="Q112" s="56">
        <v>110</v>
      </c>
      <c r="R112" s="56">
        <v>266</v>
      </c>
      <c r="S112" s="56">
        <v>151</v>
      </c>
      <c r="T112" s="56">
        <v>537</v>
      </c>
      <c r="U112"/>
    </row>
    <row r="113" spans="2:25" s="11" customFormat="1" x14ac:dyDescent="0.25">
      <c r="B113"/>
      <c r="C113"/>
      <c r="D113"/>
      <c r="E113"/>
      <c r="F113"/>
      <c r="G113"/>
      <c r="H113"/>
      <c r="I113"/>
      <c r="J113"/>
    </row>
    <row r="114" spans="2:25" s="11" customFormat="1" x14ac:dyDescent="0.25">
      <c r="B114"/>
      <c r="C114"/>
      <c r="D114"/>
      <c r="E114"/>
      <c r="F114"/>
      <c r="G114"/>
      <c r="H114"/>
      <c r="I114"/>
      <c r="J114"/>
      <c r="O114"/>
      <c r="P114"/>
      <c r="Q114"/>
      <c r="R114"/>
      <c r="S114"/>
      <c r="T114"/>
    </row>
    <row r="115" spans="2:25" s="11" customFormat="1" x14ac:dyDescent="0.25">
      <c r="B115"/>
      <c r="C115"/>
      <c r="D115"/>
      <c r="E115"/>
      <c r="F115"/>
      <c r="G115"/>
      <c r="H115"/>
      <c r="I115"/>
      <c r="J115"/>
      <c r="M115" s="12"/>
      <c r="O115"/>
      <c r="P115"/>
      <c r="Q115"/>
      <c r="R115"/>
      <c r="S115"/>
      <c r="T115"/>
    </row>
    <row r="116" spans="2:25" s="11" customFormat="1" x14ac:dyDescent="0.25">
      <c r="I116" s="11">
        <f>GETPIVOTDATA("Vulnerability ID",$B$103,"Statut Actuel 2","Fixed")-GETPIVOTDATA("Vulnerability ID",$B$103)</f>
        <v>-56</v>
      </c>
      <c r="M116" s="12"/>
      <c r="O116"/>
      <c r="P116"/>
      <c r="Q116"/>
      <c r="R116"/>
      <c r="S116"/>
      <c r="T116"/>
    </row>
    <row r="117" spans="2:25" s="11" customFormat="1" x14ac:dyDescent="0.25">
      <c r="M117" s="12"/>
    </row>
    <row r="118" spans="2:25" s="11" customFormat="1" x14ac:dyDescent="0.25">
      <c r="B118" s="15" t="s">
        <v>2547</v>
      </c>
      <c r="C118" s="11" t="s">
        <v>483</v>
      </c>
      <c r="M118" s="12"/>
      <c r="O118" s="15" t="s">
        <v>2547</v>
      </c>
      <c r="P118" s="11" t="s">
        <v>483</v>
      </c>
    </row>
    <row r="119" spans="2:25" s="11" customFormat="1" x14ac:dyDescent="0.25">
      <c r="B119" s="15" t="s">
        <v>2930</v>
      </c>
      <c r="C119" s="11" t="s">
        <v>2489</v>
      </c>
      <c r="D119" s="53"/>
      <c r="E119" s="53"/>
      <c r="F119" s="53"/>
      <c r="G119" s="53"/>
      <c r="M119" s="12"/>
      <c r="O119" s="15" t="s">
        <v>2930</v>
      </c>
      <c r="P119" s="11" t="s">
        <v>2489</v>
      </c>
      <c r="Q119" s="53"/>
      <c r="R119" s="53"/>
      <c r="S119" s="53"/>
      <c r="T119" s="53"/>
    </row>
    <row r="120" spans="2:25" s="11" customFormat="1" x14ac:dyDescent="0.25">
      <c r="C120" s="53"/>
      <c r="D120" s="53"/>
      <c r="E120" s="53"/>
      <c r="F120" s="53"/>
      <c r="G120" s="53"/>
      <c r="M120" s="12"/>
      <c r="P120" s="53"/>
      <c r="Q120" s="53"/>
      <c r="R120" s="53"/>
      <c r="S120" s="53"/>
      <c r="T120" s="53"/>
    </row>
    <row r="121" spans="2:25" s="11" customFormat="1" x14ac:dyDescent="0.25">
      <c r="B121" s="15" t="s">
        <v>482</v>
      </c>
      <c r="C121" s="15" t="s">
        <v>484</v>
      </c>
      <c r="D121" s="53"/>
      <c r="E121" s="53"/>
      <c r="F121" s="53"/>
      <c r="G121" s="53"/>
      <c r="H121" s="53"/>
      <c r="I121" s="53"/>
      <c r="J121"/>
      <c r="K121" s="53"/>
      <c r="O121" s="15" t="s">
        <v>482</v>
      </c>
      <c r="P121" s="54" t="s">
        <v>484</v>
      </c>
      <c r="Q121" s="53"/>
      <c r="R121" s="53"/>
      <c r="S121"/>
      <c r="T121"/>
    </row>
    <row r="122" spans="2:25" s="11" customFormat="1" x14ac:dyDescent="0.25">
      <c r="B122" s="15" t="s">
        <v>479</v>
      </c>
      <c r="C122" s="13">
        <v>44124</v>
      </c>
      <c r="D122" s="13">
        <v>44185</v>
      </c>
      <c r="E122" s="13">
        <v>44197</v>
      </c>
      <c r="F122" s="13">
        <v>44247</v>
      </c>
      <c r="G122" s="13">
        <v>44275</v>
      </c>
      <c r="H122" s="13" t="s">
        <v>2818</v>
      </c>
      <c r="I122" s="55" t="s">
        <v>480</v>
      </c>
      <c r="J122"/>
      <c r="K122" s="55"/>
      <c r="L122" s="15"/>
      <c r="M122" s="15"/>
      <c r="N122" s="15"/>
      <c r="O122" s="15" t="s">
        <v>479</v>
      </c>
      <c r="P122" s="11" t="s">
        <v>29</v>
      </c>
      <c r="Q122" s="11" t="s">
        <v>42</v>
      </c>
      <c r="R122" s="53" t="s">
        <v>480</v>
      </c>
      <c r="S122"/>
      <c r="T122"/>
      <c r="U122" s="15"/>
      <c r="V122" s="15"/>
      <c r="W122" s="15"/>
      <c r="X122" s="15"/>
      <c r="Y122" s="15"/>
    </row>
    <row r="123" spans="2:25" s="11" customFormat="1" x14ac:dyDescent="0.25">
      <c r="B123" s="14" t="s">
        <v>2572</v>
      </c>
      <c r="C123" s="56">
        <v>3</v>
      </c>
      <c r="D123" s="56">
        <v>1</v>
      </c>
      <c r="E123" s="56">
        <v>1</v>
      </c>
      <c r="F123" s="56">
        <v>2</v>
      </c>
      <c r="G123" s="56">
        <v>3</v>
      </c>
      <c r="H123" s="56">
        <v>3</v>
      </c>
      <c r="I123" s="56">
        <v>13</v>
      </c>
      <c r="J123"/>
      <c r="K123" s="56"/>
      <c r="O123" s="14" t="s">
        <v>2572</v>
      </c>
      <c r="P123" s="56">
        <v>11</v>
      </c>
      <c r="Q123" s="56">
        <v>2</v>
      </c>
      <c r="R123" s="56">
        <v>13</v>
      </c>
      <c r="S123"/>
      <c r="T123"/>
    </row>
    <row r="124" spans="2:25" s="11" customFormat="1" x14ac:dyDescent="0.25">
      <c r="B124" s="143" t="s">
        <v>2531</v>
      </c>
      <c r="C124" s="56"/>
      <c r="D124" s="56">
        <v>1</v>
      </c>
      <c r="E124" s="56"/>
      <c r="F124" s="56">
        <v>1</v>
      </c>
      <c r="G124" s="56"/>
      <c r="H124" s="56"/>
      <c r="I124" s="56">
        <v>2</v>
      </c>
      <c r="J124"/>
      <c r="K124" s="56"/>
      <c r="O124" s="143" t="s">
        <v>2531</v>
      </c>
      <c r="P124" s="56">
        <v>2</v>
      </c>
      <c r="Q124" s="56"/>
      <c r="R124" s="56">
        <v>2</v>
      </c>
      <c r="S124"/>
      <c r="T124"/>
    </row>
    <row r="125" spans="2:25" s="11" customFormat="1" x14ac:dyDescent="0.25">
      <c r="B125" s="143" t="s">
        <v>302</v>
      </c>
      <c r="C125" s="56">
        <v>1</v>
      </c>
      <c r="D125" s="56"/>
      <c r="E125" s="56"/>
      <c r="F125" s="56"/>
      <c r="G125" s="56"/>
      <c r="H125" s="56"/>
      <c r="I125" s="56">
        <v>1</v>
      </c>
      <c r="J125"/>
      <c r="O125" s="143" t="s">
        <v>302</v>
      </c>
      <c r="P125" s="56">
        <v>1</v>
      </c>
      <c r="Q125" s="56"/>
      <c r="R125" s="56">
        <v>1</v>
      </c>
      <c r="S125"/>
      <c r="T125"/>
    </row>
    <row r="126" spans="2:25" s="11" customFormat="1" x14ac:dyDescent="0.25">
      <c r="B126" s="143" t="s">
        <v>328</v>
      </c>
      <c r="C126" s="56"/>
      <c r="D126" s="56"/>
      <c r="E126" s="56"/>
      <c r="F126" s="56"/>
      <c r="G126" s="56">
        <v>2</v>
      </c>
      <c r="H126" s="56"/>
      <c r="I126" s="56">
        <v>2</v>
      </c>
      <c r="J126"/>
      <c r="O126" s="143" t="s">
        <v>328</v>
      </c>
      <c r="P126" s="56">
        <v>2</v>
      </c>
      <c r="Q126" s="56"/>
      <c r="R126" s="56">
        <v>2</v>
      </c>
      <c r="S126"/>
      <c r="T126"/>
    </row>
    <row r="127" spans="2:25" s="11" customFormat="1" x14ac:dyDescent="0.25">
      <c r="B127" s="143" t="s">
        <v>397</v>
      </c>
      <c r="C127" s="56">
        <v>2</v>
      </c>
      <c r="D127" s="56"/>
      <c r="E127" s="56"/>
      <c r="F127" s="56"/>
      <c r="G127" s="56"/>
      <c r="H127" s="56"/>
      <c r="I127" s="56">
        <v>2</v>
      </c>
      <c r="J127"/>
      <c r="O127" s="143" t="s">
        <v>397</v>
      </c>
      <c r="P127" s="56">
        <v>2</v>
      </c>
      <c r="Q127" s="56"/>
      <c r="R127" s="56">
        <v>2</v>
      </c>
      <c r="S127"/>
      <c r="T127"/>
    </row>
    <row r="128" spans="2:25" s="11" customFormat="1" x14ac:dyDescent="0.25">
      <c r="B128" s="143" t="s">
        <v>2546</v>
      </c>
      <c r="C128" s="56"/>
      <c r="D128" s="56"/>
      <c r="E128" s="56">
        <v>1</v>
      </c>
      <c r="F128" s="56">
        <v>1</v>
      </c>
      <c r="G128" s="56">
        <v>1</v>
      </c>
      <c r="H128" s="56"/>
      <c r="I128" s="56">
        <v>3</v>
      </c>
      <c r="J128"/>
      <c r="O128" s="143" t="s">
        <v>2546</v>
      </c>
      <c r="P128" s="56">
        <v>2</v>
      </c>
      <c r="Q128" s="56">
        <v>1</v>
      </c>
      <c r="R128" s="56">
        <v>3</v>
      </c>
      <c r="S128"/>
      <c r="T128"/>
    </row>
    <row r="129" spans="2:20" s="11" customFormat="1" x14ac:dyDescent="0.25">
      <c r="B129" s="143" t="s">
        <v>2957</v>
      </c>
      <c r="C129" s="56"/>
      <c r="D129" s="56"/>
      <c r="E129" s="56"/>
      <c r="F129" s="56"/>
      <c r="G129" s="56"/>
      <c r="H129" s="56">
        <v>3</v>
      </c>
      <c r="I129" s="56">
        <v>3</v>
      </c>
      <c r="J129"/>
      <c r="O129" s="143" t="s">
        <v>2957</v>
      </c>
      <c r="P129" s="56">
        <v>2</v>
      </c>
      <c r="Q129" s="56">
        <v>1</v>
      </c>
      <c r="R129" s="56">
        <v>3</v>
      </c>
      <c r="S129"/>
      <c r="T129"/>
    </row>
    <row r="130" spans="2:20" s="11" customFormat="1" x14ac:dyDescent="0.25">
      <c r="B130" s="14" t="s">
        <v>480</v>
      </c>
      <c r="C130" s="56">
        <v>3</v>
      </c>
      <c r="D130" s="56">
        <v>1</v>
      </c>
      <c r="E130" s="56">
        <v>1</v>
      </c>
      <c r="F130" s="56">
        <v>2</v>
      </c>
      <c r="G130" s="56">
        <v>3</v>
      </c>
      <c r="H130" s="56">
        <v>3</v>
      </c>
      <c r="I130" s="56">
        <v>13</v>
      </c>
      <c r="J130"/>
      <c r="M130" s="12"/>
      <c r="O130" s="14" t="s">
        <v>480</v>
      </c>
      <c r="P130" s="56">
        <v>11</v>
      </c>
      <c r="Q130" s="56">
        <v>2</v>
      </c>
      <c r="R130" s="56">
        <v>13</v>
      </c>
      <c r="S130"/>
    </row>
    <row r="131" spans="2:20" s="11" customFormat="1" x14ac:dyDescent="0.25">
      <c r="B131"/>
      <c r="C131"/>
      <c r="D131"/>
      <c r="E131"/>
      <c r="F131"/>
      <c r="G131"/>
      <c r="H131"/>
      <c r="I131"/>
      <c r="J131"/>
      <c r="M131" s="12"/>
      <c r="O131"/>
      <c r="P131"/>
      <c r="Q131"/>
      <c r="R131"/>
      <c r="S131"/>
    </row>
    <row r="132" spans="2:20" s="11" customFormat="1" x14ac:dyDescent="0.25">
      <c r="B132"/>
      <c r="C132"/>
      <c r="D132"/>
      <c r="E132"/>
      <c r="F132"/>
      <c r="G132"/>
      <c r="H132"/>
      <c r="I132"/>
      <c r="J132"/>
      <c r="M132" s="12"/>
      <c r="O132"/>
      <c r="P132"/>
      <c r="Q132"/>
      <c r="R132"/>
      <c r="S132"/>
    </row>
    <row r="133" spans="2:20" s="11" customFormat="1" x14ac:dyDescent="0.25">
      <c r="B133"/>
      <c r="C133"/>
      <c r="D133"/>
      <c r="E133"/>
      <c r="F133"/>
      <c r="G133"/>
      <c r="H133"/>
      <c r="I133"/>
      <c r="J133"/>
      <c r="M133" s="12"/>
      <c r="O133"/>
      <c r="P133"/>
      <c r="Q133"/>
      <c r="R133"/>
      <c r="S133"/>
    </row>
    <row r="134" spans="2:20" s="11" customFormat="1" x14ac:dyDescent="0.25">
      <c r="B134"/>
      <c r="C134"/>
      <c r="D134"/>
      <c r="E134"/>
      <c r="F134"/>
      <c r="G134"/>
      <c r="H134"/>
      <c r="I134"/>
      <c r="J134"/>
      <c r="M134" s="12"/>
      <c r="O134"/>
      <c r="P134"/>
      <c r="Q134"/>
      <c r="R134"/>
      <c r="S134"/>
    </row>
    <row r="135" spans="2:20" s="11" customFormat="1" x14ac:dyDescent="0.25">
      <c r="M135" s="12"/>
    </row>
    <row r="136" spans="2:20" s="11" customFormat="1" x14ac:dyDescent="0.25">
      <c r="M136" s="12"/>
    </row>
    <row r="137" spans="2:20" s="11" customFormat="1" x14ac:dyDescent="0.25">
      <c r="M137" s="12"/>
    </row>
    <row r="138" spans="2:20" s="11" customFormat="1" x14ac:dyDescent="0.25">
      <c r="M138" s="12"/>
    </row>
    <row r="139" spans="2:20" s="11" customFormat="1" x14ac:dyDescent="0.25">
      <c r="M139" s="12"/>
    </row>
    <row r="140" spans="2:20" s="11" customFormat="1" x14ac:dyDescent="0.25">
      <c r="M140" s="12"/>
    </row>
    <row r="141" spans="2:20" s="11" customFormat="1" x14ac:dyDescent="0.25">
      <c r="M141" s="12"/>
    </row>
    <row r="142" spans="2:20" s="11" customFormat="1" x14ac:dyDescent="0.25">
      <c r="M142" s="12"/>
    </row>
    <row r="143" spans="2:20" s="11" customFormat="1" x14ac:dyDescent="0.25">
      <c r="M143" s="12"/>
    </row>
    <row r="144" spans="2:20" s="11" customFormat="1" x14ac:dyDescent="0.25">
      <c r="M144" s="12"/>
    </row>
    <row r="145" spans="13:13" s="11" customFormat="1" x14ac:dyDescent="0.25">
      <c r="M145" s="12"/>
    </row>
    <row r="146" spans="13:13" s="11" customFormat="1" x14ac:dyDescent="0.25">
      <c r="M146" s="12"/>
    </row>
    <row r="147" spans="13:13" s="11" customFormat="1" x14ac:dyDescent="0.25">
      <c r="M147" s="12"/>
    </row>
    <row r="148" spans="13:13" s="11" customFormat="1" x14ac:dyDescent="0.25">
      <c r="M148" s="12"/>
    </row>
    <row r="149" spans="13:13" s="11" customFormat="1" x14ac:dyDescent="0.25">
      <c r="M149" s="12"/>
    </row>
    <row r="150" spans="13:13" s="11" customFormat="1" x14ac:dyDescent="0.25">
      <c r="M150" s="12"/>
    </row>
    <row r="151" spans="13:13" s="11" customFormat="1" x14ac:dyDescent="0.25">
      <c r="M151" s="12"/>
    </row>
    <row r="152" spans="13:13" s="11" customFormat="1" x14ac:dyDescent="0.25">
      <c r="M152" s="12"/>
    </row>
    <row r="153" spans="13:13" s="11" customFormat="1" x14ac:dyDescent="0.25">
      <c r="M153" s="12"/>
    </row>
    <row r="154" spans="13:13" s="11" customFormat="1" x14ac:dyDescent="0.25">
      <c r="M154" s="12"/>
    </row>
    <row r="155" spans="13:13" s="11" customFormat="1" x14ac:dyDescent="0.25">
      <c r="M155" s="12"/>
    </row>
    <row r="156" spans="13:13" s="11" customFormat="1" x14ac:dyDescent="0.25">
      <c r="M156" s="12"/>
    </row>
    <row r="157" spans="13:13" s="11" customFormat="1" x14ac:dyDescent="0.25">
      <c r="M157" s="12"/>
    </row>
    <row r="158" spans="13:13" s="11" customFormat="1" x14ac:dyDescent="0.25">
      <c r="M158" s="12"/>
    </row>
    <row r="159" spans="13:13" s="11" customFormat="1" x14ac:dyDescent="0.25">
      <c r="M159" s="12"/>
    </row>
    <row r="160" spans="13:13" s="11" customFormat="1" x14ac:dyDescent="0.25">
      <c r="M160" s="12"/>
    </row>
    <row r="161" spans="13:13" s="11" customFormat="1" x14ac:dyDescent="0.25">
      <c r="M161" s="12"/>
    </row>
    <row r="162" spans="13:13" s="11" customFormat="1" x14ac:dyDescent="0.25">
      <c r="M162" s="12"/>
    </row>
    <row r="163" spans="13:13" s="11" customFormat="1" x14ac:dyDescent="0.25">
      <c r="M163" s="12"/>
    </row>
    <row r="164" spans="13:13" s="11" customFormat="1" x14ac:dyDescent="0.25">
      <c r="M164" s="12"/>
    </row>
    <row r="165" spans="13:13" s="11" customFormat="1" x14ac:dyDescent="0.25">
      <c r="M165" s="12"/>
    </row>
    <row r="166" spans="13:13" s="11" customFormat="1" x14ac:dyDescent="0.25">
      <c r="M166" s="12"/>
    </row>
    <row r="167" spans="13:13" s="11" customFormat="1" x14ac:dyDescent="0.25">
      <c r="M167" s="12"/>
    </row>
    <row r="168" spans="13:13" s="11" customFormat="1" x14ac:dyDescent="0.25">
      <c r="M168" s="12"/>
    </row>
    <row r="169" spans="13:13" s="11" customFormat="1" x14ac:dyDescent="0.25">
      <c r="M169" s="12"/>
    </row>
    <row r="170" spans="13:13" s="11" customFormat="1" x14ac:dyDescent="0.25">
      <c r="M170" s="12"/>
    </row>
    <row r="171" spans="13:13" s="11" customFormat="1" x14ac:dyDescent="0.25">
      <c r="M171" s="12"/>
    </row>
    <row r="172" spans="13:13" s="11" customFormat="1" x14ac:dyDescent="0.25">
      <c r="M172" s="12"/>
    </row>
    <row r="173" spans="13:13" s="11" customFormat="1" x14ac:dyDescent="0.25">
      <c r="M173" s="12"/>
    </row>
    <row r="174" spans="13:13" s="11" customFormat="1" x14ac:dyDescent="0.25">
      <c r="M174" s="12"/>
    </row>
    <row r="175" spans="13:13" s="11" customFormat="1" x14ac:dyDescent="0.25">
      <c r="M175" s="12"/>
    </row>
    <row r="176" spans="13:13" s="11" customFormat="1" x14ac:dyDescent="0.25">
      <c r="M176" s="12"/>
    </row>
    <row r="177" spans="13:13" s="11" customFormat="1" x14ac:dyDescent="0.25">
      <c r="M177" s="12"/>
    </row>
    <row r="178" spans="13:13" s="11" customFormat="1" x14ac:dyDescent="0.25">
      <c r="M178" s="12"/>
    </row>
    <row r="179" spans="13:13" s="11" customFormat="1" x14ac:dyDescent="0.25">
      <c r="M179" s="12"/>
    </row>
    <row r="180" spans="13:13" s="11" customFormat="1" x14ac:dyDescent="0.25">
      <c r="M180" s="12"/>
    </row>
    <row r="181" spans="13:13" s="11" customFormat="1" x14ac:dyDescent="0.25">
      <c r="M181" s="12"/>
    </row>
    <row r="182" spans="13:13" s="11" customFormat="1" x14ac:dyDescent="0.25">
      <c r="M182" s="12"/>
    </row>
    <row r="183" spans="13:13" s="11" customFormat="1" x14ac:dyDescent="0.25">
      <c r="M183" s="12"/>
    </row>
    <row r="184" spans="13:13" s="11" customFormat="1" x14ac:dyDescent="0.25">
      <c r="M184" s="12"/>
    </row>
    <row r="185" spans="13:13" s="11" customFormat="1" x14ac:dyDescent="0.25">
      <c r="M185" s="12"/>
    </row>
    <row r="186" spans="13:13" s="11" customFormat="1" x14ac:dyDescent="0.25">
      <c r="M186" s="12"/>
    </row>
    <row r="187" spans="13:13" s="11" customFormat="1" x14ac:dyDescent="0.25">
      <c r="M187" s="12"/>
    </row>
    <row r="188" spans="13:13" s="11" customFormat="1" x14ac:dyDescent="0.25">
      <c r="M188" s="12"/>
    </row>
    <row r="189" spans="13:13" s="11" customFormat="1" x14ac:dyDescent="0.25">
      <c r="M189" s="12"/>
    </row>
    <row r="190" spans="13:13" s="11" customFormat="1" x14ac:dyDescent="0.25">
      <c r="M190" s="12"/>
    </row>
    <row r="191" spans="13:13" s="11" customFormat="1" x14ac:dyDescent="0.25">
      <c r="M191" s="12"/>
    </row>
    <row r="192" spans="13:13" s="11" customFormat="1" x14ac:dyDescent="0.25">
      <c r="M192" s="12"/>
    </row>
    <row r="193" spans="2:13" s="11" customFormat="1" x14ac:dyDescent="0.25">
      <c r="M193" s="12"/>
    </row>
    <row r="194" spans="2:13" s="11" customFormat="1" x14ac:dyDescent="0.25">
      <c r="M194" s="12"/>
    </row>
    <row r="201" spans="2:13" s="11" customFormat="1" x14ac:dyDescent="0.25">
      <c r="M201" s="12"/>
    </row>
    <row r="202" spans="2:13" s="11" customFormat="1" x14ac:dyDescent="0.25">
      <c r="M202" s="12"/>
    </row>
    <row r="203" spans="2:13" s="11" customFormat="1" x14ac:dyDescent="0.25">
      <c r="M203" s="12"/>
    </row>
    <row r="204" spans="2:13" x14ac:dyDescent="0.25">
      <c r="B204" s="15" t="s">
        <v>2547</v>
      </c>
      <c r="C204" s="11" t="s">
        <v>481</v>
      </c>
      <c r="D204" s="53"/>
      <c r="E204" s="53"/>
      <c r="F204" s="53"/>
      <c r="G204" s="53"/>
    </row>
    <row r="205" spans="2:13" x14ac:dyDescent="0.25">
      <c r="B205" s="11"/>
      <c r="C205" s="53"/>
      <c r="D205" s="53"/>
      <c r="E205" s="53"/>
      <c r="F205" s="53"/>
      <c r="G205" s="53"/>
    </row>
    <row r="206" spans="2:13" x14ac:dyDescent="0.25">
      <c r="B206" s="15" t="s">
        <v>482</v>
      </c>
      <c r="C206" s="15" t="s">
        <v>484</v>
      </c>
      <c r="D206" s="53"/>
      <c r="E206" s="53"/>
      <c r="F206" s="53"/>
      <c r="G206" s="53"/>
      <c r="H206" s="53"/>
      <c r="I206" s="53"/>
    </row>
    <row r="207" spans="2:13" x14ac:dyDescent="0.25">
      <c r="B207" s="15" t="s">
        <v>479</v>
      </c>
      <c r="C207" s="13">
        <v>44124</v>
      </c>
      <c r="D207" s="13">
        <v>44155</v>
      </c>
      <c r="E207" s="13">
        <v>44197</v>
      </c>
      <c r="F207" s="13">
        <v>44185</v>
      </c>
      <c r="G207" s="13">
        <v>44247</v>
      </c>
      <c r="H207" s="13">
        <v>44275</v>
      </c>
      <c r="I207" s="55" t="s">
        <v>480</v>
      </c>
    </row>
    <row r="208" spans="2:13" x14ac:dyDescent="0.25">
      <c r="B208" s="14" t="s">
        <v>28</v>
      </c>
      <c r="C208" s="56">
        <v>160</v>
      </c>
      <c r="D208" s="56">
        <v>12</v>
      </c>
      <c r="E208" s="56">
        <v>4</v>
      </c>
      <c r="F208" s="56">
        <v>334</v>
      </c>
      <c r="G208" s="56">
        <v>1</v>
      </c>
      <c r="H208" s="56"/>
      <c r="I208" s="56">
        <v>511</v>
      </c>
    </row>
    <row r="209" spans="2:13" x14ac:dyDescent="0.25">
      <c r="B209" s="14" t="s">
        <v>2558</v>
      </c>
      <c r="C209" s="56"/>
      <c r="D209" s="56"/>
      <c r="E209" s="56"/>
      <c r="F209" s="56">
        <v>30</v>
      </c>
      <c r="G209" s="56"/>
      <c r="H209" s="56"/>
      <c r="I209" s="56">
        <v>30</v>
      </c>
    </row>
    <row r="210" spans="2:13" x14ac:dyDescent="0.25">
      <c r="B210" s="14" t="s">
        <v>2572</v>
      </c>
      <c r="C210" s="56">
        <v>3</v>
      </c>
      <c r="D210" s="56"/>
      <c r="E210" s="56">
        <v>1</v>
      </c>
      <c r="F210" s="56">
        <v>1</v>
      </c>
      <c r="G210" s="56">
        <v>2</v>
      </c>
      <c r="H210" s="56">
        <v>3</v>
      </c>
      <c r="I210" s="56">
        <v>10</v>
      </c>
    </row>
    <row r="211" spans="2:13" s="11" customFormat="1" x14ac:dyDescent="0.25">
      <c r="B211" s="14" t="s">
        <v>2571</v>
      </c>
      <c r="C211" s="56">
        <v>7</v>
      </c>
      <c r="D211" s="56"/>
      <c r="E211" s="56"/>
      <c r="F211" s="56"/>
      <c r="G211" s="56"/>
      <c r="H211" s="56"/>
      <c r="I211" s="56">
        <v>7</v>
      </c>
      <c r="J211"/>
      <c r="M211" s="12"/>
    </row>
    <row r="212" spans="2:13" s="11" customFormat="1" x14ac:dyDescent="0.25">
      <c r="B212" s="14" t="s">
        <v>2569</v>
      </c>
      <c r="C212" s="56">
        <v>1</v>
      </c>
      <c r="D212" s="56"/>
      <c r="E212" s="56"/>
      <c r="F212" s="56">
        <v>1</v>
      </c>
      <c r="G212" s="56">
        <v>1</v>
      </c>
      <c r="H212" s="56"/>
      <c r="I212" s="56">
        <v>3</v>
      </c>
      <c r="J212"/>
      <c r="M212" s="12"/>
    </row>
    <row r="213" spans="2:13" s="11" customFormat="1" x14ac:dyDescent="0.25">
      <c r="B213" s="14" t="s">
        <v>2568</v>
      </c>
      <c r="C213" s="56">
        <v>3</v>
      </c>
      <c r="D213" s="56"/>
      <c r="E213" s="56"/>
      <c r="F213" s="56"/>
      <c r="G213" s="56"/>
      <c r="H213" s="56"/>
      <c r="I213" s="56">
        <v>3</v>
      </c>
      <c r="J213"/>
      <c r="M213" s="12"/>
    </row>
    <row r="214" spans="2:13" s="11" customFormat="1" x14ac:dyDescent="0.25">
      <c r="B214" s="14" t="s">
        <v>2570</v>
      </c>
      <c r="C214" s="56">
        <v>2</v>
      </c>
      <c r="D214" s="56">
        <v>1</v>
      </c>
      <c r="E214" s="56"/>
      <c r="F214" s="56"/>
      <c r="G214" s="56"/>
      <c r="H214" s="56"/>
      <c r="I214" s="56">
        <v>3</v>
      </c>
      <c r="J214"/>
      <c r="M214" s="12"/>
    </row>
    <row r="215" spans="2:13" s="11" customFormat="1" x14ac:dyDescent="0.25">
      <c r="B215" s="14" t="s">
        <v>480</v>
      </c>
      <c r="C215" s="56">
        <v>176</v>
      </c>
      <c r="D215" s="56">
        <v>13</v>
      </c>
      <c r="E215" s="56">
        <v>5</v>
      </c>
      <c r="F215" s="56">
        <v>366</v>
      </c>
      <c r="G215" s="56">
        <v>4</v>
      </c>
      <c r="H215" s="56">
        <v>3</v>
      </c>
      <c r="I215" s="56">
        <v>567</v>
      </c>
      <c r="J215"/>
      <c r="M215" s="12"/>
    </row>
    <row r="216" spans="2:13" s="11" customFormat="1" x14ac:dyDescent="0.25">
      <c r="B216"/>
      <c r="C216"/>
      <c r="D216"/>
      <c r="E216"/>
      <c r="F216"/>
      <c r="G216"/>
      <c r="H216"/>
      <c r="I216"/>
      <c r="J216"/>
      <c r="M216" s="12"/>
    </row>
    <row r="217" spans="2:13" s="11" customFormat="1" x14ac:dyDescent="0.25">
      <c r="B217"/>
      <c r="C217"/>
      <c r="D217"/>
      <c r="E217"/>
      <c r="F217"/>
      <c r="G217"/>
      <c r="H217"/>
      <c r="I217"/>
      <c r="J217"/>
      <c r="M217" s="12"/>
    </row>
    <row r="218" spans="2:13" s="11" customFormat="1" x14ac:dyDescent="0.25">
      <c r="B218"/>
      <c r="C218"/>
      <c r="D218"/>
      <c r="E218"/>
      <c r="F218"/>
      <c r="G218"/>
      <c r="H218"/>
      <c r="I218"/>
      <c r="J218"/>
      <c r="M218" s="12"/>
    </row>
    <row r="219" spans="2:13" s="11" customFormat="1" x14ac:dyDescent="0.25">
      <c r="B219"/>
      <c r="C219"/>
      <c r="D219"/>
      <c r="E219"/>
      <c r="F219"/>
      <c r="G219"/>
      <c r="H219"/>
      <c r="I219"/>
      <c r="J219"/>
      <c r="M219" s="12"/>
    </row>
    <row r="220" spans="2:13" s="11" customFormat="1" x14ac:dyDescent="0.25">
      <c r="B220"/>
      <c r="C220"/>
      <c r="D220"/>
      <c r="E220"/>
      <c r="F220"/>
      <c r="G220"/>
      <c r="H220"/>
      <c r="I220"/>
      <c r="J220"/>
      <c r="M220" s="12"/>
    </row>
    <row r="221" spans="2:13" s="11" customFormat="1" x14ac:dyDescent="0.25">
      <c r="B221"/>
      <c r="C221"/>
      <c r="D221"/>
      <c r="E221"/>
      <c r="F221"/>
      <c r="G221"/>
      <c r="H221"/>
      <c r="I221"/>
      <c r="J221"/>
      <c r="M221" s="12"/>
    </row>
    <row r="222" spans="2:13" s="11" customFormat="1" x14ac:dyDescent="0.25">
      <c r="B222"/>
      <c r="C222"/>
      <c r="D222"/>
      <c r="E222"/>
      <c r="F222"/>
      <c r="G222"/>
      <c r="H222"/>
      <c r="I222"/>
      <c r="J222"/>
      <c r="M222" s="12"/>
    </row>
    <row r="223" spans="2:13" s="11" customFormat="1" x14ac:dyDescent="0.25">
      <c r="M223" s="12"/>
    </row>
    <row r="224" spans="2:13" s="11" customFormat="1" x14ac:dyDescent="0.25">
      <c r="M224" s="12"/>
    </row>
    <row r="225" spans="13:13" s="11" customFormat="1" x14ac:dyDescent="0.25">
      <c r="M225" s="12"/>
    </row>
    <row r="226" spans="13:13" s="11" customFormat="1" x14ac:dyDescent="0.25">
      <c r="M226" s="12"/>
    </row>
    <row r="227" spans="13:13" s="11" customFormat="1" x14ac:dyDescent="0.25">
      <c r="M227" s="12"/>
    </row>
    <row r="228" spans="13:13" s="11" customFormat="1" x14ac:dyDescent="0.25">
      <c r="M228" s="12"/>
    </row>
    <row r="229" spans="13:13" s="11" customFormat="1" x14ac:dyDescent="0.25">
      <c r="M229" s="12"/>
    </row>
    <row r="230" spans="13:13" s="11" customFormat="1" x14ac:dyDescent="0.25">
      <c r="M230" s="12"/>
    </row>
    <row r="231" spans="13:13" s="11" customFormat="1" x14ac:dyDescent="0.25">
      <c r="M231" s="12"/>
    </row>
    <row r="232" spans="13:13" s="11" customFormat="1" x14ac:dyDescent="0.25">
      <c r="M232" s="12"/>
    </row>
    <row r="233" spans="13:13" s="11" customFormat="1" x14ac:dyDescent="0.25">
      <c r="M233" s="12"/>
    </row>
    <row r="234" spans="13:13" s="11" customFormat="1" x14ac:dyDescent="0.25">
      <c r="M234" s="12"/>
    </row>
    <row r="235" spans="13:13" s="11" customFormat="1" x14ac:dyDescent="0.25">
      <c r="M235" s="12"/>
    </row>
    <row r="236" spans="13:13" s="11" customFormat="1" x14ac:dyDescent="0.25">
      <c r="M236" s="12"/>
    </row>
    <row r="237" spans="13:13" s="11" customFormat="1" x14ac:dyDescent="0.25">
      <c r="M237" s="12"/>
    </row>
    <row r="238" spans="13:13" s="11" customFormat="1" x14ac:dyDescent="0.25">
      <c r="M238" s="12"/>
    </row>
    <row r="239" spans="13:13" s="11" customFormat="1" x14ac:dyDescent="0.25">
      <c r="M239" s="12"/>
    </row>
    <row r="240" spans="13:13" s="11" customFormat="1" x14ac:dyDescent="0.25">
      <c r="M240" s="12"/>
    </row>
    <row r="241" spans="13:13" s="11" customFormat="1" x14ac:dyDescent="0.25">
      <c r="M241" s="12"/>
    </row>
    <row r="242" spans="13:13" s="11" customFormat="1" x14ac:dyDescent="0.25">
      <c r="M242" s="12"/>
    </row>
    <row r="243" spans="13:13" s="11" customFormat="1" x14ac:dyDescent="0.25">
      <c r="M243" s="12"/>
    </row>
    <row r="244" spans="13:13" s="11" customFormat="1" x14ac:dyDescent="0.25">
      <c r="M244" s="12"/>
    </row>
    <row r="245" spans="13:13" s="11" customFormat="1" x14ac:dyDescent="0.25">
      <c r="M245" s="12"/>
    </row>
    <row r="246" spans="13:13" s="11" customFormat="1" x14ac:dyDescent="0.25">
      <c r="M246" s="12"/>
    </row>
    <row r="247" spans="13:13" s="11" customFormat="1" x14ac:dyDescent="0.25">
      <c r="M247" s="12"/>
    </row>
    <row r="248" spans="13:13" s="11" customFormat="1" x14ac:dyDescent="0.25">
      <c r="M248" s="12"/>
    </row>
    <row r="249" spans="13:13" s="11" customFormat="1" x14ac:dyDescent="0.25">
      <c r="M249" s="12"/>
    </row>
    <row r="250" spans="13:13" s="11" customFormat="1" x14ac:dyDescent="0.25">
      <c r="M250" s="12"/>
    </row>
    <row r="251" spans="13:13" s="11" customFormat="1" x14ac:dyDescent="0.25">
      <c r="M251" s="12"/>
    </row>
    <row r="252" spans="13:13" s="11" customFormat="1" x14ac:dyDescent="0.25">
      <c r="M252" s="12"/>
    </row>
    <row r="253" spans="13:13" s="11" customFormat="1" x14ac:dyDescent="0.25">
      <c r="M253" s="12"/>
    </row>
    <row r="254" spans="13:13" s="11" customFormat="1" x14ac:dyDescent="0.25">
      <c r="M254" s="12"/>
    </row>
    <row r="255" spans="13:13" s="11" customFormat="1" x14ac:dyDescent="0.25">
      <c r="M255" s="12"/>
    </row>
    <row r="256" spans="13:13" s="11" customFormat="1" x14ac:dyDescent="0.25">
      <c r="M256" s="12"/>
    </row>
    <row r="257" spans="13:13" s="11" customFormat="1" x14ac:dyDescent="0.25">
      <c r="M257" s="12"/>
    </row>
    <row r="258" spans="13:13" s="11" customFormat="1" x14ac:dyDescent="0.25">
      <c r="M258" s="12"/>
    </row>
    <row r="259" spans="13:13" s="11" customFormat="1" x14ac:dyDescent="0.25">
      <c r="M259" s="12"/>
    </row>
    <row r="260" spans="13:13" s="11" customFormat="1" x14ac:dyDescent="0.25">
      <c r="M260" s="12"/>
    </row>
    <row r="261" spans="13:13" s="11" customFormat="1" x14ac:dyDescent="0.25">
      <c r="M261" s="12"/>
    </row>
    <row r="262" spans="13:13" s="11" customFormat="1" x14ac:dyDescent="0.25">
      <c r="M262" s="12"/>
    </row>
    <row r="263" spans="13:13" s="11" customFormat="1" x14ac:dyDescent="0.25">
      <c r="M263" s="12"/>
    </row>
    <row r="264" spans="13:13" s="11" customFormat="1" x14ac:dyDescent="0.25">
      <c r="M264" s="12"/>
    </row>
    <row r="265" spans="13:13" s="11" customFormat="1" x14ac:dyDescent="0.25">
      <c r="M265" s="12"/>
    </row>
    <row r="266" spans="13:13" s="11" customFormat="1" x14ac:dyDescent="0.25">
      <c r="M266" s="12"/>
    </row>
    <row r="267" spans="13:13" s="11" customFormat="1" x14ac:dyDescent="0.25">
      <c r="M267" s="12"/>
    </row>
    <row r="268" spans="13:13" s="11" customFormat="1" x14ac:dyDescent="0.25">
      <c r="M268" s="12"/>
    </row>
    <row r="269" spans="13:13" s="11" customFormat="1" x14ac:dyDescent="0.25">
      <c r="M269" s="12"/>
    </row>
    <row r="270" spans="13:13" s="11" customFormat="1" x14ac:dyDescent="0.25">
      <c r="M270" s="12"/>
    </row>
    <row r="271" spans="13:13" s="11" customFormat="1" x14ac:dyDescent="0.25">
      <c r="M271" s="12"/>
    </row>
    <row r="272" spans="13:13" s="11" customFormat="1" x14ac:dyDescent="0.25">
      <c r="M272" s="12"/>
    </row>
    <row r="273" spans="13:13" s="11" customFormat="1" x14ac:dyDescent="0.25">
      <c r="M273" s="12"/>
    </row>
    <row r="274" spans="13:13" s="11" customFormat="1" x14ac:dyDescent="0.25">
      <c r="M274" s="12"/>
    </row>
    <row r="275" spans="13:13" s="11" customFormat="1" x14ac:dyDescent="0.25">
      <c r="M275" s="12"/>
    </row>
    <row r="276" spans="13:13" s="11" customFormat="1" x14ac:dyDescent="0.25">
      <c r="M276" s="12"/>
    </row>
    <row r="277" spans="13:13" s="11" customFormat="1" x14ac:dyDescent="0.25">
      <c r="M277" s="12"/>
    </row>
    <row r="278" spans="13:13" s="11" customFormat="1" x14ac:dyDescent="0.25">
      <c r="M278" s="12"/>
    </row>
    <row r="279" spans="13:13" s="11" customFormat="1" x14ac:dyDescent="0.25">
      <c r="M279" s="12"/>
    </row>
    <row r="280" spans="13:13" s="11" customFormat="1" x14ac:dyDescent="0.25">
      <c r="M280" s="12"/>
    </row>
    <row r="281" spans="13:13" s="11" customFormat="1" x14ac:dyDescent="0.25">
      <c r="M281" s="12"/>
    </row>
    <row r="282" spans="13:13" s="11" customFormat="1" x14ac:dyDescent="0.25">
      <c r="M282" s="12"/>
    </row>
    <row r="283" spans="13:13" s="11" customFormat="1" x14ac:dyDescent="0.25">
      <c r="M283" s="12"/>
    </row>
    <row r="284" spans="13:13" s="11" customFormat="1" x14ac:dyDescent="0.25">
      <c r="M284" s="12"/>
    </row>
    <row r="285" spans="13:13" s="11" customFormat="1" x14ac:dyDescent="0.25">
      <c r="M285" s="12"/>
    </row>
    <row r="286" spans="13:13" s="11" customFormat="1" x14ac:dyDescent="0.25">
      <c r="M286" s="12"/>
    </row>
    <row r="287" spans="13:13" s="11" customFormat="1" x14ac:dyDescent="0.25">
      <c r="M287" s="12"/>
    </row>
    <row r="288" spans="13:13" s="11" customFormat="1" x14ac:dyDescent="0.25">
      <c r="M288" s="12"/>
    </row>
    <row r="289" spans="13:13" s="11" customFormat="1" x14ac:dyDescent="0.25">
      <c r="M289" s="12"/>
    </row>
    <row r="290" spans="13:13" s="11" customFormat="1" x14ac:dyDescent="0.25">
      <c r="M290" s="12"/>
    </row>
    <row r="291" spans="13:13" s="11" customFormat="1" x14ac:dyDescent="0.25">
      <c r="M291" s="12"/>
    </row>
    <row r="292" spans="13:13" s="11" customFormat="1" x14ac:dyDescent="0.25">
      <c r="M292" s="12"/>
    </row>
    <row r="293" spans="13:13" s="11" customFormat="1" x14ac:dyDescent="0.25">
      <c r="M293" s="12"/>
    </row>
    <row r="294" spans="13:13" s="11" customFormat="1" x14ac:dyDescent="0.25">
      <c r="M294" s="12"/>
    </row>
    <row r="295" spans="13:13" s="11" customFormat="1" x14ac:dyDescent="0.25">
      <c r="M295" s="12"/>
    </row>
    <row r="296" spans="13:13" s="11" customFormat="1" x14ac:dyDescent="0.25">
      <c r="M296" s="12"/>
    </row>
    <row r="297" spans="13:13" s="11" customFormat="1" x14ac:dyDescent="0.25">
      <c r="M297" s="12"/>
    </row>
    <row r="298" spans="13:13" s="11" customFormat="1" x14ac:dyDescent="0.25">
      <c r="M298" s="12"/>
    </row>
    <row r="299" spans="13:13" s="11" customFormat="1" x14ac:dyDescent="0.25">
      <c r="M299" s="12"/>
    </row>
    <row r="300" spans="13:13" s="11" customFormat="1" x14ac:dyDescent="0.25">
      <c r="M300" s="12"/>
    </row>
    <row r="301" spans="13:13" s="11" customFormat="1" x14ac:dyDescent="0.25">
      <c r="M301" s="12"/>
    </row>
    <row r="302" spans="13:13" s="11" customFormat="1" x14ac:dyDescent="0.25">
      <c r="M302" s="12"/>
    </row>
    <row r="303" spans="13:13" s="11" customFormat="1" x14ac:dyDescent="0.25">
      <c r="M303" s="12"/>
    </row>
    <row r="304" spans="13:13" s="11" customFormat="1" x14ac:dyDescent="0.25">
      <c r="M304" s="12"/>
    </row>
    <row r="305" spans="13:13" s="11" customFormat="1" x14ac:dyDescent="0.25">
      <c r="M305" s="12"/>
    </row>
    <row r="306" spans="13:13" s="11" customFormat="1" x14ac:dyDescent="0.25">
      <c r="M306" s="12"/>
    </row>
    <row r="307" spans="13:13" s="11" customFormat="1" x14ac:dyDescent="0.25">
      <c r="M307" s="12"/>
    </row>
    <row r="308" spans="13:13" s="11" customFormat="1" x14ac:dyDescent="0.25">
      <c r="M308" s="12"/>
    </row>
    <row r="309" spans="13:13" s="11" customFormat="1" x14ac:dyDescent="0.25">
      <c r="M309" s="12"/>
    </row>
    <row r="310" spans="13:13" s="11" customFormat="1" x14ac:dyDescent="0.25">
      <c r="M310" s="12"/>
    </row>
    <row r="311" spans="13:13" s="11" customFormat="1" x14ac:dyDescent="0.25">
      <c r="M311" s="12"/>
    </row>
    <row r="312" spans="13:13" s="11" customFormat="1" x14ac:dyDescent="0.25">
      <c r="M312" s="12"/>
    </row>
    <row r="313" spans="13:13" s="11" customFormat="1" x14ac:dyDescent="0.25">
      <c r="M313" s="12"/>
    </row>
    <row r="314" spans="13:13" s="11" customFormat="1" x14ac:dyDescent="0.25">
      <c r="M314" s="12"/>
    </row>
    <row r="315" spans="13:13" s="11" customFormat="1" x14ac:dyDescent="0.25">
      <c r="M315" s="12"/>
    </row>
    <row r="316" spans="13:13" s="11" customFormat="1" x14ac:dyDescent="0.25">
      <c r="M316" s="12"/>
    </row>
    <row r="317" spans="13:13" s="11" customFormat="1" x14ac:dyDescent="0.25">
      <c r="M317" s="12"/>
    </row>
    <row r="318" spans="13:13" s="11" customFormat="1" x14ac:dyDescent="0.25">
      <c r="M318" s="12"/>
    </row>
    <row r="319" spans="13:13" s="11" customFormat="1" x14ac:dyDescent="0.25">
      <c r="M319" s="12"/>
    </row>
    <row r="320" spans="13:13" s="11" customFormat="1" x14ac:dyDescent="0.25">
      <c r="M320" s="12"/>
    </row>
    <row r="321" spans="13:13" s="11" customFormat="1" x14ac:dyDescent="0.25">
      <c r="M321" s="12"/>
    </row>
    <row r="322" spans="13:13" s="11" customFormat="1" x14ac:dyDescent="0.25">
      <c r="M322" s="12"/>
    </row>
    <row r="323" spans="13:13" s="11" customFormat="1" x14ac:dyDescent="0.25">
      <c r="M323" s="12"/>
    </row>
    <row r="324" spans="13:13" s="11" customFormat="1" x14ac:dyDescent="0.25">
      <c r="M324" s="12"/>
    </row>
    <row r="325" spans="13:13" s="11" customFormat="1" x14ac:dyDescent="0.25">
      <c r="M325" s="12"/>
    </row>
    <row r="326" spans="13:13" s="11" customFormat="1" x14ac:dyDescent="0.25">
      <c r="M326" s="12"/>
    </row>
    <row r="327" spans="13:13" s="11" customFormat="1" x14ac:dyDescent="0.25">
      <c r="M327" s="12"/>
    </row>
    <row r="328" spans="13:13" s="11" customFormat="1" x14ac:dyDescent="0.25">
      <c r="M328" s="12"/>
    </row>
    <row r="329" spans="13:13" s="11" customFormat="1" x14ac:dyDescent="0.25">
      <c r="M329" s="12"/>
    </row>
    <row r="330" spans="13:13" s="11" customFormat="1" x14ac:dyDescent="0.25">
      <c r="M330" s="12"/>
    </row>
    <row r="331" spans="13:13" s="11" customFormat="1" x14ac:dyDescent="0.25">
      <c r="M331" s="12"/>
    </row>
    <row r="332" spans="13:13" s="11" customFormat="1" x14ac:dyDescent="0.25">
      <c r="M332" s="12"/>
    </row>
    <row r="333" spans="13:13" s="11" customFormat="1" x14ac:dyDescent="0.25">
      <c r="M333" s="12"/>
    </row>
    <row r="334" spans="13:13" s="11" customFormat="1" x14ac:dyDescent="0.25">
      <c r="M334" s="12"/>
    </row>
    <row r="335" spans="13:13" s="11" customFormat="1" x14ac:dyDescent="0.25">
      <c r="M335" s="12"/>
    </row>
    <row r="336" spans="13:13" s="11" customFormat="1" x14ac:dyDescent="0.25">
      <c r="M336" s="12"/>
    </row>
    <row r="337" spans="13:13" s="11" customFormat="1" x14ac:dyDescent="0.25">
      <c r="M337" s="12"/>
    </row>
    <row r="338" spans="13:13" s="11" customFormat="1" x14ac:dyDescent="0.25">
      <c r="M338" s="12"/>
    </row>
    <row r="339" spans="13:13" s="11" customFormat="1" x14ac:dyDescent="0.25">
      <c r="M339" s="12"/>
    </row>
    <row r="340" spans="13:13" s="11" customFormat="1" x14ac:dyDescent="0.25">
      <c r="M340" s="12"/>
    </row>
    <row r="341" spans="13:13" s="11" customFormat="1" x14ac:dyDescent="0.25">
      <c r="M341" s="12"/>
    </row>
    <row r="342" spans="13:13" s="11" customFormat="1" x14ac:dyDescent="0.25">
      <c r="M342" s="12"/>
    </row>
    <row r="343" spans="13:13" s="11" customFormat="1" x14ac:dyDescent="0.25">
      <c r="M343" s="12"/>
    </row>
    <row r="344" spans="13:13" s="11" customFormat="1" x14ac:dyDescent="0.25">
      <c r="M344" s="12"/>
    </row>
    <row r="345" spans="13:13" s="11" customFormat="1" x14ac:dyDescent="0.25">
      <c r="M345" s="12"/>
    </row>
    <row r="346" spans="13:13" s="11" customFormat="1" x14ac:dyDescent="0.25">
      <c r="M346" s="12"/>
    </row>
    <row r="347" spans="13:13" s="11" customFormat="1" x14ac:dyDescent="0.25">
      <c r="M347" s="12"/>
    </row>
    <row r="348" spans="13:13" s="11" customFormat="1" x14ac:dyDescent="0.25">
      <c r="M348" s="12"/>
    </row>
    <row r="349" spans="13:13" s="11" customFormat="1" x14ac:dyDescent="0.25">
      <c r="M349" s="12"/>
    </row>
    <row r="350" spans="13:13" s="11" customFormat="1" x14ac:dyDescent="0.25">
      <c r="M350" s="12"/>
    </row>
    <row r="351" spans="13:13" s="11" customFormat="1" x14ac:dyDescent="0.25">
      <c r="M351" s="12"/>
    </row>
    <row r="352" spans="13:13" s="11" customFormat="1" x14ac:dyDescent="0.25">
      <c r="M352" s="12"/>
    </row>
    <row r="353" spans="2:13" s="11" customFormat="1" x14ac:dyDescent="0.25">
      <c r="M353" s="12"/>
    </row>
    <row r="354" spans="2:13" s="11" customFormat="1" x14ac:dyDescent="0.25">
      <c r="M354" s="12"/>
    </row>
    <row r="355" spans="2:13" s="11" customFormat="1" x14ac:dyDescent="0.25">
      <c r="M355" s="12"/>
    </row>
    <row r="356" spans="2:13" s="11" customFormat="1" x14ac:dyDescent="0.25">
      <c r="M356" s="12"/>
    </row>
    <row r="357" spans="2:13" s="11" customFormat="1" x14ac:dyDescent="0.25">
      <c r="M357" s="12"/>
    </row>
    <row r="358" spans="2:13" s="11" customFormat="1" x14ac:dyDescent="0.25">
      <c r="M358" s="12"/>
    </row>
    <row r="359" spans="2:13" s="11" customFormat="1" x14ac:dyDescent="0.25">
      <c r="M359" s="12"/>
    </row>
    <row r="360" spans="2:13" s="11" customFormat="1" x14ac:dyDescent="0.25">
      <c r="M360" s="12"/>
    </row>
    <row r="361" spans="2:13" s="11" customFormat="1" x14ac:dyDescent="0.25">
      <c r="M361" s="12"/>
    </row>
    <row r="362" spans="2:13" s="11" customFormat="1" x14ac:dyDescent="0.25">
      <c r="M362" s="12"/>
    </row>
    <row r="363" spans="2:13" s="11" customFormat="1" x14ac:dyDescent="0.25">
      <c r="B363"/>
      <c r="C363"/>
      <c r="D363"/>
      <c r="E363"/>
      <c r="F363"/>
      <c r="G363"/>
      <c r="H363"/>
      <c r="I363"/>
      <c r="J363"/>
      <c r="M363" s="12"/>
    </row>
    <row r="364" spans="2:13" s="11" customFormat="1" x14ac:dyDescent="0.25">
      <c r="B364"/>
      <c r="C364"/>
      <c r="D364"/>
      <c r="E364"/>
      <c r="F364"/>
      <c r="G364"/>
      <c r="H364"/>
      <c r="I364"/>
      <c r="J364"/>
      <c r="M364" s="12"/>
    </row>
    <row r="365" spans="2:13" s="11" customFormat="1" x14ac:dyDescent="0.25">
      <c r="B365"/>
      <c r="C365"/>
      <c r="D365"/>
      <c r="E365"/>
      <c r="F365"/>
      <c r="G365"/>
      <c r="H365"/>
      <c r="I365"/>
      <c r="J365"/>
      <c r="M365" s="12"/>
    </row>
    <row r="366" spans="2:13" s="11" customFormat="1" x14ac:dyDescent="0.25">
      <c r="M366" s="12"/>
    </row>
    <row r="367" spans="2:13" s="11" customFormat="1" x14ac:dyDescent="0.25">
      <c r="M367" s="12"/>
    </row>
    <row r="368" spans="2:13" s="11" customFormat="1" x14ac:dyDescent="0.25">
      <c r="M368" s="12"/>
    </row>
    <row r="369" spans="2:13" s="11" customFormat="1" x14ac:dyDescent="0.25">
      <c r="M369" s="12"/>
    </row>
    <row r="370" spans="2:13" s="11" customFormat="1" x14ac:dyDescent="0.25">
      <c r="M370" s="12"/>
    </row>
    <row r="371" spans="2:13" s="11" customFormat="1" x14ac:dyDescent="0.25">
      <c r="M371" s="12"/>
    </row>
    <row r="372" spans="2:13" s="11" customFormat="1" x14ac:dyDescent="0.25">
      <c r="M372" s="12"/>
    </row>
    <row r="373" spans="2:13" s="11" customFormat="1" x14ac:dyDescent="0.25">
      <c r="B373" s="14"/>
      <c r="C373" s="56"/>
      <c r="D373" s="56"/>
      <c r="E373" s="56"/>
      <c r="F373" s="56"/>
      <c r="G373" s="56"/>
      <c r="H373" s="56"/>
      <c r="I373" s="56"/>
      <c r="M373" s="12"/>
    </row>
    <row r="374" spans="2:13" s="11" customFormat="1" x14ac:dyDescent="0.25">
      <c r="B374" s="14"/>
      <c r="C374" s="56"/>
      <c r="D374" s="56"/>
      <c r="E374" s="56"/>
      <c r="F374" s="56"/>
      <c r="G374" s="56"/>
      <c r="H374" s="56"/>
      <c r="I374" s="56"/>
      <c r="M374" s="12"/>
    </row>
    <row r="375" spans="2:13" s="11" customFormat="1" x14ac:dyDescent="0.25">
      <c r="B375" s="14"/>
      <c r="C375" s="56"/>
      <c r="D375" s="56"/>
      <c r="E375" s="56"/>
      <c r="F375" s="56"/>
      <c r="G375" s="56"/>
      <c r="H375" s="56"/>
      <c r="I375" s="56"/>
      <c r="M375" s="12"/>
    </row>
    <row r="376" spans="2:13" x14ac:dyDescent="0.25">
      <c r="B376" s="15" t="s">
        <v>2547</v>
      </c>
      <c r="C376" s="11" t="s">
        <v>481</v>
      </c>
    </row>
    <row r="377" spans="2:13" x14ac:dyDescent="0.25">
      <c r="B377" s="15" t="s">
        <v>527</v>
      </c>
      <c r="C377" s="11" t="s">
        <v>481</v>
      </c>
      <c r="D377" s="53"/>
      <c r="E377" s="53"/>
      <c r="F377" s="53"/>
      <c r="G377" s="53"/>
      <c r="H377" s="11"/>
      <c r="I377" s="11"/>
    </row>
    <row r="378" spans="2:13" x14ac:dyDescent="0.25">
      <c r="B378" s="11"/>
      <c r="C378" s="53"/>
      <c r="D378" s="53"/>
      <c r="E378" s="53"/>
      <c r="F378" s="53"/>
      <c r="G378" s="53"/>
      <c r="H378" s="11"/>
      <c r="I378" s="11"/>
    </row>
    <row r="379" spans="2:13" x14ac:dyDescent="0.25">
      <c r="B379" s="15" t="s">
        <v>479</v>
      </c>
      <c r="C379" s="53" t="s">
        <v>482</v>
      </c>
    </row>
    <row r="380" spans="2:13" x14ac:dyDescent="0.25">
      <c r="B380" s="14" t="s">
        <v>28</v>
      </c>
      <c r="C380" s="56">
        <v>541</v>
      </c>
    </row>
    <row r="381" spans="2:13" x14ac:dyDescent="0.25">
      <c r="B381" s="14" t="s">
        <v>2558</v>
      </c>
      <c r="C381" s="56">
        <v>31</v>
      </c>
    </row>
    <row r="382" spans="2:13" x14ac:dyDescent="0.25">
      <c r="B382" s="14" t="s">
        <v>2489</v>
      </c>
      <c r="C382" s="56"/>
    </row>
    <row r="383" spans="2:13" x14ac:dyDescent="0.25">
      <c r="B383" s="14" t="s">
        <v>480</v>
      </c>
      <c r="C383" s="56">
        <v>572</v>
      </c>
    </row>
  </sheetData>
  <pageMargins left="0.7" right="0.7" top="0.75" bottom="0.75" header="0.3" footer="0.3"/>
  <pageSetup orientation="portrait" r:id="rId9"/>
  <ignoredErrors>
    <ignoredError sqref="O35:R35 D35:I35 L35" formula="1"/>
    <ignoredError sqref="L8 E8:J8" evalError="1"/>
  </ignoredErrors>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7C984-F627-40A0-A541-9F43A506B4BC}">
  <dimension ref="A3:C21"/>
  <sheetViews>
    <sheetView zoomScaleNormal="100" workbookViewId="0">
      <selection activeCell="A24" sqref="A24"/>
    </sheetView>
  </sheetViews>
  <sheetFormatPr defaultColWidth="8.77734375" defaultRowHeight="14.4" x14ac:dyDescent="0.25"/>
  <cols>
    <col min="1" max="1" width="61.44140625" style="50" bestFit="1" customWidth="1"/>
    <col min="2" max="2" width="64.44140625" style="50" bestFit="1" customWidth="1"/>
    <col min="3" max="3" width="64.44140625" style="51" bestFit="1" customWidth="1"/>
    <col min="4" max="16384" width="8.77734375" style="50"/>
  </cols>
  <sheetData>
    <row r="3" spans="1:3" x14ac:dyDescent="0.25">
      <c r="A3" s="46" t="s">
        <v>2481</v>
      </c>
      <c r="B3" s="51" t="s">
        <v>2558</v>
      </c>
    </row>
    <row r="4" spans="1:3" x14ac:dyDescent="0.25">
      <c r="A4" s="46" t="s">
        <v>2535</v>
      </c>
      <c r="B4" s="52" t="s">
        <v>2556</v>
      </c>
      <c r="C4" s="52"/>
    </row>
    <row r="5" spans="1:3" x14ac:dyDescent="0.25">
      <c r="A5" s="46" t="s">
        <v>2548</v>
      </c>
      <c r="B5" s="52" t="s">
        <v>2559</v>
      </c>
      <c r="C5" s="52"/>
    </row>
    <row r="6" spans="1:3" x14ac:dyDescent="0.25">
      <c r="A6" s="46" t="s">
        <v>2533</v>
      </c>
      <c r="B6" s="52" t="s">
        <v>2554</v>
      </c>
      <c r="C6" s="52"/>
    </row>
    <row r="7" spans="1:3" x14ac:dyDescent="0.25">
      <c r="A7" s="46" t="s">
        <v>2532</v>
      </c>
      <c r="B7" s="52" t="s">
        <v>2553</v>
      </c>
      <c r="C7" s="52"/>
    </row>
    <row r="8" spans="1:3" x14ac:dyDescent="0.25">
      <c r="A8" s="46" t="s">
        <v>2536</v>
      </c>
      <c r="B8" s="52" t="s">
        <v>2557</v>
      </c>
      <c r="C8" s="52"/>
    </row>
    <row r="9" spans="1:3" x14ac:dyDescent="0.25">
      <c r="A9" s="46" t="s">
        <v>2534</v>
      </c>
      <c r="B9" s="52" t="s">
        <v>2552</v>
      </c>
      <c r="C9" s="52"/>
    </row>
    <row r="10" spans="1:3" x14ac:dyDescent="0.25">
      <c r="A10" s="46" t="s">
        <v>2538</v>
      </c>
      <c r="B10" s="51" t="s">
        <v>2572</v>
      </c>
    </row>
    <row r="11" spans="1:3" x14ac:dyDescent="0.25">
      <c r="A11" s="46" t="s">
        <v>486</v>
      </c>
      <c r="B11" s="51" t="s">
        <v>2571</v>
      </c>
    </row>
    <row r="12" spans="1:3" x14ac:dyDescent="0.25">
      <c r="A12" s="46" t="s">
        <v>261</v>
      </c>
      <c r="B12" s="51" t="s">
        <v>2570</v>
      </c>
    </row>
    <row r="13" spans="1:3" x14ac:dyDescent="0.25">
      <c r="A13" s="46" t="s">
        <v>2550</v>
      </c>
      <c r="B13" s="46" t="s">
        <v>2573</v>
      </c>
    </row>
    <row r="14" spans="1:3" x14ac:dyDescent="0.25">
      <c r="A14" s="46" t="s">
        <v>2486</v>
      </c>
      <c r="B14" s="51" t="s">
        <v>2569</v>
      </c>
    </row>
    <row r="15" spans="1:3" x14ac:dyDescent="0.25">
      <c r="A15" s="46" t="s">
        <v>526</v>
      </c>
      <c r="B15" s="51" t="s">
        <v>2568</v>
      </c>
    </row>
    <row r="16" spans="1:3" x14ac:dyDescent="0.25">
      <c r="A16" s="46" t="s">
        <v>2530</v>
      </c>
      <c r="B16" s="52" t="s">
        <v>2555</v>
      </c>
      <c r="C16" s="52"/>
    </row>
    <row r="17" spans="1:2" x14ac:dyDescent="0.25">
      <c r="A17" s="46" t="s">
        <v>225</v>
      </c>
      <c r="B17" s="51" t="s">
        <v>2560</v>
      </c>
    </row>
    <row r="18" spans="1:2" x14ac:dyDescent="0.25">
      <c r="A18" s="50" t="s">
        <v>28</v>
      </c>
      <c r="B18" s="51" t="s">
        <v>28</v>
      </c>
    </row>
    <row r="19" spans="1:2" x14ac:dyDescent="0.25">
      <c r="A19" s="50" t="s">
        <v>299</v>
      </c>
      <c r="B19" s="50" t="s">
        <v>299</v>
      </c>
    </row>
    <row r="20" spans="1:2" x14ac:dyDescent="0.25">
      <c r="A20" s="18" t="s">
        <v>2561</v>
      </c>
      <c r="B20" s="18" t="s">
        <v>2929</v>
      </c>
    </row>
    <row r="21" spans="1:2" x14ac:dyDescent="0.25">
      <c r="A21" s="50" t="s">
        <v>2925</v>
      </c>
      <c r="B21" s="50" t="s">
        <v>2926</v>
      </c>
    </row>
  </sheetData>
  <conditionalFormatting sqref="B20">
    <cfRule type="containsText" dxfId="4" priority="5" operator="containsText" text="arrêté">
      <formula>NOT(ISERROR(SEARCH("arrêté",B20)))</formula>
    </cfRule>
    <cfRule type="containsText" dxfId="3" priority="6" operator="containsText" text="arrété">
      <formula>NOT(ISERROR(SEARCH("arrété",B20)))</formula>
    </cfRule>
  </conditionalFormatting>
  <conditionalFormatting sqref="A20">
    <cfRule type="containsText" dxfId="2" priority="1" operator="containsText" text="arrêté">
      <formula>NOT(ISERROR(SEARCH("arrêté",A20)))</formula>
    </cfRule>
    <cfRule type="containsText" dxfId="1" priority="2" operator="containsText" text="arrété">
      <formula>NOT(ISERROR(SEARCH("arrété",A20)))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70AFB-544A-4291-B632-AF2615EF9C31}">
  <dimension ref="A1:B86"/>
  <sheetViews>
    <sheetView topLeftCell="A40" workbookViewId="0">
      <selection activeCell="A55" sqref="A55"/>
    </sheetView>
  </sheetViews>
  <sheetFormatPr defaultRowHeight="14.4" x14ac:dyDescent="0.25"/>
  <cols>
    <col min="1" max="1" width="63.33203125" customWidth="1"/>
  </cols>
  <sheetData>
    <row r="1" spans="1:2" ht="15.75" thickBot="1" x14ac:dyDescent="0.3">
      <c r="A1" s="48"/>
    </row>
    <row r="2" spans="1:2" ht="15.75" thickBot="1" x14ac:dyDescent="0.3">
      <c r="A2" s="49"/>
      <c r="B2" s="11"/>
    </row>
    <row r="3" spans="1:2" ht="15.75" thickBot="1" x14ac:dyDescent="0.3">
      <c r="A3" s="48"/>
      <c r="B3" s="11"/>
    </row>
    <row r="4" spans="1:2" ht="15.75" thickBot="1" x14ac:dyDescent="0.3">
      <c r="A4" s="49"/>
      <c r="B4" s="11"/>
    </row>
    <row r="5" spans="1:2" ht="15.75" thickBot="1" x14ac:dyDescent="0.3">
      <c r="A5" s="48"/>
      <c r="B5" s="11"/>
    </row>
    <row r="6" spans="1:2" ht="15.75" thickBot="1" x14ac:dyDescent="0.3">
      <c r="A6" s="49"/>
      <c r="B6" s="11"/>
    </row>
    <row r="7" spans="1:2" ht="15.75" thickBot="1" x14ac:dyDescent="0.3">
      <c r="A7" s="48"/>
      <c r="B7" s="11"/>
    </row>
    <row r="8" spans="1:2" ht="15.75" thickBot="1" x14ac:dyDescent="0.3">
      <c r="A8" s="49"/>
      <c r="B8" s="11"/>
    </row>
    <row r="9" spans="1:2" ht="15.75" thickBot="1" x14ac:dyDescent="0.3">
      <c r="A9" s="48"/>
      <c r="B9" s="11"/>
    </row>
    <row r="10" spans="1:2" ht="15.75" thickBot="1" x14ac:dyDescent="0.3">
      <c r="A10" s="49"/>
      <c r="B10" s="11"/>
    </row>
    <row r="11" spans="1:2" ht="15.75" thickBot="1" x14ac:dyDescent="0.3">
      <c r="A11" s="48"/>
      <c r="B11" s="11"/>
    </row>
    <row r="12" spans="1:2" ht="15.75" thickBot="1" x14ac:dyDescent="0.3">
      <c r="A12" s="49"/>
      <c r="B12" s="11"/>
    </row>
    <row r="13" spans="1:2" ht="15.75" thickBot="1" x14ac:dyDescent="0.3">
      <c r="A13" s="48"/>
      <c r="B13" s="11"/>
    </row>
    <row r="14" spans="1:2" ht="15.75" thickBot="1" x14ac:dyDescent="0.3">
      <c r="A14" s="49"/>
      <c r="B14" s="11"/>
    </row>
    <row r="15" spans="1:2" ht="15.75" thickBot="1" x14ac:dyDescent="0.3">
      <c r="A15" s="48"/>
      <c r="B15" s="11"/>
    </row>
    <row r="16" spans="1:2" ht="15.75" thickBot="1" x14ac:dyDescent="0.3">
      <c r="A16" s="49"/>
      <c r="B16" s="11"/>
    </row>
    <row r="17" spans="1:2" ht="15.75" thickBot="1" x14ac:dyDescent="0.3">
      <c r="A17" s="48"/>
      <c r="B17" s="11"/>
    </row>
    <row r="18" spans="1:2" x14ac:dyDescent="0.25">
      <c r="B18" s="11"/>
    </row>
    <row r="19" spans="1:2" x14ac:dyDescent="0.25">
      <c r="B19" s="11"/>
    </row>
    <row r="20" spans="1:2" x14ac:dyDescent="0.25">
      <c r="B20" s="11"/>
    </row>
    <row r="21" spans="1:2" x14ac:dyDescent="0.25">
      <c r="B21" s="11"/>
    </row>
    <row r="22" spans="1:2" x14ac:dyDescent="0.25">
      <c r="B22" s="11"/>
    </row>
    <row r="23" spans="1:2" x14ac:dyDescent="0.25">
      <c r="B23" s="11"/>
    </row>
    <row r="24" spans="1:2" x14ac:dyDescent="0.25">
      <c r="B24" s="11"/>
    </row>
    <row r="25" spans="1:2" x14ac:dyDescent="0.25">
      <c r="B25" s="11"/>
    </row>
    <row r="26" spans="1:2" x14ac:dyDescent="0.25">
      <c r="B26" s="11"/>
    </row>
    <row r="27" spans="1:2" x14ac:dyDescent="0.25">
      <c r="B27" s="11"/>
    </row>
    <row r="28" spans="1:2" x14ac:dyDescent="0.25">
      <c r="B28" s="11"/>
    </row>
    <row r="29" spans="1:2" x14ac:dyDescent="0.25">
      <c r="B29" s="11"/>
    </row>
    <row r="30" spans="1:2" x14ac:dyDescent="0.25">
      <c r="B30" s="11"/>
    </row>
    <row r="31" spans="1:2" x14ac:dyDescent="0.25">
      <c r="B31" s="11"/>
    </row>
    <row r="32" spans="1:2" x14ac:dyDescent="0.25">
      <c r="B32" s="11"/>
    </row>
    <row r="33" spans="2:2" x14ac:dyDescent="0.25">
      <c r="B33" s="11"/>
    </row>
    <row r="34" spans="2:2" x14ac:dyDescent="0.25">
      <c r="B34" s="11"/>
    </row>
    <row r="35" spans="2:2" x14ac:dyDescent="0.25">
      <c r="B35" s="11"/>
    </row>
    <row r="36" spans="2:2" x14ac:dyDescent="0.25">
      <c r="B36" s="11"/>
    </row>
    <row r="37" spans="2:2" x14ac:dyDescent="0.25">
      <c r="B37" s="11"/>
    </row>
    <row r="38" spans="2:2" x14ac:dyDescent="0.25">
      <c r="B38" s="11"/>
    </row>
    <row r="39" spans="2:2" x14ac:dyDescent="0.25">
      <c r="B39" s="11"/>
    </row>
    <row r="40" spans="2:2" x14ac:dyDescent="0.25">
      <c r="B40" s="11"/>
    </row>
    <row r="41" spans="2:2" x14ac:dyDescent="0.25">
      <c r="B41" s="11"/>
    </row>
    <row r="42" spans="2:2" x14ac:dyDescent="0.25">
      <c r="B42" s="11"/>
    </row>
    <row r="43" spans="2:2" x14ac:dyDescent="0.25">
      <c r="B43" s="11"/>
    </row>
    <row r="44" spans="2:2" x14ac:dyDescent="0.25">
      <c r="B44" s="11"/>
    </row>
    <row r="45" spans="2:2" x14ac:dyDescent="0.25">
      <c r="B45" s="11"/>
    </row>
    <row r="46" spans="2:2" x14ac:dyDescent="0.25">
      <c r="B46" s="11"/>
    </row>
    <row r="47" spans="2:2" x14ac:dyDescent="0.25">
      <c r="B47" s="11"/>
    </row>
    <row r="48" spans="2:2" x14ac:dyDescent="0.25">
      <c r="B48" s="11"/>
    </row>
    <row r="49" spans="2:2" x14ac:dyDescent="0.25">
      <c r="B49" s="11"/>
    </row>
    <row r="50" spans="2:2" x14ac:dyDescent="0.25">
      <c r="B50" s="11"/>
    </row>
    <row r="51" spans="2:2" x14ac:dyDescent="0.25">
      <c r="B51" s="11"/>
    </row>
    <row r="52" spans="2:2" x14ac:dyDescent="0.25">
      <c r="B52" s="11"/>
    </row>
    <row r="53" spans="2:2" x14ac:dyDescent="0.25">
      <c r="B53" s="11"/>
    </row>
    <row r="54" spans="2:2" x14ac:dyDescent="0.25">
      <c r="B54" s="11"/>
    </row>
    <row r="55" spans="2:2" x14ac:dyDescent="0.25">
      <c r="B55" s="11"/>
    </row>
    <row r="56" spans="2:2" x14ac:dyDescent="0.25">
      <c r="B56" s="11"/>
    </row>
    <row r="57" spans="2:2" x14ac:dyDescent="0.25">
      <c r="B57" s="11"/>
    </row>
    <row r="58" spans="2:2" x14ac:dyDescent="0.25">
      <c r="B58" s="11"/>
    </row>
    <row r="59" spans="2:2" x14ac:dyDescent="0.25">
      <c r="B59" s="11"/>
    </row>
    <row r="60" spans="2:2" x14ac:dyDescent="0.25">
      <c r="B60" s="11"/>
    </row>
    <row r="61" spans="2:2" x14ac:dyDescent="0.25">
      <c r="B61" s="11"/>
    </row>
    <row r="62" spans="2:2" x14ac:dyDescent="0.25">
      <c r="B62" s="11"/>
    </row>
    <row r="63" spans="2:2" x14ac:dyDescent="0.25">
      <c r="B63" s="11"/>
    </row>
    <row r="64" spans="2:2" x14ac:dyDescent="0.25">
      <c r="B64" s="11"/>
    </row>
    <row r="65" spans="2:2" x14ac:dyDescent="0.25">
      <c r="B65" s="11"/>
    </row>
    <row r="66" spans="2:2" x14ac:dyDescent="0.25">
      <c r="B66" s="11"/>
    </row>
    <row r="67" spans="2:2" x14ac:dyDescent="0.25">
      <c r="B67" s="11"/>
    </row>
    <row r="68" spans="2:2" x14ac:dyDescent="0.25">
      <c r="B68" s="11"/>
    </row>
    <row r="69" spans="2:2" x14ac:dyDescent="0.25">
      <c r="B69" s="11"/>
    </row>
    <row r="70" spans="2:2" x14ac:dyDescent="0.25">
      <c r="B70" s="11"/>
    </row>
    <row r="71" spans="2:2" x14ac:dyDescent="0.25">
      <c r="B71" s="11"/>
    </row>
    <row r="72" spans="2:2" x14ac:dyDescent="0.25">
      <c r="B72" s="11"/>
    </row>
    <row r="73" spans="2:2" x14ac:dyDescent="0.25">
      <c r="B73" s="11"/>
    </row>
    <row r="74" spans="2:2" x14ac:dyDescent="0.25">
      <c r="B74" s="11"/>
    </row>
    <row r="75" spans="2:2" x14ac:dyDescent="0.25">
      <c r="B75" s="11"/>
    </row>
    <row r="76" spans="2:2" x14ac:dyDescent="0.25">
      <c r="B76" s="11"/>
    </row>
    <row r="77" spans="2:2" x14ac:dyDescent="0.25">
      <c r="B77" s="11"/>
    </row>
    <row r="78" spans="2:2" x14ac:dyDescent="0.25">
      <c r="B78" s="11"/>
    </row>
    <row r="79" spans="2:2" x14ac:dyDescent="0.25">
      <c r="B79" s="11"/>
    </row>
    <row r="80" spans="2:2" x14ac:dyDescent="0.25">
      <c r="B80" s="11"/>
    </row>
    <row r="81" spans="2:2" x14ac:dyDescent="0.25">
      <c r="B81" s="11"/>
    </row>
    <row r="82" spans="2:2" x14ac:dyDescent="0.25">
      <c r="B82" s="11"/>
    </row>
    <row r="83" spans="2:2" x14ac:dyDescent="0.25">
      <c r="B83" s="11"/>
    </row>
    <row r="84" spans="2:2" x14ac:dyDescent="0.25">
      <c r="B84" s="11"/>
    </row>
    <row r="85" spans="2:2" x14ac:dyDescent="0.25">
      <c r="B85" s="11"/>
    </row>
    <row r="86" spans="2:2" x14ac:dyDescent="0.25">
      <c r="B86" s="11"/>
    </row>
  </sheetData>
  <conditionalFormatting sqref="A1:A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Ref</vt:lpstr>
      <vt:lpstr>Rpt ext Octobre</vt:lpstr>
      <vt:lpstr>checker</vt:lpstr>
      <vt:lpstr>Récap par date scan </vt:lpstr>
      <vt:lpstr>ref statu</vt:lpstr>
      <vt:lpstr>chk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cherkaoui Dekkaki, Mohammed</dc:creator>
  <cp:lastModifiedBy>cherkaoui Dekkaki, Mohammed</cp:lastModifiedBy>
  <dcterms:created xsi:type="dcterms:W3CDTF">2020-11-17T15:35:53Z</dcterms:created>
  <dcterms:modified xsi:type="dcterms:W3CDTF">2021-06-23T21:05:41Z</dcterms:modified>
</cp:coreProperties>
</file>